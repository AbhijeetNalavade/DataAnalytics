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lavaab\Documents\"/>
    </mc:Choice>
  </mc:AlternateContent>
  <xr:revisionPtr revIDLastSave="0" documentId="13_ncr:1_{798A9655-4071-414D-AEE4-F55FE4106021}" xr6:coauthVersionLast="47" xr6:coauthVersionMax="47" xr10:uidLastSave="{00000000-0000-0000-0000-000000000000}"/>
  <bookViews>
    <workbookView xWindow="-110" yWindow="-110" windowWidth="19420" windowHeight="10300" activeTab="8" xr2:uid="{311C7AD4-4FF4-4E66-854B-87F927439D9F}"/>
  </bookViews>
  <sheets>
    <sheet name="Sheet1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9" l="1"/>
  <c r="G23" i="8"/>
  <c r="E15" i="7"/>
  <c r="E16" i="7"/>
  <c r="E14" i="7"/>
  <c r="G17" i="6"/>
  <c r="G35" i="5"/>
  <c r="G34" i="5"/>
  <c r="G7" i="5"/>
  <c r="D6" i="4"/>
  <c r="D7" i="4"/>
  <c r="D8" i="4"/>
  <c r="D9" i="4"/>
  <c r="D5" i="4"/>
  <c r="E20" i="3"/>
  <c r="E21" i="3"/>
  <c r="E22" i="3"/>
  <c r="E19" i="3"/>
  <c r="E9" i="3"/>
  <c r="E10" i="3"/>
  <c r="E11" i="3"/>
  <c r="E8" i="3"/>
  <c r="D20" i="2" a="1"/>
  <c r="D20" i="2" s="1"/>
  <c r="D21" i="2" a="1"/>
  <c r="D21" i="2" s="1"/>
  <c r="D22" i="2" a="1"/>
  <c r="D22" i="2" s="1"/>
  <c r="D23" i="2" a="1"/>
  <c r="D23" i="2" s="1"/>
  <c r="D19" i="2" a="1"/>
  <c r="D19" i="2" s="1"/>
  <c r="D7" i="2"/>
  <c r="D8" i="2"/>
  <c r="D9" i="2"/>
  <c r="D10" i="2"/>
  <c r="D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<sst xmlns="http://schemas.openxmlformats.org/spreadsheetml/2006/main" count="194" uniqueCount="113">
  <si>
    <t>Marks</t>
  </si>
  <si>
    <t>Student Name</t>
  </si>
  <si>
    <t>Riya</t>
  </si>
  <si>
    <t>Siya</t>
  </si>
  <si>
    <t>Raju</t>
  </si>
  <si>
    <t>Rahul</t>
  </si>
  <si>
    <t>Ram</t>
  </si>
  <si>
    <t>Result</t>
  </si>
  <si>
    <t>Here, using IF function we can determine whether condition is true or false,since it is only used for single condition</t>
  </si>
  <si>
    <t>also there are some alternative ways that we can find whether student has passed or failed</t>
  </si>
  <si>
    <t>Using IFS ()</t>
  </si>
  <si>
    <t>formula used:</t>
  </si>
  <si>
    <t>IFS(C19&gt;=40,"Pass",C19&lt;40,"Fail")…so on</t>
  </si>
  <si>
    <t>b) company gives a bonus  if sales are above 40,000 and attendance is greater than or equal to 90%. Write a formula to calculate whether the employee will get a bonus or not</t>
  </si>
  <si>
    <t>Employee</t>
  </si>
  <si>
    <t>Sale</t>
  </si>
  <si>
    <t>Attendance</t>
  </si>
  <si>
    <t>Arjun</t>
  </si>
  <si>
    <t>Smiran</t>
  </si>
  <si>
    <t>Rohit</t>
  </si>
  <si>
    <t>Anjali</t>
  </si>
  <si>
    <t>a) Write a formula to check if the marks in cell are greater than or equal to 40. If yes, return  "Pass", otherwise  "Fail".</t>
  </si>
  <si>
    <t>Bonus</t>
  </si>
  <si>
    <t xml:space="preserve">Since there are 2 condtions and both should match we can use AND function to determine whether employee </t>
  </si>
  <si>
    <t>we can use nested if as well to determine the condition</t>
  </si>
  <si>
    <t>IF(C19&gt;40000,IF(D19&gt;=90,"Bonus","No Bonus"),"No Bonus")…so on</t>
  </si>
  <si>
    <t>in this formula, it will check sales firs, if sales are not above 40000 excel stops and shows no bonus</t>
  </si>
  <si>
    <t>if sales are above 40000 then excel moves to next condition which is attendance</t>
  </si>
  <si>
    <t>it will check condition one after another</t>
  </si>
  <si>
    <t>4. Write a nested IF formula if marks in B2 are &gt;= 90 → A  , ≥ 75 →B , ≥ 50 →C , otherwise "Fail".</t>
  </si>
  <si>
    <t>Raj</t>
  </si>
  <si>
    <t>Neha</t>
  </si>
  <si>
    <t>Vivek</t>
  </si>
  <si>
    <t xml:space="preserve">Rani </t>
  </si>
  <si>
    <t>Sneha</t>
  </si>
  <si>
    <t>IF(C5&gt;=90,"A",IF(C5&gt;=75,"B",IF(C5&gt;=50,"C","Fail")))</t>
  </si>
  <si>
    <t>in nested if ,we can use one function inside one , excel checks one condition at once and if it false moves to other</t>
  </si>
  <si>
    <t>it will first check if marks &gt;=90? If yes = A , if no = checks &gt;= 75? ….so on</t>
  </si>
  <si>
    <t>5.Find the Department of Employee ID = E103. Also explain which LOOKUP function is used and why?</t>
  </si>
  <si>
    <t>EmpID</t>
  </si>
  <si>
    <t xml:space="preserve">Name </t>
  </si>
  <si>
    <t>Department</t>
  </si>
  <si>
    <t>E101</t>
  </si>
  <si>
    <t>E102</t>
  </si>
  <si>
    <t>E103</t>
  </si>
  <si>
    <t>E104</t>
  </si>
  <si>
    <t>E105</t>
  </si>
  <si>
    <t xml:space="preserve">Riya </t>
  </si>
  <si>
    <t>Roshni</t>
  </si>
  <si>
    <t>Sejal</t>
  </si>
  <si>
    <t>IT</t>
  </si>
  <si>
    <t>HR</t>
  </si>
  <si>
    <t xml:space="preserve">Finance </t>
  </si>
  <si>
    <t>using  vlookup function, we can find all required data from cell</t>
  </si>
  <si>
    <t>Whats lookup function?</t>
  </si>
  <si>
    <t>the lookup function is used to search for a value in one range and return a related value in one rangeand return a related value from value of another</t>
  </si>
  <si>
    <t>basically it finds and brings matching value from data</t>
  </si>
  <si>
    <t>types of lookup</t>
  </si>
  <si>
    <t>LOOKUP</t>
  </si>
  <si>
    <t>VLOOKUP</t>
  </si>
  <si>
    <t>HLOOKUP</t>
  </si>
  <si>
    <t>vertical lookup</t>
  </si>
  <si>
    <t>horizontal lookup</t>
  </si>
  <si>
    <t>basic</t>
  </si>
  <si>
    <t>Why vlookup is used?</t>
  </si>
  <si>
    <t xml:space="preserve">VLOOKUP is used because the employee id is arranged vertically in a first coloumn and department value is in a same row </t>
  </si>
  <si>
    <t xml:space="preserve">In this example, empid is listed vertically in first column , we are searching for E103 and we want to return DEPARTMENT </t>
  </si>
  <si>
    <t>which is in a column to the right of employee id.</t>
  </si>
  <si>
    <t>using XLOOKUP</t>
  </si>
  <si>
    <t>Since XLOOKUP can search for a value in one range and return a matching value from another</t>
  </si>
  <si>
    <t>let's give it a try</t>
  </si>
  <si>
    <t>XLOOKUP(value,lookup_array, return_array)</t>
  </si>
  <si>
    <t>5.company has set the following commission structure for its sales team:</t>
  </si>
  <si>
    <t>Sales Amount</t>
  </si>
  <si>
    <t>Commission Rate</t>
  </si>
  <si>
    <t>If a salesperson achieves sales of ₹45,000, use the VLOOKUP function to determine the commission rate applicable.</t>
  </si>
  <si>
    <t>since 45000 is not an exact match in table it lies in between 20000(10%) to 50000(15%) ,we will be using approximate match(TRUE) in formula</t>
  </si>
  <si>
    <t>formula = VLOOKUP(45000,TABLE,2,TRUE)</t>
  </si>
  <si>
    <t>6.The HR department maintains the following leave records of employees:onus or not</t>
  </si>
  <si>
    <t>Employee Name</t>
  </si>
  <si>
    <t xml:space="preserve">Leaves Taken </t>
  </si>
  <si>
    <t>Leaves Allowed</t>
  </si>
  <si>
    <t>Alex</t>
  </si>
  <si>
    <t>Bob</t>
  </si>
  <si>
    <t>Anna</t>
  </si>
  <si>
    <t>Write an IF function to check whether an employee has Exceeded their allowed leave balance. If Leaves Taken &gt; Allowed Leaves, display "Exceeded". Otherwise, display "OK".</t>
  </si>
  <si>
    <t>Leave Status</t>
  </si>
  <si>
    <t>IF function is used to compare leaves taken and return exceeded if limit is crossed then "OK"</t>
  </si>
  <si>
    <t>7. Find the salary of EmpID = E105 using INDEX-MATCH Function</t>
  </si>
  <si>
    <t xml:space="preserve">EMPID </t>
  </si>
  <si>
    <t>Salary</t>
  </si>
  <si>
    <t>E106</t>
  </si>
  <si>
    <t>INDEX-MATCH function is a powerful lookup combo used to find value in a table and return a related value from another column or row</t>
  </si>
  <si>
    <t>it is like a VLOOKUP extended version more flexible</t>
  </si>
  <si>
    <t>formula =INDEX(array,row_num,[column_num])</t>
  </si>
  <si>
    <t>formula =MATCH(lookup_value,lookup_array,0)</t>
  </si>
  <si>
    <t>how they work together?</t>
  </si>
  <si>
    <t>MATCH finds the position of the lookup value</t>
  </si>
  <si>
    <t>INDEX uses that position to return the require value</t>
  </si>
  <si>
    <t>EMPID</t>
  </si>
  <si>
    <t>INDEX(D22:D25,MATCH(F23,C22:C25,0))</t>
  </si>
  <si>
    <t>EmpId = C22:C25</t>
  </si>
  <si>
    <t>Salary = D22:D25</t>
  </si>
  <si>
    <t>Lookup value = F23</t>
  </si>
  <si>
    <t>8.Use the XLOOKUP function to find the Department of the employee with Emp ID = E303</t>
  </si>
  <si>
    <t>EmpId</t>
  </si>
  <si>
    <t>E303</t>
  </si>
  <si>
    <t>E301</t>
  </si>
  <si>
    <t>SALES</t>
  </si>
  <si>
    <t>FINANCE</t>
  </si>
  <si>
    <t>XLOOKUP FUNCTION</t>
  </si>
  <si>
    <t>it is a ultra version of all lookups, it is advanced lookup function that can replace VLOOUP &amp; HLOOKUP</t>
  </si>
  <si>
    <t>Formula: =XLOOKUP(lookup_value,lookup_array,return_array)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</si>
</sst>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masis MT Pro Light"/>
      <family val="1"/>
    </font>
    <font>
      <b/>
      <sz val="13"/>
      <color theme="1"/>
      <name val="Aptos Narrow"/>
      <family val="2"/>
      <scheme val="minor"/>
    </font>
    <font>
      <b/>
      <sz val="13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2">
    <xf numFmtId="0" fontId="0" fillId="0" borderId="0" xfId="0"/>
    <xf numFmtId="0" fontId="1" fillId="2" borderId="0" xfId="0" applyFont="1" applyFill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3" borderId="0" xfId="0" applyFont="1" applyFill="1"/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2" fillId="2" borderId="0" xfId="0" applyFont="1" applyFill="1"/>
    <xf numFmtId="0" fontId="6" fillId="0" borderId="0" xfId="0" applyFont="1" applyAlignment="1">
      <alignment horizontal="center"/>
    </xf>
    <xf numFmtId="0" fontId="7" fillId="2" borderId="0" xfId="0" applyFont="1" applyFill="1"/>
    <xf numFmtId="0" fontId="5" fillId="3" borderId="0" xfId="0" applyFont="1" applyFill="1" applyAlignment="1">
      <alignment vertical="center"/>
    </xf>
    <xf numFmtId="0" fontId="1" fillId="5" borderId="0" xfId="0" applyFont="1" applyFill="1"/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2" borderId="0" xfId="0" applyFont="1" applyFill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2" borderId="0" xfId="0" applyFont="1" applyFill="1" applyBorder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9" fontId="1" fillId="2" borderId="1" xfId="1" applyFont="1" applyFill="1" applyBorder="1" applyAlignment="1">
      <alignment horizontal="center"/>
    </xf>
    <xf numFmtId="9" fontId="0" fillId="0" borderId="0" xfId="1" applyFont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508000</xdr:colOff>
      <xdr:row>0</xdr:row>
      <xdr:rowOff>0</xdr:rowOff>
    </xdr:from>
    <xdr:to>
      <xdr:col>21</xdr:col>
      <xdr:colOff>361949</xdr:colOff>
      <xdr:row>25</xdr:row>
      <xdr:rowOff>114696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AD95FDD2-E78D-B015-2CD1-A41605926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75200" y="0"/>
          <a:ext cx="8388349" cy="47184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5FCC4-AB02-4980-8497-063FE41FC25D}">
  <dimension ref="A1"/>
  <sheetViews>
    <sheetView topLeftCell="E2" zoomScaleNormal="100" workbookViewId="0">
      <selection activeCell="W14" sqref="W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C4E3-1729-4D92-89D6-62F09B745A8F}">
  <dimension ref="A3:Q25"/>
  <sheetViews>
    <sheetView workbookViewId="0">
      <selection activeCell="M7" sqref="M7"/>
    </sheetView>
  </sheetViews>
  <sheetFormatPr defaultRowHeight="14.5" x14ac:dyDescent="0.35"/>
  <cols>
    <col min="2" max="2" width="15.08984375" bestFit="1" customWidth="1"/>
    <col min="3" max="3" width="14.453125" customWidth="1"/>
  </cols>
  <sheetData>
    <row r="3" spans="1:17" ht="17" x14ac:dyDescent="0.4">
      <c r="B3" s="9" t="s">
        <v>21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5" spans="1:17" ht="17" x14ac:dyDescent="0.4">
      <c r="B5" s="2" t="s">
        <v>1</v>
      </c>
      <c r="C5" s="2" t="s">
        <v>0</v>
      </c>
      <c r="D5" s="2" t="s">
        <v>7</v>
      </c>
    </row>
    <row r="6" spans="1:17" x14ac:dyDescent="0.35">
      <c r="B6" s="3" t="s">
        <v>2</v>
      </c>
      <c r="C6" s="3">
        <v>45</v>
      </c>
      <c r="D6" s="3" t="str">
        <f>IF(C6&gt;=40,"Pass","Fail")</f>
        <v>Pass</v>
      </c>
    </row>
    <row r="7" spans="1:17" x14ac:dyDescent="0.35">
      <c r="B7" s="3" t="s">
        <v>3</v>
      </c>
      <c r="C7" s="3">
        <v>72</v>
      </c>
      <c r="D7" s="3" t="str">
        <f t="shared" ref="D7:D10" si="0">IF(C7&gt;=40,"Pass","Fail")</f>
        <v>Pass</v>
      </c>
    </row>
    <row r="8" spans="1:17" x14ac:dyDescent="0.35">
      <c r="B8" s="3" t="s">
        <v>4</v>
      </c>
      <c r="C8" s="3">
        <v>55</v>
      </c>
      <c r="D8" s="3" t="str">
        <f t="shared" si="0"/>
        <v>Pass</v>
      </c>
    </row>
    <row r="9" spans="1:17" x14ac:dyDescent="0.35">
      <c r="B9" s="3" t="s">
        <v>5</v>
      </c>
      <c r="C9" s="3">
        <v>80</v>
      </c>
      <c r="D9" s="3" t="str">
        <f t="shared" si="0"/>
        <v>Pass</v>
      </c>
    </row>
    <row r="10" spans="1:17" x14ac:dyDescent="0.35">
      <c r="B10" s="3" t="s">
        <v>6</v>
      </c>
      <c r="C10" s="3">
        <v>30</v>
      </c>
      <c r="D10" s="3" t="str">
        <f t="shared" si="0"/>
        <v>Fail</v>
      </c>
    </row>
    <row r="12" spans="1:17" x14ac:dyDescent="0.35">
      <c r="A12" s="10" t="s">
        <v>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7" x14ac:dyDescent="0.35">
      <c r="B13" s="4"/>
    </row>
    <row r="14" spans="1:17" ht="16" x14ac:dyDescent="0.4">
      <c r="B14" s="11" t="s">
        <v>9</v>
      </c>
      <c r="C14" s="11"/>
      <c r="D14" s="11"/>
      <c r="E14" s="11"/>
      <c r="F14" s="11"/>
      <c r="G14" s="11"/>
      <c r="H14" s="11"/>
      <c r="I14" s="11"/>
    </row>
    <row r="16" spans="1:17" x14ac:dyDescent="0.35">
      <c r="B16" s="1" t="s">
        <v>10</v>
      </c>
    </row>
    <row r="18" spans="2:8" ht="17" x14ac:dyDescent="0.4">
      <c r="B18" s="2" t="s">
        <v>1</v>
      </c>
      <c r="C18" s="2" t="s">
        <v>0</v>
      </c>
      <c r="D18" s="2" t="s">
        <v>7</v>
      </c>
    </row>
    <row r="19" spans="2:8" x14ac:dyDescent="0.35">
      <c r="B19" s="3" t="s">
        <v>2</v>
      </c>
      <c r="C19" s="3">
        <v>45</v>
      </c>
      <c r="D19" s="3" t="str" cm="1">
        <f t="array" ref="D19">_xlfn.IFS(C19&gt;=40,"Pass",C19&lt;40,"Fail")</f>
        <v>Pass</v>
      </c>
    </row>
    <row r="20" spans="2:8" x14ac:dyDescent="0.35">
      <c r="B20" s="3" t="s">
        <v>3</v>
      </c>
      <c r="C20" s="3">
        <v>72</v>
      </c>
      <c r="D20" s="3" t="str" cm="1">
        <f t="array" ref="D20">_xlfn.IFS(C20&gt;=40,"Pass",C20&lt;40,"Fail")</f>
        <v>Pass</v>
      </c>
    </row>
    <row r="21" spans="2:8" x14ac:dyDescent="0.35">
      <c r="B21" s="3" t="s">
        <v>4</v>
      </c>
      <c r="C21" s="3">
        <v>55</v>
      </c>
      <c r="D21" s="3" t="str" cm="1">
        <f t="array" ref="D21">_xlfn.IFS(C21&gt;=40,"Pass",C21&lt;40,"Fail")</f>
        <v>Pass</v>
      </c>
    </row>
    <row r="22" spans="2:8" x14ac:dyDescent="0.35">
      <c r="B22" s="3" t="s">
        <v>5</v>
      </c>
      <c r="C22" s="3">
        <v>80</v>
      </c>
      <c r="D22" s="3" t="str" cm="1">
        <f t="array" ref="D22">_xlfn.IFS(C22&gt;=40,"Pass",C22&lt;40,"Fail")</f>
        <v>Pass</v>
      </c>
    </row>
    <row r="23" spans="2:8" x14ac:dyDescent="0.35">
      <c r="B23" s="3" t="s">
        <v>6</v>
      </c>
      <c r="C23" s="3">
        <v>30</v>
      </c>
      <c r="D23" s="3" t="str" cm="1">
        <f t="array" ref="D23">_xlfn.IFS(C23&gt;=40,"Pass",C23&lt;40,"Fail")</f>
        <v>Fail</v>
      </c>
    </row>
    <row r="25" spans="2:8" x14ac:dyDescent="0.35">
      <c r="C25" s="5" t="s">
        <v>11</v>
      </c>
      <c r="D25" s="12" t="s">
        <v>12</v>
      </c>
      <c r="E25" s="12"/>
      <c r="F25" s="12"/>
      <c r="G25" s="12"/>
      <c r="H25" s="12"/>
    </row>
  </sheetData>
  <mergeCells count="4">
    <mergeCell ref="B3:Q3"/>
    <mergeCell ref="A12:K12"/>
    <mergeCell ref="B14:I14"/>
    <mergeCell ref="D25:H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F185-44B9-486A-A6D8-979D59DBF4F6}">
  <dimension ref="B2:R22"/>
  <sheetViews>
    <sheetView topLeftCell="A9" workbookViewId="0">
      <selection activeCell="E20" sqref="E20"/>
    </sheetView>
  </sheetViews>
  <sheetFormatPr defaultRowHeight="14.5" x14ac:dyDescent="0.35"/>
  <cols>
    <col min="2" max="2" width="10.6328125" bestFit="1" customWidth="1"/>
    <col min="3" max="3" width="7" customWidth="1"/>
    <col min="4" max="4" width="12.26953125" bestFit="1" customWidth="1"/>
    <col min="5" max="5" width="8.7265625" customWidth="1"/>
  </cols>
  <sheetData>
    <row r="2" spans="2:18" ht="17" customHeight="1" x14ac:dyDescent="0.35">
      <c r="B2" s="14" t="s">
        <v>13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2:18" x14ac:dyDescent="0.3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2:18" x14ac:dyDescent="0.35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7" spans="2:18" ht="17" x14ac:dyDescent="0.35">
      <c r="B7" s="6" t="s">
        <v>14</v>
      </c>
      <c r="C7" s="6" t="s">
        <v>15</v>
      </c>
      <c r="D7" s="6" t="s">
        <v>16</v>
      </c>
      <c r="E7" s="6" t="s">
        <v>22</v>
      </c>
    </row>
    <row r="8" spans="2:18" x14ac:dyDescent="0.35">
      <c r="B8" s="8" t="s">
        <v>17</v>
      </c>
      <c r="C8" s="8">
        <v>55000</v>
      </c>
      <c r="D8" s="8">
        <v>95</v>
      </c>
      <c r="E8" s="7" t="str">
        <f>IF(AND(C8&gt;40000,D8&gt;=90),"Bonus","No Bonus")</f>
        <v>Bonus</v>
      </c>
      <c r="G8" s="15" t="s">
        <v>23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2:18" x14ac:dyDescent="0.35">
      <c r="B9" s="8" t="s">
        <v>18</v>
      </c>
      <c r="C9" s="8">
        <v>65000</v>
      </c>
      <c r="D9" s="8">
        <v>85</v>
      </c>
      <c r="E9" s="7" t="str">
        <f t="shared" ref="E9:E11" si="0">IF(AND(C9&gt;40000,D9&gt;=90),"Bonus","No Bonus")</f>
        <v>No Bonus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 spans="2:18" x14ac:dyDescent="0.35">
      <c r="B10" s="8" t="s">
        <v>19</v>
      </c>
      <c r="C10" s="8">
        <v>30000</v>
      </c>
      <c r="D10" s="8">
        <v>90</v>
      </c>
      <c r="E10" s="7" t="str">
        <f t="shared" si="0"/>
        <v>No Bonus</v>
      </c>
    </row>
    <row r="11" spans="2:18" x14ac:dyDescent="0.35">
      <c r="B11" s="8" t="s">
        <v>20</v>
      </c>
      <c r="C11" s="8">
        <v>25000</v>
      </c>
      <c r="D11" s="8">
        <v>65</v>
      </c>
      <c r="E11" s="7" t="str">
        <f t="shared" si="0"/>
        <v>No Bonus</v>
      </c>
    </row>
    <row r="15" spans="2:18" x14ac:dyDescent="0.35">
      <c r="B15" s="13" t="s">
        <v>24</v>
      </c>
      <c r="C15" s="13"/>
      <c r="D15" s="13"/>
      <c r="E15" s="13"/>
      <c r="F15" s="13"/>
      <c r="G15" s="13"/>
    </row>
    <row r="16" spans="2:18" x14ac:dyDescent="0.35">
      <c r="B16" s="13" t="s">
        <v>25</v>
      </c>
      <c r="C16" s="13"/>
      <c r="D16" s="13"/>
      <c r="E16" s="13"/>
      <c r="F16" s="13"/>
      <c r="G16" s="13"/>
    </row>
    <row r="18" spans="2:16" ht="17" x14ac:dyDescent="0.35">
      <c r="B18" s="6" t="s">
        <v>14</v>
      </c>
      <c r="C18" s="6" t="s">
        <v>15</v>
      </c>
      <c r="D18" s="6" t="s">
        <v>16</v>
      </c>
      <c r="E18" s="6" t="s">
        <v>22</v>
      </c>
    </row>
    <row r="19" spans="2:16" x14ac:dyDescent="0.35">
      <c r="B19" s="8" t="s">
        <v>17</v>
      </c>
      <c r="C19" s="8">
        <v>55000</v>
      </c>
      <c r="D19" s="8">
        <v>95</v>
      </c>
      <c r="E19" s="7" t="str">
        <f>IF(C19&gt;40000,IF(D19&gt;=90,"Bonus","No Bonus"),"No Bonus")</f>
        <v>Bonus</v>
      </c>
      <c r="G19" s="13" t="s">
        <v>26</v>
      </c>
      <c r="H19" s="13"/>
      <c r="I19" s="13"/>
      <c r="J19" s="13"/>
      <c r="K19" s="13"/>
      <c r="L19" s="13"/>
      <c r="M19" s="13"/>
      <c r="N19" s="13"/>
      <c r="O19" s="13"/>
      <c r="P19" s="13"/>
    </row>
    <row r="20" spans="2:16" x14ac:dyDescent="0.35">
      <c r="B20" s="8" t="s">
        <v>18</v>
      </c>
      <c r="C20" s="8">
        <v>65000</v>
      </c>
      <c r="D20" s="8">
        <v>85</v>
      </c>
      <c r="E20" s="7" t="str">
        <f t="shared" ref="E20:E22" si="1">IF(C20&gt;40000,IF(D20&gt;=90,"Bonus","No Bonus"),"No Bonus")</f>
        <v>No Bonus</v>
      </c>
      <c r="G20" s="13" t="s">
        <v>27</v>
      </c>
      <c r="H20" s="13"/>
      <c r="I20" s="13"/>
      <c r="J20" s="13"/>
      <c r="K20" s="13"/>
      <c r="L20" s="13"/>
      <c r="M20" s="13"/>
      <c r="N20" s="13"/>
      <c r="O20" s="13"/>
      <c r="P20" s="13"/>
    </row>
    <row r="21" spans="2:16" x14ac:dyDescent="0.35">
      <c r="B21" s="8" t="s">
        <v>19</v>
      </c>
      <c r="C21" s="8">
        <v>30000</v>
      </c>
      <c r="D21" s="8">
        <v>90</v>
      </c>
      <c r="E21" s="7" t="str">
        <f t="shared" si="1"/>
        <v>No Bonus</v>
      </c>
      <c r="G21" s="13" t="s">
        <v>28</v>
      </c>
      <c r="H21" s="13"/>
      <c r="I21" s="13"/>
      <c r="J21" s="13"/>
    </row>
    <row r="22" spans="2:16" x14ac:dyDescent="0.35">
      <c r="B22" s="8" t="s">
        <v>20</v>
      </c>
      <c r="C22" s="8">
        <v>25000</v>
      </c>
      <c r="D22" s="8">
        <v>65</v>
      </c>
      <c r="E22" s="7" t="str">
        <f t="shared" si="1"/>
        <v>No Bonus</v>
      </c>
    </row>
  </sheetData>
  <mergeCells count="7">
    <mergeCell ref="G19:P19"/>
    <mergeCell ref="G20:P20"/>
    <mergeCell ref="G21:J21"/>
    <mergeCell ref="B2:R4"/>
    <mergeCell ref="G8:R9"/>
    <mergeCell ref="B15:G15"/>
    <mergeCell ref="B16:G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4042-83DD-4D90-88DB-12F77381764C}">
  <dimension ref="B2:N16"/>
  <sheetViews>
    <sheetView topLeftCell="A2" workbookViewId="0">
      <selection activeCell="I8" sqref="I8"/>
    </sheetView>
  </sheetViews>
  <sheetFormatPr defaultRowHeight="14.5" x14ac:dyDescent="0.35"/>
  <cols>
    <col min="2" max="2" width="13.81640625" customWidth="1"/>
    <col min="3" max="3" width="13.453125" customWidth="1"/>
  </cols>
  <sheetData>
    <row r="2" spans="2:14" ht="17" x14ac:dyDescent="0.4">
      <c r="B2" s="16" t="s">
        <v>29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spans="2:14" ht="16" x14ac:dyDescent="0.4">
      <c r="B4" s="20" t="s">
        <v>1</v>
      </c>
      <c r="C4" s="20" t="s">
        <v>0</v>
      </c>
      <c r="D4" s="19" t="s">
        <v>7</v>
      </c>
    </row>
    <row r="5" spans="2:14" x14ac:dyDescent="0.35">
      <c r="B5" s="18" t="s">
        <v>30</v>
      </c>
      <c r="C5" s="18">
        <v>85</v>
      </c>
      <c r="D5" s="18" t="str">
        <f>IF(C5&gt;=90,"A",IF(C5&gt;=75,"B",IF(C5&gt;=50,"C","Fail")))</f>
        <v>B</v>
      </c>
    </row>
    <row r="6" spans="2:14" x14ac:dyDescent="0.35">
      <c r="B6" s="18" t="s">
        <v>31</v>
      </c>
      <c r="C6" s="18">
        <v>96</v>
      </c>
      <c r="D6" s="18" t="str">
        <f t="shared" ref="D6:D9" si="0">IF(C6&gt;=90,"A",IF(C6&gt;=75,"B",IF(C6&gt;=50,"C","Fail")))</f>
        <v>A</v>
      </c>
    </row>
    <row r="7" spans="2:14" x14ac:dyDescent="0.35">
      <c r="B7" s="18" t="s">
        <v>32</v>
      </c>
      <c r="C7" s="18">
        <v>57</v>
      </c>
      <c r="D7" s="18" t="str">
        <f t="shared" si="0"/>
        <v>C</v>
      </c>
    </row>
    <row r="8" spans="2:14" x14ac:dyDescent="0.35">
      <c r="B8" s="18" t="s">
        <v>33</v>
      </c>
      <c r="C8" s="18">
        <v>92</v>
      </c>
      <c r="D8" s="18" t="str">
        <f t="shared" si="0"/>
        <v>A</v>
      </c>
    </row>
    <row r="9" spans="2:14" x14ac:dyDescent="0.35">
      <c r="B9" s="18" t="s">
        <v>34</v>
      </c>
      <c r="C9" s="18">
        <v>75</v>
      </c>
      <c r="D9" s="18" t="str">
        <f t="shared" si="0"/>
        <v>B</v>
      </c>
    </row>
    <row r="11" spans="2:14" x14ac:dyDescent="0.35">
      <c r="B11" s="24" t="s">
        <v>35</v>
      </c>
      <c r="C11" s="24"/>
      <c r="D11" s="24"/>
      <c r="E11" s="24"/>
      <c r="F11" s="24"/>
    </row>
    <row r="14" spans="2:14" x14ac:dyDescent="0.35">
      <c r="B14" s="23" t="s">
        <v>36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6" spans="2:14" x14ac:dyDescent="0.35">
      <c r="B16" s="24" t="s">
        <v>37</v>
      </c>
      <c r="C16" s="24"/>
      <c r="D16" s="24"/>
      <c r="E16" s="24"/>
      <c r="F16" s="24"/>
      <c r="G16" s="24"/>
      <c r="H16" s="24"/>
    </row>
  </sheetData>
  <mergeCells count="4">
    <mergeCell ref="B2:N2"/>
    <mergeCell ref="B11:F11"/>
    <mergeCell ref="B14:M14"/>
    <mergeCell ref="B16:H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49C2-C031-47AA-A955-6049876C6409}">
  <dimension ref="A2:O38"/>
  <sheetViews>
    <sheetView topLeftCell="A7" workbookViewId="0">
      <selection activeCell="J36" sqref="J36"/>
    </sheetView>
  </sheetViews>
  <sheetFormatPr defaultRowHeight="14.5" x14ac:dyDescent="0.35"/>
  <cols>
    <col min="1" max="1" width="9.08984375" bestFit="1" customWidth="1"/>
    <col min="2" max="2" width="14.6328125" bestFit="1" customWidth="1"/>
    <col min="4" max="4" width="10.54296875" bestFit="1" customWidth="1"/>
    <col min="6" max="7" width="10.81640625" bestFit="1" customWidth="1"/>
    <col min="14" max="16384" width="8.7265625" style="22"/>
  </cols>
  <sheetData>
    <row r="2" spans="1:15" ht="16" x14ac:dyDescent="0.4">
      <c r="B2" s="11" t="s">
        <v>38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15" x14ac:dyDescent="0.35">
      <c r="B4" s="19" t="s">
        <v>39</v>
      </c>
      <c r="C4" s="19" t="s">
        <v>40</v>
      </c>
      <c r="D4" s="19" t="s">
        <v>41</v>
      </c>
    </row>
    <row r="5" spans="1:15" x14ac:dyDescent="0.35">
      <c r="B5" s="18" t="s">
        <v>42</v>
      </c>
      <c r="C5" s="18" t="s">
        <v>4</v>
      </c>
      <c r="D5" s="18" t="s">
        <v>50</v>
      </c>
    </row>
    <row r="6" spans="1:15" x14ac:dyDescent="0.35">
      <c r="B6" s="18" t="s">
        <v>43</v>
      </c>
      <c r="C6" s="18" t="s">
        <v>47</v>
      </c>
      <c r="D6" s="18" t="s">
        <v>51</v>
      </c>
      <c r="F6" s="28" t="s">
        <v>39</v>
      </c>
      <c r="G6" s="28" t="s">
        <v>41</v>
      </c>
    </row>
    <row r="7" spans="1:15" x14ac:dyDescent="0.35">
      <c r="B7" s="18" t="s">
        <v>44</v>
      </c>
      <c r="C7" s="18" t="s">
        <v>48</v>
      </c>
      <c r="D7" s="18" t="s">
        <v>52</v>
      </c>
      <c r="F7" s="22" t="s">
        <v>44</v>
      </c>
      <c r="G7" s="27" t="str">
        <f>VLOOKUP(F7,B4:D8,3,)</f>
        <v xml:space="preserve">Finance </v>
      </c>
    </row>
    <row r="8" spans="1:15" x14ac:dyDescent="0.35">
      <c r="B8" s="18" t="s">
        <v>45</v>
      </c>
      <c r="C8" s="18" t="s">
        <v>49</v>
      </c>
      <c r="D8" s="18" t="s">
        <v>15</v>
      </c>
    </row>
    <row r="9" spans="1:15" x14ac:dyDescent="0.35">
      <c r="F9" s="24" t="s">
        <v>53</v>
      </c>
      <c r="G9" s="24"/>
      <c r="H9" s="24"/>
      <c r="I9" s="24"/>
      <c r="J9" s="24"/>
      <c r="K9" s="24"/>
    </row>
    <row r="11" spans="1:15" x14ac:dyDescent="0.35">
      <c r="A11" s="23" t="s">
        <v>54</v>
      </c>
      <c r="B11" s="23"/>
      <c r="C11" s="23"/>
      <c r="D11" s="23"/>
    </row>
    <row r="13" spans="1:15" x14ac:dyDescent="0.35">
      <c r="A13" s="24" t="s">
        <v>55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</row>
    <row r="14" spans="1:15" x14ac:dyDescent="0.35">
      <c r="A14" s="24" t="s">
        <v>56</v>
      </c>
      <c r="B14" s="24"/>
      <c r="C14" s="24"/>
      <c r="D14" s="24"/>
      <c r="E14" s="24"/>
      <c r="F14" s="24"/>
    </row>
    <row r="16" spans="1:15" x14ac:dyDescent="0.35">
      <c r="A16" s="24" t="s">
        <v>57</v>
      </c>
      <c r="B16" s="24"/>
    </row>
    <row r="18" spans="1:13" x14ac:dyDescent="0.35">
      <c r="A18" s="1" t="s">
        <v>58</v>
      </c>
      <c r="B18" s="1" t="s">
        <v>63</v>
      </c>
    </row>
    <row r="19" spans="1:13" x14ac:dyDescent="0.35">
      <c r="A19" s="1" t="s">
        <v>59</v>
      </c>
      <c r="B19" s="1" t="s">
        <v>61</v>
      </c>
    </row>
    <row r="20" spans="1:13" x14ac:dyDescent="0.35">
      <c r="A20" s="1" t="s">
        <v>60</v>
      </c>
      <c r="B20" s="1" t="s">
        <v>62</v>
      </c>
    </row>
    <row r="22" spans="1:13" x14ac:dyDescent="0.35">
      <c r="B22" s="30" t="s">
        <v>64</v>
      </c>
      <c r="C22" s="30"/>
      <c r="D22" s="29"/>
    </row>
    <row r="24" spans="1:13" x14ac:dyDescent="0.35">
      <c r="B24" s="24" t="s">
        <v>65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1:13" x14ac:dyDescent="0.35">
      <c r="B25" s="24" t="s">
        <v>66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</row>
    <row r="26" spans="1:13" x14ac:dyDescent="0.35">
      <c r="B26" s="24" t="s">
        <v>67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8" spans="1:13" x14ac:dyDescent="0.35">
      <c r="B28" s="1" t="s">
        <v>68</v>
      </c>
    </row>
    <row r="29" spans="1:13" x14ac:dyDescent="0.35">
      <c r="B29" s="24" t="s">
        <v>69</v>
      </c>
      <c r="C29" s="24"/>
      <c r="D29" s="24"/>
      <c r="E29" s="24"/>
      <c r="F29" s="24"/>
      <c r="G29" s="24"/>
      <c r="H29" s="24"/>
      <c r="I29" s="24"/>
    </row>
    <row r="30" spans="1:13" x14ac:dyDescent="0.35">
      <c r="B30" s="1" t="s">
        <v>70</v>
      </c>
    </row>
    <row r="32" spans="1:13" x14ac:dyDescent="0.35">
      <c r="B32" s="19" t="s">
        <v>39</v>
      </c>
      <c r="C32" s="19" t="s">
        <v>40</v>
      </c>
      <c r="D32" s="19" t="s">
        <v>41</v>
      </c>
    </row>
    <row r="33" spans="2:8" x14ac:dyDescent="0.35">
      <c r="B33" s="18" t="s">
        <v>42</v>
      </c>
      <c r="C33" s="18" t="s">
        <v>4</v>
      </c>
      <c r="D33" s="18" t="s">
        <v>50</v>
      </c>
      <c r="F33" s="28" t="s">
        <v>39</v>
      </c>
      <c r="G33" s="28" t="s">
        <v>41</v>
      </c>
    </row>
    <row r="34" spans="2:8" x14ac:dyDescent="0.35">
      <c r="B34" s="18" t="s">
        <v>43</v>
      </c>
      <c r="C34" s="18" t="s">
        <v>47</v>
      </c>
      <c r="D34" s="18" t="s">
        <v>51</v>
      </c>
      <c r="F34" s="22" t="s">
        <v>44</v>
      </c>
      <c r="G34" s="25" t="str">
        <f>_xlfn.XLOOKUP(F34,B33:B36,D33:D36)</f>
        <v xml:space="preserve">Finance </v>
      </c>
    </row>
    <row r="35" spans="2:8" x14ac:dyDescent="0.35">
      <c r="B35" s="18" t="s">
        <v>44</v>
      </c>
      <c r="C35" s="18" t="s">
        <v>48</v>
      </c>
      <c r="D35" s="18" t="s">
        <v>52</v>
      </c>
      <c r="F35" s="22" t="s">
        <v>43</v>
      </c>
      <c r="G35" s="25" t="str">
        <f>_xlfn.XLOOKUP(F35,B34:B37,D34:D37)</f>
        <v>HR</v>
      </c>
    </row>
    <row r="36" spans="2:8" x14ac:dyDescent="0.35">
      <c r="B36" s="18" t="s">
        <v>45</v>
      </c>
      <c r="C36" s="18" t="s">
        <v>49</v>
      </c>
      <c r="D36" s="18" t="s">
        <v>15</v>
      </c>
    </row>
    <row r="38" spans="2:8" x14ac:dyDescent="0.35">
      <c r="D38" s="23" t="s">
        <v>71</v>
      </c>
      <c r="E38" s="23"/>
      <c r="F38" s="23"/>
      <c r="G38" s="23"/>
      <c r="H38" s="23"/>
    </row>
  </sheetData>
  <mergeCells count="12">
    <mergeCell ref="B29:I29"/>
    <mergeCell ref="D38:H38"/>
    <mergeCell ref="A16:B16"/>
    <mergeCell ref="B22:C22"/>
    <mergeCell ref="B24:M24"/>
    <mergeCell ref="B25:M25"/>
    <mergeCell ref="B26:M26"/>
    <mergeCell ref="B2:M2"/>
    <mergeCell ref="F9:K9"/>
    <mergeCell ref="A11:D11"/>
    <mergeCell ref="A13:O13"/>
    <mergeCell ref="A14:F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0ED8-DFBE-4150-8C9C-726D7CE2B57D}">
  <dimension ref="C3:N21"/>
  <sheetViews>
    <sheetView topLeftCell="A7" workbookViewId="0">
      <selection activeCell="H16" sqref="H16"/>
    </sheetView>
  </sheetViews>
  <sheetFormatPr defaultRowHeight="14.5" x14ac:dyDescent="0.35"/>
  <cols>
    <col min="3" max="3" width="12.26953125" bestFit="1" customWidth="1"/>
    <col min="4" max="4" width="15.08984375" bestFit="1" customWidth="1"/>
    <col min="5" max="5" width="8.7265625" customWidth="1"/>
    <col min="6" max="6" width="14.1796875" customWidth="1"/>
    <col min="7" max="7" width="15.08984375" bestFit="1" customWidth="1"/>
  </cols>
  <sheetData>
    <row r="3" spans="3:13" ht="16" x14ac:dyDescent="0.4">
      <c r="C3" s="11" t="s">
        <v>72</v>
      </c>
      <c r="D3" s="11"/>
      <c r="E3" s="11"/>
      <c r="F3" s="11"/>
      <c r="G3" s="11"/>
      <c r="H3" s="11"/>
      <c r="I3" s="11"/>
      <c r="J3" s="11"/>
    </row>
    <row r="6" spans="3:13" x14ac:dyDescent="0.35">
      <c r="C6" s="21" t="s">
        <v>73</v>
      </c>
      <c r="D6" s="21" t="s">
        <v>74</v>
      </c>
    </row>
    <row r="7" spans="3:13" x14ac:dyDescent="0.35">
      <c r="C7" s="19">
        <v>0</v>
      </c>
      <c r="D7" s="31">
        <v>0.05</v>
      </c>
    </row>
    <row r="8" spans="3:13" x14ac:dyDescent="0.35">
      <c r="C8" s="19">
        <v>20000</v>
      </c>
      <c r="D8" s="31">
        <v>0.1</v>
      </c>
    </row>
    <row r="9" spans="3:13" x14ac:dyDescent="0.35">
      <c r="C9" s="19">
        <v>50000</v>
      </c>
      <c r="D9" s="31">
        <v>0.15</v>
      </c>
    </row>
    <row r="10" spans="3:13" x14ac:dyDescent="0.35">
      <c r="C10" s="19">
        <v>80000</v>
      </c>
      <c r="D10" s="31">
        <v>0.2</v>
      </c>
    </row>
    <row r="12" spans="3:13" x14ac:dyDescent="0.35">
      <c r="C12" s="24" t="s">
        <v>75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4" spans="3:13" x14ac:dyDescent="0.35">
      <c r="C14" s="21" t="s">
        <v>73</v>
      </c>
      <c r="D14" s="21" t="s">
        <v>74</v>
      </c>
    </row>
    <row r="15" spans="3:13" x14ac:dyDescent="0.35">
      <c r="C15" s="19">
        <v>0</v>
      </c>
      <c r="D15" s="31">
        <v>0.05</v>
      </c>
    </row>
    <row r="16" spans="3:13" x14ac:dyDescent="0.35">
      <c r="C16" s="19">
        <v>20000</v>
      </c>
      <c r="D16" s="31">
        <v>0.1</v>
      </c>
      <c r="F16" s="17" t="s">
        <v>73</v>
      </c>
      <c r="G16" s="17" t="s">
        <v>74</v>
      </c>
    </row>
    <row r="17" spans="3:14" x14ac:dyDescent="0.35">
      <c r="C17" s="19">
        <v>50000</v>
      </c>
      <c r="D17" s="31">
        <v>0.15</v>
      </c>
      <c r="F17" s="19">
        <v>45000</v>
      </c>
      <c r="G17" s="32">
        <f>VLOOKUP(F17,C14:D18,2,TRUE)</f>
        <v>0.1</v>
      </c>
      <c r="H17" s="33"/>
    </row>
    <row r="18" spans="3:14" x14ac:dyDescent="0.35">
      <c r="C18" s="19">
        <v>80000</v>
      </c>
      <c r="D18" s="31">
        <v>0.2</v>
      </c>
    </row>
    <row r="20" spans="3:14" x14ac:dyDescent="0.35">
      <c r="C20" s="24" t="s">
        <v>76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3:14" x14ac:dyDescent="0.35">
      <c r="C21" s="24" t="s">
        <v>77</v>
      </c>
      <c r="D21" s="24"/>
      <c r="E21" s="24"/>
      <c r="F21" s="24"/>
    </row>
  </sheetData>
  <mergeCells count="4">
    <mergeCell ref="C3:J3"/>
    <mergeCell ref="C12:M12"/>
    <mergeCell ref="C20:N20"/>
    <mergeCell ref="C21:F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05F4-8206-4931-907B-572B5BB4680F}">
  <dimension ref="A2:Q19"/>
  <sheetViews>
    <sheetView topLeftCell="A4" workbookViewId="0">
      <selection activeCell="J14" sqref="J14"/>
    </sheetView>
  </sheetViews>
  <sheetFormatPr defaultRowHeight="14.5" x14ac:dyDescent="0.35"/>
  <cols>
    <col min="2" max="2" width="13.90625" bestFit="1" customWidth="1"/>
    <col min="3" max="3" width="12" bestFit="1" customWidth="1"/>
    <col min="4" max="4" width="13.1796875" bestFit="1" customWidth="1"/>
    <col min="5" max="5" width="11.36328125" bestFit="1" customWidth="1"/>
  </cols>
  <sheetData>
    <row r="2" spans="2:17" ht="16" x14ac:dyDescent="0.4">
      <c r="B2" s="11" t="s">
        <v>78</v>
      </c>
      <c r="C2" s="11"/>
      <c r="D2" s="11"/>
      <c r="E2" s="11"/>
      <c r="F2" s="11"/>
      <c r="G2" s="11"/>
      <c r="H2" s="11"/>
      <c r="I2" s="11"/>
      <c r="J2" s="11"/>
    </row>
    <row r="5" spans="2:17" x14ac:dyDescent="0.35">
      <c r="B5" s="26" t="s">
        <v>79</v>
      </c>
      <c r="C5" s="26" t="s">
        <v>80</v>
      </c>
      <c r="D5" s="26" t="s">
        <v>81</v>
      </c>
    </row>
    <row r="6" spans="2:17" x14ac:dyDescent="0.35">
      <c r="B6" s="25" t="s">
        <v>82</v>
      </c>
      <c r="C6" s="25">
        <v>10</v>
      </c>
      <c r="D6" s="25">
        <v>12</v>
      </c>
    </row>
    <row r="7" spans="2:17" x14ac:dyDescent="0.35">
      <c r="B7" s="25" t="s">
        <v>83</v>
      </c>
      <c r="C7" s="25">
        <v>10</v>
      </c>
      <c r="D7" s="25">
        <v>15</v>
      </c>
    </row>
    <row r="8" spans="2:17" x14ac:dyDescent="0.35">
      <c r="B8" s="25" t="s">
        <v>84</v>
      </c>
      <c r="C8" s="25">
        <v>8</v>
      </c>
      <c r="D8" s="25">
        <v>12</v>
      </c>
    </row>
    <row r="11" spans="2:17" x14ac:dyDescent="0.35">
      <c r="B11" s="24" t="s">
        <v>85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</row>
    <row r="13" spans="2:17" x14ac:dyDescent="0.35">
      <c r="B13" s="26" t="s">
        <v>79</v>
      </c>
      <c r="C13" s="26" t="s">
        <v>80</v>
      </c>
      <c r="D13" s="26" t="s">
        <v>81</v>
      </c>
      <c r="E13" s="26" t="s">
        <v>86</v>
      </c>
    </row>
    <row r="14" spans="2:17" x14ac:dyDescent="0.35">
      <c r="B14" s="25" t="s">
        <v>82</v>
      </c>
      <c r="C14" s="25">
        <v>10</v>
      </c>
      <c r="D14" s="25">
        <v>12</v>
      </c>
      <c r="E14" s="25" t="str">
        <f>IF(C14&gt;D14,"Exceeded","OK")</f>
        <v>OK</v>
      </c>
    </row>
    <row r="15" spans="2:17" x14ac:dyDescent="0.35">
      <c r="B15" s="25" t="s">
        <v>83</v>
      </c>
      <c r="C15" s="25">
        <v>10</v>
      </c>
      <c r="D15" s="25">
        <v>15</v>
      </c>
      <c r="E15" s="25" t="str">
        <f t="shared" ref="E15:E16" si="0">IF(C15&gt;D15,"Exceeded","OK")</f>
        <v>OK</v>
      </c>
    </row>
    <row r="16" spans="2:17" x14ac:dyDescent="0.35">
      <c r="B16" s="25" t="s">
        <v>84</v>
      </c>
      <c r="C16" s="25">
        <v>8</v>
      </c>
      <c r="D16" s="25">
        <v>12</v>
      </c>
      <c r="E16" s="25" t="str">
        <f t="shared" si="0"/>
        <v>OK</v>
      </c>
    </row>
    <row r="19" spans="1:8" x14ac:dyDescent="0.35">
      <c r="A19" s="30" t="s">
        <v>87</v>
      </c>
      <c r="B19" s="30"/>
      <c r="C19" s="30"/>
      <c r="D19" s="30"/>
      <c r="E19" s="30"/>
      <c r="F19" s="30"/>
      <c r="G19" s="30"/>
      <c r="H19" s="30"/>
    </row>
  </sheetData>
  <mergeCells count="3">
    <mergeCell ref="B2:J2"/>
    <mergeCell ref="B11:Q11"/>
    <mergeCell ref="A19:H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2FA4-63D9-4910-A387-7932E179002A}">
  <dimension ref="C2:Q31"/>
  <sheetViews>
    <sheetView topLeftCell="A17" workbookViewId="0">
      <selection activeCell="M28" sqref="M28"/>
    </sheetView>
  </sheetViews>
  <sheetFormatPr defaultRowHeight="14.5" x14ac:dyDescent="0.35"/>
  <sheetData>
    <row r="2" spans="3:17" ht="16" x14ac:dyDescent="0.4">
      <c r="C2" s="11" t="s">
        <v>88</v>
      </c>
      <c r="D2" s="11"/>
      <c r="E2" s="11"/>
      <c r="F2" s="11"/>
      <c r="G2" s="11"/>
      <c r="H2" s="11"/>
      <c r="I2" s="11"/>
    </row>
    <row r="5" spans="3:17" x14ac:dyDescent="0.35">
      <c r="C5" s="34" t="s">
        <v>89</v>
      </c>
      <c r="D5" s="34" t="s">
        <v>90</v>
      </c>
    </row>
    <row r="6" spans="3:17" x14ac:dyDescent="0.35">
      <c r="C6" s="35" t="s">
        <v>45</v>
      </c>
      <c r="D6" s="35">
        <v>55000</v>
      </c>
    </row>
    <row r="7" spans="3:17" x14ac:dyDescent="0.35">
      <c r="C7" s="35" t="s">
        <v>46</v>
      </c>
      <c r="D7" s="35">
        <v>72000</v>
      </c>
    </row>
    <row r="8" spans="3:17" x14ac:dyDescent="0.35">
      <c r="C8" s="35" t="s">
        <v>91</v>
      </c>
      <c r="D8" s="35">
        <v>62000</v>
      </c>
    </row>
    <row r="9" spans="3:17" x14ac:dyDescent="0.35">
      <c r="C9" s="35" t="s">
        <v>43</v>
      </c>
      <c r="D9" s="35">
        <v>41000</v>
      </c>
    </row>
    <row r="10" spans="3:17" x14ac:dyDescent="0.35">
      <c r="E10" s="36" t="s">
        <v>92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</row>
    <row r="11" spans="3:17" x14ac:dyDescent="0.35">
      <c r="E11" s="24" t="s">
        <v>93</v>
      </c>
      <c r="F11" s="24"/>
      <c r="G11" s="24"/>
      <c r="H11" s="24"/>
      <c r="I11" s="24"/>
    </row>
    <row r="13" spans="3:17" x14ac:dyDescent="0.35">
      <c r="C13" s="24" t="s">
        <v>94</v>
      </c>
      <c r="D13" s="24"/>
      <c r="E13" s="24"/>
      <c r="F13" s="24"/>
      <c r="G13" s="24"/>
    </row>
    <row r="14" spans="3:17" x14ac:dyDescent="0.35">
      <c r="C14" s="24" t="s">
        <v>95</v>
      </c>
      <c r="D14" s="24"/>
      <c r="E14" s="24"/>
      <c r="F14" s="24"/>
      <c r="G14" s="24"/>
    </row>
    <row r="16" spans="3:17" x14ac:dyDescent="0.35">
      <c r="C16" s="24" t="s">
        <v>96</v>
      </c>
      <c r="D16" s="24"/>
      <c r="E16" s="24"/>
    </row>
    <row r="17" spans="3:9" x14ac:dyDescent="0.35">
      <c r="C17" s="24" t="s">
        <v>97</v>
      </c>
      <c r="D17" s="24"/>
      <c r="E17" s="24"/>
      <c r="F17" s="24"/>
      <c r="G17" s="24"/>
      <c r="H17" s="24"/>
    </row>
    <row r="18" spans="3:9" x14ac:dyDescent="0.35">
      <c r="C18" s="24" t="s">
        <v>98</v>
      </c>
      <c r="D18" s="24"/>
      <c r="E18" s="24"/>
      <c r="F18" s="24"/>
      <c r="G18" s="24"/>
      <c r="H18" s="24"/>
    </row>
    <row r="21" spans="3:9" x14ac:dyDescent="0.35">
      <c r="C21" s="34" t="s">
        <v>89</v>
      </c>
      <c r="D21" s="34" t="s">
        <v>90</v>
      </c>
    </row>
    <row r="22" spans="3:9" x14ac:dyDescent="0.35">
      <c r="C22" s="35" t="s">
        <v>45</v>
      </c>
      <c r="D22" s="35">
        <v>55000</v>
      </c>
      <c r="F22" s="26" t="s">
        <v>99</v>
      </c>
      <c r="G22" s="26" t="s">
        <v>90</v>
      </c>
    </row>
    <row r="23" spans="3:9" x14ac:dyDescent="0.35">
      <c r="C23" s="35" t="s">
        <v>46</v>
      </c>
      <c r="D23" s="35">
        <v>72000</v>
      </c>
      <c r="F23" s="25" t="s">
        <v>46</v>
      </c>
      <c r="G23" s="25">
        <f>INDEX(D22:D25,MATCH(F23,C22:C25,0))</f>
        <v>72000</v>
      </c>
    </row>
    <row r="24" spans="3:9" x14ac:dyDescent="0.35">
      <c r="C24" s="35" t="s">
        <v>91</v>
      </c>
      <c r="D24" s="35">
        <v>62000</v>
      </c>
    </row>
    <row r="25" spans="3:9" x14ac:dyDescent="0.35">
      <c r="C25" s="35" t="s">
        <v>43</v>
      </c>
      <c r="D25" s="35">
        <v>41000</v>
      </c>
    </row>
    <row r="27" spans="3:9" x14ac:dyDescent="0.35">
      <c r="E27" s="24" t="s">
        <v>100</v>
      </c>
      <c r="F27" s="24"/>
      <c r="G27" s="24"/>
      <c r="H27" s="24"/>
      <c r="I27" s="24"/>
    </row>
    <row r="29" spans="3:9" x14ac:dyDescent="0.35">
      <c r="E29" s="24" t="s">
        <v>101</v>
      </c>
      <c r="F29" s="24"/>
    </row>
    <row r="30" spans="3:9" x14ac:dyDescent="0.35">
      <c r="E30" s="1" t="s">
        <v>102</v>
      </c>
      <c r="F30" s="1"/>
    </row>
    <row r="31" spans="3:9" x14ac:dyDescent="0.35">
      <c r="E31" s="24" t="s">
        <v>103</v>
      </c>
      <c r="F31" s="24"/>
    </row>
  </sheetData>
  <mergeCells count="11">
    <mergeCell ref="C16:E16"/>
    <mergeCell ref="C17:H17"/>
    <mergeCell ref="C18:H18"/>
    <mergeCell ref="E27:I27"/>
    <mergeCell ref="E29:F29"/>
    <mergeCell ref="E31:F31"/>
    <mergeCell ref="C2:I2"/>
    <mergeCell ref="E10:Q10"/>
    <mergeCell ref="E11:I11"/>
    <mergeCell ref="C13:G13"/>
    <mergeCell ref="C14:G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B70C3-6238-48E3-945D-A1DDD5186DB2}">
  <dimension ref="B2:L21"/>
  <sheetViews>
    <sheetView tabSelected="1" topLeftCell="A12" workbookViewId="0">
      <selection activeCell="O15" sqref="O15"/>
    </sheetView>
  </sheetViews>
  <sheetFormatPr defaultRowHeight="14.5" x14ac:dyDescent="0.35"/>
  <cols>
    <col min="1" max="1" width="8.7265625" style="39"/>
    <col min="3" max="3" width="12" customWidth="1"/>
    <col min="4" max="4" width="12.36328125" customWidth="1"/>
    <col min="13" max="16384" width="8.7265625" style="39"/>
  </cols>
  <sheetData>
    <row r="2" spans="2:12" ht="16" x14ac:dyDescent="0.4">
      <c r="C2" s="11" t="s">
        <v>104</v>
      </c>
      <c r="D2" s="11"/>
      <c r="E2" s="11"/>
      <c r="F2" s="11"/>
      <c r="G2" s="11"/>
      <c r="H2" s="11"/>
      <c r="I2" s="11"/>
      <c r="J2" s="11"/>
      <c r="K2" s="11"/>
      <c r="L2" s="11"/>
    </row>
    <row r="5" spans="2:12" x14ac:dyDescent="0.35">
      <c r="C5" s="37" t="s">
        <v>105</v>
      </c>
      <c r="D5" s="37" t="s">
        <v>41</v>
      </c>
    </row>
    <row r="6" spans="2:12" x14ac:dyDescent="0.35">
      <c r="C6" s="38" t="s">
        <v>42</v>
      </c>
      <c r="D6" s="38" t="s">
        <v>51</v>
      </c>
    </row>
    <row r="7" spans="2:12" x14ac:dyDescent="0.35">
      <c r="C7" s="38" t="s">
        <v>106</v>
      </c>
      <c r="D7" s="38" t="s">
        <v>50</v>
      </c>
    </row>
    <row r="8" spans="2:12" x14ac:dyDescent="0.35">
      <c r="C8" s="38" t="s">
        <v>91</v>
      </c>
      <c r="D8" s="38" t="s">
        <v>108</v>
      </c>
    </row>
    <row r="9" spans="2:12" x14ac:dyDescent="0.35">
      <c r="C9" s="38" t="s">
        <v>107</v>
      </c>
      <c r="D9" s="38" t="s">
        <v>109</v>
      </c>
    </row>
    <row r="12" spans="2:12" x14ac:dyDescent="0.35">
      <c r="B12" s="40" t="s">
        <v>110</v>
      </c>
      <c r="C12" s="40"/>
      <c r="D12" s="40"/>
    </row>
    <row r="13" spans="2:12" x14ac:dyDescent="0.35">
      <c r="B13" s="24" t="s">
        <v>111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5" spans="2:12" x14ac:dyDescent="0.35">
      <c r="B15" s="24" t="s">
        <v>112</v>
      </c>
      <c r="C15" s="24"/>
      <c r="D15" s="24"/>
      <c r="E15" s="24"/>
      <c r="F15" s="24"/>
      <c r="G15" s="24"/>
      <c r="H15" s="24"/>
    </row>
    <row r="17" spans="2:6" x14ac:dyDescent="0.35">
      <c r="B17" s="37" t="s">
        <v>105</v>
      </c>
      <c r="C17" s="37" t="s">
        <v>41</v>
      </c>
    </row>
    <row r="18" spans="2:6" x14ac:dyDescent="0.35">
      <c r="B18" s="38" t="s">
        <v>42</v>
      </c>
      <c r="C18" s="38" t="s">
        <v>51</v>
      </c>
      <c r="E18" s="1" t="s">
        <v>105</v>
      </c>
      <c r="F18" s="41" t="s">
        <v>90</v>
      </c>
    </row>
    <row r="19" spans="2:6" x14ac:dyDescent="0.35">
      <c r="B19" s="38" t="s">
        <v>106</v>
      </c>
      <c r="C19" s="38" t="s">
        <v>50</v>
      </c>
      <c r="E19" s="25" t="s">
        <v>106</v>
      </c>
      <c r="F19" s="25" t="str">
        <f>_xlfn.XLOOKUP(E19,B18:B21,C18:C21)</f>
        <v>IT</v>
      </c>
    </row>
    <row r="20" spans="2:6" x14ac:dyDescent="0.35">
      <c r="B20" s="38" t="s">
        <v>91</v>
      </c>
      <c r="C20" s="38" t="s">
        <v>108</v>
      </c>
    </row>
    <row r="21" spans="2:6" x14ac:dyDescent="0.35">
      <c r="B21" s="38" t="s">
        <v>107</v>
      </c>
      <c r="C21" s="38" t="s">
        <v>109</v>
      </c>
    </row>
  </sheetData>
  <mergeCells count="4">
    <mergeCell ref="C2:L2"/>
    <mergeCell ref="B12:D12"/>
    <mergeCell ref="B13:L13"/>
    <mergeCell ref="B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Nalavade, Abhijeet</dc:creator>
  <cp:lastModifiedBy>Nalavade, Abhijeet</cp:lastModifiedBy>
  <dcterms:created xsi:type="dcterms:W3CDTF">2026-01-11T06:44:43Z</dcterms:created>
  <dcterms:modified xsi:type="dcterms:W3CDTF">2026-01-12T06:09:12Z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2026-01-11T07:00:38Z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57ff9a4a-3770-4b89-9c06-ac5cc1fc22f0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