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Datasheet" sheetId="2" r:id="rId6"/>
    <sheet state="visible" name="Cleaned_Data" sheetId="3" r:id="rId7"/>
    <sheet state="visible" name="Margin_Analysis" sheetId="4" r:id="rId8"/>
    <sheet state="visible" name="Summary of datasheet" sheetId="5" r:id="rId9"/>
    <sheet state="visible" name="Q1" sheetId="6" r:id="rId10"/>
    <sheet state="visible" name="summarized data" sheetId="7" r:id="rId11"/>
    <sheet state="visible" name="Q2" sheetId="8" r:id="rId12"/>
    <sheet state="visible" name="Q3" sheetId="9" r:id="rId13"/>
    <sheet state="visible" name="Q4" sheetId="10" r:id="rId14"/>
    <sheet state="visible" name="Q5" sheetId="11" r:id="rId15"/>
    <sheet state="visible" name="Q6" sheetId="12" r:id="rId16"/>
    <sheet state="visible" name="Pivot_Analysis" sheetId="13" r:id="rId17"/>
    <sheet state="visible" name="Q7" sheetId="14" r:id="rId18"/>
    <sheet state="visible" name="Category &amp; region" sheetId="15" r:id="rId19"/>
    <sheet state="visible" name="Q8" sheetId="16" r:id="rId20"/>
    <sheet state="visible" name="Dashboard" sheetId="17" r:id="rId21"/>
    <sheet state="visible" name="Q9" sheetId="18" r:id="rId22"/>
    <sheet state="visible" name="Summary_Report" sheetId="19" r:id="rId23"/>
    <sheet state="visible" name="Sheet2" sheetId="20" r:id="rId24"/>
  </sheets>
  <definedNames>
    <definedName hidden="1" localSheetId="12" name="Z_566A272E_788F_44AE_970B_37562BC269BF_.wvu.FilterData">Pivot_Analysis!$A$1:$B$7</definedName>
    <definedName hidden="1" localSheetId="14" name="Z_566A272E_788F_44AE_970B_37562BC269BF_.wvu.FilterData">'Category &amp; region'!$A$1:$C$31</definedName>
    <definedName hidden="1" localSheetId="16" name="Z_566A272E_788F_44AE_970B_37562BC269BF_.wvu.FilterData">Dashboard!$A$1:$B$7</definedName>
    <definedName hidden="1" localSheetId="16" name="Z_566A272E_788F_44AE_970B_37562BC269BF_.wvu.FilterData">Dashboard!$A$11:$B$17</definedName>
    <definedName hidden="1" localSheetId="16" name="Z_D3AECAE0_D251_4DDB_A2B3_41625ECC4C5B_.wvu.FilterData">Dashboard!$A$1:$B$7</definedName>
    <definedName hidden="1" localSheetId="16" name="Z_D3AECAE0_D251_4DDB_A2B3_41625ECC4C5B_.wvu.FilterData">Dashboard!$A$11:$B$17</definedName>
    <definedName name="SlicerCache_Table_8_Col_1">#N/A</definedName>
    <definedName name="SlicerCache_Table_10_Col_1">#N/A</definedName>
    <definedName name="SlicerCache_Table_12_Col_1">#N/A</definedName>
    <definedName name="SlicerCache_Table_13_Col_1">#N/A</definedName>
  </definedNames>
  <calcPr/>
  <customWorkbookViews>
    <customWorkbookView activeSheetId="0" maximized="1" windowHeight="0" windowWidth="0" guid="{D3AECAE0-D251-4DDB-A2B3-41625ECC4C5B}" name="Filter 2"/>
    <customWorkbookView activeSheetId="0" maximized="1" windowHeight="0" windowWidth="0" guid="{566A272E-788F-44AE-970B-37562BC269BF}" name="Filter 1"/>
  </customWorkbookViews>
  <pivotCaches>
    <pivotCache cacheId="0" r:id="rId25"/>
    <pivotCache cacheId="1" r:id="rId26"/>
    <pivotCache cacheId="2" r:id="rId27"/>
  </pivotCaches>
  <extLst>
    <ext uri="{46BE6895-7355-4a93-B00E-2C351335B9C9}">
      <x15:slicerCaches>
        <x14:slicerCache r:id="rId28"/>
        <x14:slicerCache r:id="rId29"/>
        <x14:slicerCache r:id="rId30"/>
        <x14:slicerCache r:id="rId31"/>
      </x15:slicerCaches>
    </ext>
  </extLst>
</workbook>
</file>

<file path=xl/sharedStrings.xml><?xml version="1.0" encoding="utf-8"?>
<sst xmlns="http://schemas.openxmlformats.org/spreadsheetml/2006/main" count="23512" uniqueCount="526">
  <si>
    <t>Order ID</t>
  </si>
  <si>
    <t>Region</t>
  </si>
  <si>
    <t>Country</t>
  </si>
  <si>
    <t>Category</t>
  </si>
  <si>
    <t>Sales Channel</t>
  </si>
  <si>
    <t>Order Priority</t>
  </si>
  <si>
    <t>Order Date</t>
  </si>
  <si>
    <t>Units Sold</t>
  </si>
  <si>
    <t>Unit Price</t>
  </si>
  <si>
    <t>Unit Cost</t>
  </si>
  <si>
    <t>Total Revenue</t>
  </si>
  <si>
    <t>Total Cost</t>
  </si>
  <si>
    <t>Total Profit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</si>
  <si>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</si>
  <si>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</si>
  <si>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</si>
  <si>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</si>
  <si>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</si>
  <si>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</si>
  <si>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</si>
  <si>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</si>
  <si>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</si>
  <si>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</si>
  <si>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</si>
  <si>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</si>
  <si>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</si>
  <si>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</si>
  <si>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</si>
  <si>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</si>
  <si>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</si>
  <si>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</si>
  <si>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</si>
  <si>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</si>
  <si>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</si>
  <si>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</si>
  <si>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</si>
  <si>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</si>
  <si>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</si>
  <si>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</si>
  <si>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Unknown</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</si>
  <si>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</si>
  <si>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</si>
  <si>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</si>
  <si>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</si>
  <si>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</si>
  <si>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</si>
  <si>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</si>
  <si>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</si>
  <si>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</si>
  <si>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</si>
  <si>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</si>
  <si>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</si>
  <si>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</si>
  <si>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</si>
  <si>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</si>
  <si>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</si>
  <si>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</si>
  <si>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</si>
  <si>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</si>
  <si>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</si>
  <si>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</si>
  <si>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</si>
  <si>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</si>
  <si>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</si>
  <si>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</si>
  <si>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</si>
  <si>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</si>
  <si>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</si>
  <si>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</si>
  <si>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</si>
  <si>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</si>
  <si>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</si>
  <si>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</si>
  <si>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</si>
  <si>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</si>
  <si>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</si>
  <si>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</si>
  <si>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</si>
  <si>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</si>
  <si>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</si>
  <si>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</si>
  <si>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</si>
  <si>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</si>
  <si>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</si>
  <si>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</si>
  <si>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</si>
  <si>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</si>
  <si>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</si>
  <si>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</si>
  <si>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</si>
  <si>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</si>
  <si>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</si>
  <si>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</si>
  <si>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</si>
  <si>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</si>
  <si>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</si>
  <si>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</si>
  <si>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</si>
  <si>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</si>
  <si>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</si>
  <si>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</si>
  <si>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</si>
  <si>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</si>
  <si>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</si>
  <si>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</si>
  <si>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</si>
  <si>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</si>
  <si>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</si>
  <si>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</si>
  <si>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</si>
  <si>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</si>
  <si>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</si>
  <si>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</si>
  <si>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</si>
  <si>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</si>
  <si>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</si>
  <si>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</si>
  <si>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</si>
  <si>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</si>
  <si>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</si>
  <si>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</si>
  <si>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</si>
  <si>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</si>
  <si>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</si>
  <si>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</si>
  <si>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</si>
  <si>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</si>
  <si>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</si>
  <si>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</si>
  <si>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</si>
  <si>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</si>
  <si>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</si>
  <si>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</si>
  <si>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</si>
  <si>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</si>
  <si>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</si>
  <si>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</si>
  <si>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</si>
  <si>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</si>
  <si>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</si>
  <si>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</si>
  <si>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</si>
  <si>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</si>
  <si>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</si>
  <si>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</si>
  <si>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</si>
  <si>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</si>
  <si>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</si>
  <si>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</si>
  <si>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</si>
  <si>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</si>
  <si>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</si>
  <si>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</si>
  <si>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</si>
  <si>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</si>
  <si>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</si>
  <si>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</si>
  <si>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</si>
  <si>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</si>
  <si>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</si>
  <si>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</si>
  <si>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</si>
  <si>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</si>
  <si>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</si>
  <si>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</si>
  <si>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</si>
  <si>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</si>
  <si>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</si>
  <si>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</si>
  <si>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</si>
  <si>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</si>
  <si>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</si>
  <si>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</si>
  <si>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</si>
  <si>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</si>
  <si>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</si>
  <si>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</si>
  <si>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</si>
  <si>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</si>
  <si>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</si>
  <si>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</si>
  <si>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</si>
  <si>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</si>
  <si>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</si>
  <si>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</si>
  <si>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</si>
  <si>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</si>
  <si>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</si>
  <si>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</si>
  <si>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</si>
  <si>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</si>
  <si>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</si>
  <si>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</si>
  <si>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</si>
  <si>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</si>
  <si>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</si>
  <si>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</si>
  <si>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</si>
  <si>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</si>
  <si>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</si>
  <si>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</si>
  <si>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</si>
  <si>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</si>
  <si>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</si>
  <si>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</si>
  <si>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</si>
  <si>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</si>
  <si>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</si>
  <si>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</si>
  <si>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</si>
  <si>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</si>
  <si>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</si>
  <si>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</si>
  <si>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</si>
  <si>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</si>
  <si>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</si>
  <si>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</si>
  <si>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</si>
  <si>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</si>
  <si>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</si>
  <si>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</si>
  <si>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</si>
  <si>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</si>
  <si>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</si>
  <si>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</si>
  <si>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</si>
  <si>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</si>
  <si>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</si>
  <si>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</si>
  <si>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</si>
  <si>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</si>
  <si>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</si>
  <si>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</si>
  <si>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</si>
  <si>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</si>
  <si>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</si>
  <si>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</si>
  <si>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</si>
  <si>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</si>
  <si>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</si>
  <si>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</si>
  <si>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</si>
  <si>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</si>
  <si>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</si>
  <si>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</si>
  <si>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</si>
  <si>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</si>
  <si>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</si>
  <si>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</si>
  <si>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</si>
  <si>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</si>
  <si>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</si>
  <si>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</si>
  <si>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</si>
  <si>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</si>
  <si>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</si>
  <si>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</si>
  <si>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</si>
  <si>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</si>
  <si>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</si>
  <si>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</si>
  <si>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</si>
  <si>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</si>
  <si>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</si>
  <si>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</si>
  <si>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</si>
  <si>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</si>
  <si>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</si>
  <si>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</si>
  <si>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</si>
  <si>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</si>
  <si>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</si>
  <si>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</si>
  <si>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</si>
  <si>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</si>
  <si>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</si>
  <si>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</si>
  <si>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</si>
  <si>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</si>
  <si>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</si>
  <si>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</si>
  <si>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</si>
  <si>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</si>
  <si>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</si>
  <si>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</si>
  <si>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</si>
  <si>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</si>
  <si>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</si>
  <si>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</si>
  <si>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</si>
  <si>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</si>
  <si>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</si>
  <si>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</si>
  <si>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</si>
  <si>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</si>
  <si>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</si>
  <si>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</si>
  <si>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</si>
  <si>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</si>
  <si>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</si>
  <si>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</si>
  <si>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</si>
  <si>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</si>
  <si>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</si>
  <si>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</si>
  <si>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</si>
  <si>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</si>
  <si>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</si>
  <si>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</si>
  <si>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</si>
  <si>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</si>
  <si>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</si>
  <si>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</si>
  <si>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</si>
  <si>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</si>
  <si>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</si>
  <si>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</si>
  <si>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</si>
  <si>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</si>
  <si>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</si>
  <si>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</si>
  <si>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</si>
  <si>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</si>
  <si>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</si>
  <si>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</si>
  <si>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</si>
  <si>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</si>
  <si>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</si>
  <si>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</si>
  <si>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</si>
  <si>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</si>
  <si>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</si>
  <si>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</si>
  <si>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</si>
  <si>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</si>
  <si>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</si>
  <si>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</si>
  <si>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</si>
  <si>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</si>
  <si>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</si>
  <si>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</si>
  <si>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</si>
  <si>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</si>
  <si>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</si>
  <si>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</si>
  <si>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</si>
  <si>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</si>
  <si>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</si>
  <si>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</si>
  <si>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</si>
  <si>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</si>
  <si>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</si>
  <si>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</si>
  <si>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</si>
  <si>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</si>
  <si>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</si>
  <si>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</si>
  <si>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</si>
  <si>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</si>
  <si>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</si>
  <si>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</si>
  <si>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</si>
  <si>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</si>
  <si>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</si>
  <si>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</si>
  <si>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</si>
  <si>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</si>
  <si>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</si>
  <si>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</si>
  <si>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</si>
  <si>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</si>
  <si>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</si>
  <si>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</si>
  <si>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</si>
  <si>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</si>
  <si>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</si>
  <si>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</si>
  <si>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</si>
  <si>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</si>
  <si>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</si>
  <si>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</si>
  <si>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</si>
  <si>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</si>
  <si>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Profit Margin</t>
  </si>
  <si>
    <t xml:space="preserve">Average of Profits </t>
  </si>
  <si>
    <t>Grand Total</t>
  </si>
  <si>
    <t>Summary of the dataset using copilot</t>
  </si>
  <si>
    <t>Missing &amp; Null Value Analysis</t>
  </si>
  <si>
    <t>Data Summary</t>
  </si>
  <si>
    <t>Here are the key issues found:</t>
  </si>
  <si>
    <t>The dataset contains the following columns:</t>
  </si>
  <si>
    <t>1. Missing or Incomplete Entries</t>
  </si>
  <si>
    <t>Row 2: The "Country" field is blank.</t>
  </si>
  <si>
    <t>Row 3: The "Category" field is blank.</t>
  </si>
  <si>
    <t>Row 4: The "Country" field is blank.</t>
  </si>
  <si>
    <t>Row 5: The "Category" field is blank.</t>
  </si>
  <si>
    <t>Row 6: The "Country" field is blank.</t>
  </si>
  <si>
    <t>Row 7: The "Category" field is blank.</t>
  </si>
  <si>
    <t>Row 8: The "Country" field is blank.</t>
  </si>
  <si>
    <t>Row 9: The "Category" field is blank.</t>
  </si>
  <si>
    <t>Row 10: The "Country" field is blank.</t>
  </si>
  <si>
    <t>Row 11: The "Category" field is blank.</t>
  </si>
  <si>
    <t>Row 12: The "Country" field is blank.</t>
  </si>
  <si>
    <t>There are 17 rows of order data spanning various regions and categories.</t>
  </si>
  <si>
    <t>Row 13: The "Category" field is blank.</t>
  </si>
  <si>
    <t>Row 14: The "Country" field is blank.</t>
  </si>
  <si>
    <t>Breakdown by Key Fields</t>
  </si>
  <si>
    <t>Row 15: The "Category" field is blank.</t>
  </si>
  <si>
    <t>Row 16: The "Country" field is blank.</t>
  </si>
  <si>
    <r>
      <rPr>
        <rFont val="Arial"/>
        <b/>
        <color rgb="FFFF0000"/>
        <sz val="13.0"/>
      </rPr>
      <t>Regions</t>
    </r>
    <r>
      <rPr>
        <rFont val="Arial"/>
        <b/>
        <color theme="1"/>
      </rPr>
      <t>: East, West, North</t>
    </r>
  </si>
  <si>
    <t>Row 17: The "Category" field is blank</t>
  </si>
  <si>
    <r>
      <rPr>
        <rFont val="Arial"/>
        <b/>
        <color rgb="FFFF0000"/>
        <sz val="13.0"/>
      </rPr>
      <t>Countries</t>
    </r>
    <r>
      <rPr>
        <rFont val="Arial"/>
        <b/>
        <color theme="1"/>
      </rPr>
      <t>: Germany, India</t>
    </r>
  </si>
  <si>
    <r>
      <rPr>
        <rFont val="Arial"/>
        <b/>
        <color rgb="FFFF0000"/>
        <sz val="12.0"/>
      </rPr>
      <t>Categories</t>
    </r>
    <r>
      <rPr>
        <rFont val="Arial"/>
        <b/>
        <color theme="1"/>
      </rPr>
      <t>: Beverages, Food, Clothing, Furniture, Electronics</t>
    </r>
  </si>
  <si>
    <r>
      <rPr>
        <rFont val="Arial"/>
        <b/>
        <color rgb="FFFF0000"/>
        <sz val="12.0"/>
      </rPr>
      <t>Sales Channels</t>
    </r>
    <r>
      <rPr>
        <rFont val="Arial"/>
        <b/>
        <color theme="1"/>
      </rPr>
      <t>: Online, Offline</t>
    </r>
  </si>
  <si>
    <r>
      <rPr>
        <rFont val="Arial"/>
        <b/>
        <color rgb="FFFF0000"/>
        <sz val="12.0"/>
      </rPr>
      <t>Order Priorities</t>
    </r>
    <r>
      <rPr>
        <rFont val="Arial"/>
        <b/>
        <color theme="1"/>
      </rPr>
      <t>: High, Medium, Low</t>
    </r>
  </si>
  <si>
    <t>Formatting Issues</t>
  </si>
  <si>
    <t>Order Dates: Some entries are formatted as 1/2/23 0:00, while others are just 1/1/23. Consistency is needed.</t>
  </si>
  <si>
    <t>Sales Channel: One entry has a typo: "Offine" instead of "Offline".</t>
  </si>
  <si>
    <t>Potential Data Quality Concerns</t>
  </si>
  <si>
    <t>Units Sold, Unit Price, and Unit Cost appear numeric and complete, but a few rows may need validation for outliers or mismatches (e.g., unusually high or low prices).</t>
  </si>
  <si>
    <t>Recommendations</t>
  </si>
  <si>
    <t>Fill in missing Country and Category values to ensure complete analysis.</t>
  </si>
  <si>
    <t>Standardize date formats to YYYY-MM-DD for consistency.</t>
  </si>
  <si>
    <t>Correct typos like "Offine" to "Offline".</t>
  </si>
  <si>
    <t>Consider adding Total Revenue and Profit columns for deeper insights:</t>
  </si>
  <si>
    <t>Revenue = Units Sold × Unit Price</t>
  </si>
  <si>
    <t>Profit = Units Sold × (Unit Price − Unit Cost)</t>
  </si>
  <si>
    <t>Q1. Use Copilot to identify and summarize missing values in the dataset.</t>
  </si>
  <si>
    <t>Using copilot , I have analysed important insights. Copilot identifies main trends , highlighted the highest and lowest values and calculated</t>
  </si>
  <si>
    <t>important metrics such as average and total .</t>
  </si>
  <si>
    <t>it also identified patterns in the data and pointed out any outliers .provided a clear  insights</t>
  </si>
  <si>
    <t>Summary of missing values</t>
  </si>
  <si>
    <t>copilot analysed the dataset to identify missing values across all columns</t>
  </si>
  <si>
    <r>
      <rPr>
        <rFont val="Aptos Narrow"/>
        <b/>
        <color theme="1"/>
        <sz val="11.0"/>
      </rPr>
      <t xml:space="preserve">this analysis showed that most columns such as </t>
    </r>
    <r>
      <rPr>
        <rFont val="Aptos Narrow"/>
        <b/>
        <color rgb="FFFF0000"/>
        <sz val="11.0"/>
      </rPr>
      <t>ORDER ID, REGION, CATEGORY,SALES CHANNEL, ORDER PRIORITY,ORDER DATE</t>
    </r>
  </si>
  <si>
    <t>have no missing values</t>
  </si>
  <si>
    <t>Missing values detected in UNIT COST &amp; FEW IN UNIT PRICE AND UNIT SOLD and some of its data found in othe columns</t>
  </si>
  <si>
    <t>the presence of missing values in PRICE &amp; QUNATITY may impact REVENUE , COST and PROFIT calculation</t>
  </si>
  <si>
    <t>PROMPTS TO COILOT</t>
  </si>
  <si>
    <t>"Summarize missing value by column that includes null or blank values,identify any patterns in missing data and explain impact and give detailled analysis"</t>
  </si>
  <si>
    <t>Missing Value Summary</t>
  </si>
  <si>
    <t>Q2. Use Copilot to fill missing values in region  and  category columns</t>
  </si>
  <si>
    <t>Prompt to Copilot:</t>
  </si>
  <si>
    <t>Prompt to copilot</t>
  </si>
  <si>
    <t>Fill missing values in the Region column based on the Country:</t>
  </si>
  <si>
    <t>- USA → East</t>
  </si>
  <si>
    <t xml:space="preserve">identify missing value in the region &amp; category column from dataset worksheet </t>
  </si>
  <si>
    <t>- India → West</t>
  </si>
  <si>
    <t xml:space="preserve">fill them analysing other column patterns </t>
  </si>
  <si>
    <t>- Germany → North</t>
  </si>
  <si>
    <t>- UK → West</t>
  </si>
  <si>
    <t>step:</t>
  </si>
  <si>
    <t>- Australia → South</t>
  </si>
  <si>
    <t xml:space="preserve">copilot filed missing values in the region and category columns by using patterns from related fields </t>
  </si>
  <si>
    <t>copilot ensures consistent and complete data for reliable analysis</t>
  </si>
  <si>
    <t>IF([@Region]="",S21</t>
  </si>
  <si>
    <t>IF([@Country]="India","West",</t>
  </si>
  <si>
    <t>IF([@Country]="Germany","East",</t>
  </si>
  <si>
    <t>IF([@Country]="USA","East",</t>
  </si>
  <si>
    <t>IF([@Country]="UK","West",</t>
  </si>
  <si>
    <t>IF([@Country]="Australia","South","Unknown"))))),</t>
  </si>
  <si>
    <t>[@Region])</t>
  </si>
  <si>
    <t>Q3. Use Copilot to fill missing values in Unit Sold and Unit Price category columns(numeric)</t>
  </si>
  <si>
    <t xml:space="preserve">Analyze the dataset containing unit price and unit sold. Find missing values from the data </t>
  </si>
  <si>
    <t>identify and summarize any missing value from unit price and unit sold</t>
  </si>
  <si>
    <t>Copilot will scan unit sold and unit price along with other coumns in given excel sheet</t>
  </si>
  <si>
    <t>it will identify numeric data from given table and look for pattern, missing values</t>
  </si>
  <si>
    <t>it will interpret your instruction like finding missing values,create pivot table,build chart</t>
  </si>
  <si>
    <t>Most rows have numeric values.</t>
  </si>
  <si>
    <t>Row ORD0039 → Units Sold = 91.23 (looks like a decimal, but valid).</t>
  </si>
  <si>
    <t>Row ORD0131 → Units Sold = 268.46 (decimal, but valid).</t>
  </si>
  <si>
    <t>Row ORD0228 → Units Sold = 49.37 (decimal, but valid).</t>
  </si>
  <si>
    <t>Row ORD0289 → Units Sold = 173.84 (decimal, but valid).</t>
  </si>
  <si>
    <t>Row ORD0314 → Units Sold = 192.35 (decimal, but valid).</t>
  </si>
  <si>
    <t>Row ORD0317 → Units Sold = 225.94 (decimal, but valid).</t>
  </si>
  <si>
    <t>Row ORD0251 → Units Sold = 298.8 (decimal, but valid).</t>
  </si>
  <si>
    <t>Row ORD0328 → Units Sold = 5.61 (valid, but unusually small).</t>
  </si>
  <si>
    <t>✅ No blanks, but some values are decimals (possible data entry inconsistency).</t>
  </si>
  <si>
    <t>Row ORD0028 → Unit Price missing.</t>
  </si>
  <si>
    <t>Row ORD0037 → Unit Price missing.</t>
  </si>
  <si>
    <t>Row ORD0045 → Unit Price missing.</t>
  </si>
  <si>
    <t>Row ORD0131 → Unit Price missing.</t>
  </si>
  <si>
    <t>Row ORD0200 → Unit Price missing.</t>
  </si>
  <si>
    <t>Row ORD0251 → Unit Price missing.</t>
  </si>
  <si>
    <t>Row ORD0294 → Unit Price missing.</t>
  </si>
  <si>
    <t>Row ORD0308 → Unit Price missing.</t>
  </si>
  <si>
    <t>Row ORD0314 → Unit Price missing.</t>
  </si>
  <si>
    <t>Row ORD0317 → Unit Price missing.</t>
  </si>
  <si>
    <t>✅ These rows have blank Unit Price values.</t>
  </si>
  <si>
    <t>Q4. Create a new calculated column total revenue</t>
  </si>
  <si>
    <t>Q5. Use Copilot to find the total price of Order ID = ‘ORD0123’.</t>
  </si>
  <si>
    <t>Step 1: Locate the Order</t>
  </si>
  <si>
    <t>Copilot prompt</t>
  </si>
  <si>
    <t>find the order id "ORD0123" from dataset and calculate its total price by analysing whole data</t>
  </si>
  <si>
    <t>Order ID: ORD0123</t>
  </si>
  <si>
    <t>Region: South</t>
  </si>
  <si>
    <t>Country: Germany</t>
  </si>
  <si>
    <t>Category: Clothing</t>
  </si>
  <si>
    <t>Sales Channel: Online</t>
  </si>
  <si>
    <t>Order Priority: Low</t>
  </si>
  <si>
    <t>Order Date: 05/03/2023</t>
  </si>
  <si>
    <t>Units Sold: 46.0</t>
  </si>
  <si>
    <t>Unit Price: 344.55</t>
  </si>
  <si>
    <t>Unit Cost: 377.25</t>
  </si>
  <si>
    <t>Step 2: Formula</t>
  </si>
  <si>
    <t>The Total Price (Revenue) is:</t>
  </si>
  <si>
    <t>TOTAL PRICE = Unit Sold * Unit Price</t>
  </si>
  <si>
    <t>Result</t>
  </si>
  <si>
    <t>So, the total price for Order ID ORD0123 = 15,849.30.</t>
  </si>
  <si>
    <t>Q6. Use Copilot to generate a summary chart of average profit by region</t>
  </si>
  <si>
    <t>Average Profit by Region</t>
  </si>
  <si>
    <t>Q7. Create a pivot table summarizing total sales by category and region.</t>
  </si>
  <si>
    <t>TOTAL SALES</t>
  </si>
  <si>
    <t>Build a dashboard key APIS and CHARTS</t>
  </si>
  <si>
    <t>Total no of orders</t>
  </si>
  <si>
    <t xml:space="preserve"> Total Cost</t>
  </si>
  <si>
    <t>Total cost</t>
  </si>
  <si>
    <t>Total Price</t>
  </si>
  <si>
    <t>Use copilot to create a summary report</t>
  </si>
  <si>
    <t>Sales Performance Summary</t>
  </si>
  <si>
    <t>Executive Summary</t>
  </si>
  <si>
    <t>Total Units Sold</t>
  </si>
  <si>
    <t>Regional Performance</t>
  </si>
  <si>
    <t>Revenue</t>
  </si>
  <si>
    <t>Profit</t>
  </si>
  <si>
    <t>Category Performance</t>
  </si>
  <si>
    <t>Top 5 Countries by Revenue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</si>
</sst>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
    <numFmt numFmtId="166" formatCode="yyyy-mm-dd"/>
    <numFmt numFmtId="167" formatCode="0.0%"/>
  </numFmts>
  <fonts count="27">
    <font>
      <sz val="11.0"/>
      <color theme="1"/>
      <name val="Aptos Narrow"/>
      <scheme val="minor"/>
    </font>
    <font>
      <b/>
      <sz val="12.0"/>
      <color theme="1"/>
      <name val="Calibri"/>
    </font>
    <font>
      <b/>
      <sz val="12.0"/>
      <color theme="1"/>
      <name val="Aptos Narrow"/>
    </font>
    <font>
      <sz val="11.0"/>
      <color theme="1"/>
      <name val="Calibri"/>
    </font>
    <font>
      <color theme="1"/>
      <name val="Aptos Narrow"/>
    </font>
    <font>
      <b/>
      <color theme="1"/>
      <name val="Aptos Narrow"/>
    </font>
    <font>
      <color theme="1"/>
      <name val="Aptos Narrow"/>
      <scheme val="minor"/>
    </font>
    <font>
      <b/>
      <sz val="12.0"/>
      <color theme="1"/>
      <name val="Arial"/>
    </font>
    <font>
      <b/>
      <color theme="1"/>
      <name val="Calibri"/>
    </font>
    <font>
      <b/>
      <sz val="13.0"/>
      <color theme="1"/>
      <name val="Aptos Narrow"/>
    </font>
    <font>
      <b/>
      <sz val="13.0"/>
      <color theme="1"/>
      <name val="Arial"/>
    </font>
    <font/>
    <font>
      <b/>
      <sz val="11.0"/>
      <color theme="1"/>
      <name val="Aptos Narrow"/>
    </font>
    <font>
      <b/>
      <color rgb="FF000000"/>
      <name val="Aptos Narrow"/>
    </font>
    <font>
      <color rgb="FF000000"/>
      <name val="Arial"/>
    </font>
    <font>
      <color rgb="FF000000"/>
      <name val="Aptos Narrow"/>
    </font>
    <font>
      <sz val="11.0"/>
      <color theme="1"/>
      <name val="Aptos Narrow"/>
    </font>
    <font>
      <b/>
      <color theme="1"/>
      <name val="Arial"/>
    </font>
    <font>
      <b/>
      <sz val="11.0"/>
      <color theme="1"/>
      <name val="Arial"/>
    </font>
    <font>
      <b/>
      <sz val="11.0"/>
      <color rgb="FF0E2841"/>
      <name val="Aptos Narrow"/>
    </font>
    <font>
      <color theme="1"/>
      <name val="Arial"/>
    </font>
    <font>
      <b/>
      <sz val="11.0"/>
      <color theme="1"/>
      <name val="Calibri"/>
    </font>
    <font>
      <b/>
      <sz val="13.0"/>
      <color rgb="FFFF0000"/>
      <name val="Aptos Narrow"/>
      <scheme val="minor"/>
    </font>
    <font>
      <color rgb="FFFF0000"/>
      <name val="Aptos Narrow"/>
      <scheme val="minor"/>
    </font>
    <font>
      <b/>
      <color rgb="FFFFFF00"/>
      <name val="Aptos Narrow"/>
      <scheme val="minor"/>
    </font>
    <font>
      <b/>
      <color theme="1"/>
      <name val="Aptos Narrow"/>
      <scheme val="minor"/>
    </font>
    <font>
      <b/>
      <sz val="14.0"/>
      <color theme="1"/>
      <name val="Aptos Narrow"/>
      <scheme val="minor"/>
    </font>
  </fonts>
  <fills count="18">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3F3F3"/>
        <bgColor rgb="FFF3F3F3"/>
      </patternFill>
    </fill>
    <fill>
      <patternFill patternType="solid">
        <fgColor rgb="FFD9EAD3"/>
        <bgColor rgb="FFD9EAD3"/>
      </patternFill>
    </fill>
    <fill>
      <patternFill patternType="solid">
        <fgColor rgb="FFFF9900"/>
        <bgColor rgb="FFFF9900"/>
      </patternFill>
    </fill>
    <fill>
      <patternFill patternType="solid">
        <fgColor rgb="FFFFD966"/>
        <bgColor rgb="FFFFD966"/>
      </patternFill>
    </fill>
    <fill>
      <patternFill patternType="solid">
        <fgColor rgb="FFFCE5CD"/>
        <bgColor rgb="FFFCE5CD"/>
      </patternFill>
    </fill>
    <fill>
      <patternFill patternType="solid">
        <fgColor rgb="FFF4CCCC"/>
        <bgColor rgb="FFF4CCCC"/>
      </patternFill>
    </fill>
    <fill>
      <patternFill patternType="solid">
        <fgColor rgb="FFA6C9EB"/>
        <bgColor rgb="FFA6C9EB"/>
      </patternFill>
    </fill>
    <fill>
      <patternFill patternType="solid">
        <fgColor rgb="FFF1CEEE"/>
        <bgColor rgb="FFF1CEEE"/>
      </patternFill>
    </fill>
    <fill>
      <patternFill patternType="solid">
        <fgColor rgb="FF00FF00"/>
        <bgColor rgb="FF00FF00"/>
      </patternFill>
    </fill>
    <fill>
      <patternFill patternType="solid">
        <fgColor rgb="FFC1E4F5"/>
        <bgColor rgb="FFC1E4F5"/>
      </patternFill>
    </fill>
    <fill>
      <patternFill patternType="solid">
        <fgColor rgb="FFFF0000"/>
        <bgColor rgb="FFFF0000"/>
      </patternFill>
    </fill>
    <fill>
      <patternFill patternType="solid">
        <fgColor rgb="FFC9DAF8"/>
        <bgColor rgb="FFC9DAF8"/>
      </patternFill>
    </fill>
    <fill>
      <patternFill patternType="solid">
        <fgColor rgb="FFB7B7B7"/>
        <bgColor rgb="FFB7B7B7"/>
      </patternFill>
    </fill>
    <fill>
      <patternFill patternType="solid">
        <fgColor rgb="FF00FFFF"/>
        <bgColor rgb="FF00FFFF"/>
      </patternFill>
    </fill>
  </fills>
  <borders count="10">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CCCCCC"/>
      </lef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bottom style="medium">
        <color rgb="FFCCCCCC"/>
      </bottom>
    </border>
    <border>
      <left/>
      <top/>
      <bottom/>
    </border>
    <border>
      <top/>
      <bottom/>
    </border>
    <border>
      <left/>
      <right/>
      <top/>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2" fontId="1" numFmtId="0" xfId="0" applyAlignment="1" applyBorder="1" applyFont="1">
      <alignment horizontal="center" shrinkToFit="0" vertical="top" wrapText="1"/>
    </xf>
    <xf borderId="3" fillId="2" fontId="1" numFmtId="0" xfId="0" applyAlignment="1" applyBorder="1" applyFont="1">
      <alignment horizontal="center" shrinkToFit="0" vertical="top" wrapText="1"/>
    </xf>
    <xf borderId="4" fillId="2" fontId="1" numFmtId="0" xfId="0" applyAlignment="1" applyBorder="1" applyFont="1">
      <alignment horizontal="center" shrinkToFit="0" vertical="top" wrapText="1"/>
    </xf>
    <xf borderId="4" fillId="2" fontId="2" numFmtId="0" xfId="0" applyBorder="1" applyFont="1"/>
    <xf borderId="5" fillId="3" fontId="3" numFmtId="0" xfId="0" applyAlignment="1" applyBorder="1" applyFill="1" applyFont="1">
      <alignment shrinkToFit="0" wrapText="1"/>
    </xf>
    <xf borderId="5" fillId="3" fontId="3" numFmtId="22" xfId="0" applyAlignment="1" applyBorder="1" applyFont="1" applyNumberFormat="1">
      <alignment horizontal="right" shrinkToFit="0" wrapText="1"/>
    </xf>
    <xf borderId="5" fillId="3" fontId="3" numFmtId="0" xfId="0" applyAlignment="1" applyBorder="1" applyFont="1">
      <alignment horizontal="right" shrinkToFit="0" wrapText="1"/>
    </xf>
    <xf borderId="6" fillId="3" fontId="3" numFmtId="0" xfId="0" applyAlignment="1" applyBorder="1" applyFont="1">
      <alignment horizontal="right" shrinkToFit="0" wrapText="1"/>
    </xf>
    <xf borderId="0" fillId="3" fontId="4" numFmtId="164" xfId="0" applyFont="1" applyNumberFormat="1"/>
    <xf borderId="0" fillId="3" fontId="4" numFmtId="0" xfId="0" applyFont="1"/>
    <xf borderId="0" fillId="0" fontId="4" numFmtId="165" xfId="0" applyFont="1" applyNumberFormat="1"/>
    <xf borderId="0" fillId="4" fontId="5" numFmtId="0" xfId="0" applyFill="1" applyFont="1"/>
    <xf borderId="0" fillId="0" fontId="5" numFmtId="0" xfId="0" applyAlignment="1" applyFont="1">
      <alignment horizontal="left" readingOrder="0" shrinkToFit="0" vertical="center" wrapText="0"/>
    </xf>
    <xf borderId="0" fillId="0" fontId="5" numFmtId="165" xfId="0" applyAlignment="1" applyFont="1" applyNumberFormat="1">
      <alignment horizontal="left" readingOrder="0" shrinkToFit="0" vertical="center" wrapText="0"/>
    </xf>
    <xf borderId="0" fillId="5" fontId="4" numFmtId="0" xfId="0" applyAlignment="1" applyFill="1" applyFont="1">
      <alignment shrinkToFit="0" vertical="center" wrapText="0"/>
    </xf>
    <xf borderId="0" fillId="5" fontId="4" numFmtId="166" xfId="0" applyAlignment="1" applyFont="1" applyNumberFormat="1">
      <alignment shrinkToFit="0" vertical="center" wrapText="0"/>
    </xf>
    <xf borderId="0" fillId="5" fontId="4" numFmtId="0" xfId="0" applyAlignment="1" applyFont="1">
      <alignment shrinkToFit="0" vertical="center" wrapText="0"/>
    </xf>
    <xf borderId="0" fillId="5" fontId="4" numFmtId="165" xfId="0" applyAlignment="1" applyFont="1" applyNumberFormat="1">
      <alignment shrinkToFit="0" vertical="center" wrapText="0"/>
    </xf>
    <xf borderId="0" fillId="5" fontId="4" numFmtId="167" xfId="0" applyAlignment="1" applyFont="1" applyNumberFormat="1">
      <alignment shrinkToFit="0" vertical="center" wrapText="0"/>
    </xf>
    <xf borderId="0" fillId="0" fontId="6" numFmtId="0" xfId="0" applyAlignment="1" applyFont="1">
      <alignment horizontal="center"/>
    </xf>
    <xf borderId="0" fillId="0" fontId="6" numFmtId="165" xfId="0" applyAlignment="1" applyFont="1" applyNumberFormat="1">
      <alignment horizontal="center"/>
    </xf>
    <xf borderId="0" fillId="0" fontId="4" numFmtId="167" xfId="0" applyFont="1" applyNumberFormat="1"/>
    <xf borderId="0" fillId="2" fontId="7" numFmtId="0" xfId="0" applyFont="1"/>
    <xf borderId="0" fillId="2" fontId="2" numFmtId="0" xfId="0" applyFont="1"/>
    <xf borderId="0" fillId="2" fontId="6" numFmtId="0" xfId="0" applyFont="1"/>
    <xf borderId="0" fillId="2" fontId="5" numFmtId="0" xfId="0" applyFont="1"/>
    <xf borderId="0" fillId="6" fontId="8" numFmtId="0" xfId="0" applyFill="1" applyFont="1"/>
    <xf borderId="0" fillId="7" fontId="8" numFmtId="0" xfId="0" applyFill="1" applyFont="1"/>
    <xf borderId="0" fillId="2" fontId="9" numFmtId="0" xfId="0" applyFont="1"/>
    <xf borderId="0" fillId="7" fontId="5" numFmtId="0" xfId="0" applyFont="1"/>
    <xf borderId="0" fillId="8" fontId="5" numFmtId="0" xfId="0" applyFill="1" applyFont="1"/>
    <xf borderId="0" fillId="2" fontId="10" numFmtId="0" xfId="0" applyFont="1"/>
    <xf borderId="0" fillId="9" fontId="5" numFmtId="0" xfId="0" applyFill="1" applyFont="1"/>
    <xf borderId="7" fillId="10" fontId="9" numFmtId="0" xfId="0" applyBorder="1" applyFill="1" applyFont="1"/>
    <xf borderId="8" fillId="0" fontId="11" numFmtId="0" xfId="0" applyBorder="1" applyFont="1"/>
    <xf borderId="7" fillId="11" fontId="12" numFmtId="0" xfId="0" applyBorder="1" applyFill="1" applyFont="1"/>
    <xf borderId="0" fillId="12" fontId="13" numFmtId="0" xfId="0" applyAlignment="1" applyFill="1" applyFont="1">
      <alignment horizontal="center" vertical="center"/>
    </xf>
    <xf borderId="0" fillId="12" fontId="13" numFmtId="165" xfId="0" applyAlignment="1" applyFont="1" applyNumberFormat="1">
      <alignment horizontal="center" vertical="center"/>
    </xf>
    <xf borderId="0" fillId="2" fontId="14" numFmtId="0" xfId="0" applyAlignment="1" applyFont="1">
      <alignment horizontal="center" readingOrder="0" vertical="center"/>
    </xf>
    <xf borderId="0" fillId="2" fontId="15" numFmtId="0" xfId="0" applyAlignment="1" applyFont="1">
      <alignment horizontal="center" vertical="center"/>
    </xf>
    <xf borderId="0" fillId="2" fontId="15" numFmtId="166" xfId="0" applyAlignment="1" applyFont="1" applyNumberFormat="1">
      <alignment horizontal="center" vertical="center"/>
    </xf>
    <xf borderId="0" fillId="2" fontId="15" numFmtId="165" xfId="0" applyAlignment="1" applyFont="1" applyNumberFormat="1">
      <alignment horizontal="center" vertical="center"/>
    </xf>
    <xf borderId="0" fillId="2" fontId="15" numFmtId="167" xfId="0" applyAlignment="1" applyFont="1" applyNumberFormat="1">
      <alignment horizontal="center" vertical="center"/>
    </xf>
    <xf borderId="0" fillId="2" fontId="15" numFmtId="1" xfId="0" applyAlignment="1" applyFont="1" applyNumberFormat="1">
      <alignment horizontal="center" vertical="center"/>
    </xf>
    <xf borderId="0" fillId="0" fontId="16" numFmtId="14" xfId="0" applyFont="1" applyNumberFormat="1"/>
    <xf borderId="0" fillId="0" fontId="16" numFmtId="2" xfId="0" applyFont="1" applyNumberFormat="1"/>
    <xf borderId="7" fillId="11" fontId="2" numFmtId="0" xfId="0" applyBorder="1" applyFont="1"/>
    <xf borderId="0" fillId="0" fontId="5" numFmtId="0" xfId="0" applyFont="1"/>
    <xf borderId="9" fillId="11" fontId="2" numFmtId="0" xfId="0" applyBorder="1" applyFont="1"/>
    <xf borderId="0" fillId="2" fontId="17" numFmtId="0" xfId="0" applyFont="1"/>
    <xf borderId="7" fillId="11" fontId="18" numFmtId="0" xfId="0" applyBorder="1" applyFont="1"/>
    <xf borderId="0" fillId="2" fontId="9" numFmtId="0" xfId="0" applyAlignment="1" applyFont="1">
      <alignment horizontal="center" vertical="center"/>
    </xf>
    <xf borderId="0" fillId="8" fontId="2" numFmtId="0" xfId="0" applyFont="1"/>
    <xf borderId="0" fillId="0" fontId="19" numFmtId="0" xfId="0" applyAlignment="1" applyFont="1">
      <alignment horizontal="center" vertical="center"/>
    </xf>
    <xf borderId="8" fillId="11" fontId="12" numFmtId="0" xfId="0" applyBorder="1" applyFont="1"/>
    <xf borderId="9" fillId="11" fontId="16" numFmtId="0" xfId="0" applyBorder="1" applyFont="1"/>
    <xf borderId="0" fillId="2" fontId="9" numFmtId="0" xfId="0" applyAlignment="1" applyFont="1">
      <alignment horizontal="center" shrinkToFit="0" vertical="center" wrapText="1"/>
    </xf>
    <xf borderId="0" fillId="0" fontId="20" numFmtId="0" xfId="0" applyFont="1"/>
    <xf borderId="4" fillId="13" fontId="21" numFmtId="0" xfId="0" applyAlignment="1" applyBorder="1" applyFill="1" applyFont="1">
      <alignment horizontal="center" shrinkToFit="0" wrapText="1"/>
    </xf>
    <xf borderId="4" fillId="13" fontId="21" numFmtId="14" xfId="0" applyAlignment="1" applyBorder="1" applyFont="1" applyNumberFormat="1">
      <alignment horizontal="center" shrinkToFit="0" wrapText="1"/>
    </xf>
    <xf borderId="4" fillId="13" fontId="21" numFmtId="2" xfId="0" applyAlignment="1" applyBorder="1" applyFont="1" applyNumberFormat="1">
      <alignment horizontal="center" shrinkToFit="0" wrapText="1"/>
    </xf>
    <xf borderId="4" fillId="13" fontId="19" numFmtId="1" xfId="0" applyAlignment="1" applyBorder="1" applyFont="1" applyNumberFormat="1">
      <alignment horizontal="center"/>
    </xf>
    <xf borderId="0" fillId="3" fontId="2" numFmtId="0" xfId="0" applyFont="1"/>
    <xf borderId="0" fillId="0" fontId="2" numFmtId="0" xfId="0" applyFont="1"/>
    <xf borderId="0" fillId="3" fontId="17" numFmtId="0" xfId="0" applyFont="1"/>
    <xf borderId="0" fillId="0" fontId="6" numFmtId="0" xfId="0" applyFont="1"/>
    <xf borderId="0" fillId="0" fontId="6" numFmtId="165" xfId="0" applyFont="1" applyNumberFormat="1"/>
    <xf borderId="0" fillId="14" fontId="6" numFmtId="165" xfId="0" applyFill="1" applyFont="1" applyNumberFormat="1"/>
    <xf borderId="0" fillId="0" fontId="22" numFmtId="0" xfId="0" applyFont="1"/>
    <xf borderId="0" fillId="0" fontId="23" numFmtId="0" xfId="0" applyFont="1"/>
    <xf borderId="0" fillId="2" fontId="5" numFmtId="0" xfId="0" applyAlignment="1" applyFont="1">
      <alignment horizontal="center"/>
    </xf>
    <xf borderId="0" fillId="2" fontId="5" numFmtId="165" xfId="0" applyAlignment="1" applyFont="1" applyNumberFormat="1">
      <alignment horizontal="center"/>
    </xf>
    <xf borderId="0" fillId="3" fontId="17" numFmtId="0" xfId="0" applyAlignment="1" applyFont="1">
      <alignment horizontal="center" readingOrder="0"/>
    </xf>
    <xf borderId="0" fillId="3" fontId="5" numFmtId="0" xfId="0" applyAlignment="1" applyFont="1">
      <alignment horizontal="center"/>
    </xf>
    <xf borderId="0" fillId="3" fontId="5" numFmtId="166" xfId="0" applyAlignment="1" applyFont="1" applyNumberFormat="1">
      <alignment horizontal="center"/>
    </xf>
    <xf borderId="0" fillId="3" fontId="5" numFmtId="165" xfId="0" applyAlignment="1" applyFont="1" applyNumberFormat="1">
      <alignment horizontal="center"/>
    </xf>
    <xf borderId="0" fillId="3" fontId="5" numFmtId="167" xfId="0" applyAlignment="1" applyFont="1" applyNumberFormat="1">
      <alignment horizontal="center"/>
    </xf>
    <xf borderId="0" fillId="3" fontId="5" numFmtId="1" xfId="0" applyAlignment="1" applyFont="1" applyNumberFormat="1">
      <alignment horizontal="center"/>
    </xf>
    <xf borderId="0" fillId="0" fontId="24" numFmtId="0" xfId="0" applyAlignment="1" applyFont="1">
      <alignment horizontal="center"/>
    </xf>
    <xf borderId="0" fillId="0" fontId="25" numFmtId="0" xfId="0" applyAlignment="1" applyFont="1">
      <alignment horizontal="center"/>
    </xf>
    <xf borderId="0" fillId="0" fontId="25" numFmtId="165" xfId="0" applyAlignment="1" applyFont="1" applyNumberFormat="1">
      <alignment horizontal="center"/>
    </xf>
    <xf borderId="0" fillId="6" fontId="26" numFmtId="0" xfId="0" applyAlignment="1" applyFont="1">
      <alignment readingOrder="0"/>
    </xf>
    <xf borderId="0" fillId="6" fontId="6" numFmtId="0" xfId="0" applyFont="1"/>
    <xf borderId="0" fillId="6" fontId="25" numFmtId="0" xfId="0" applyAlignment="1" applyFont="1">
      <alignment readingOrder="0"/>
    </xf>
    <xf borderId="0" fillId="3" fontId="6" numFmtId="0" xfId="0" applyAlignment="1" applyFont="1">
      <alignment readingOrder="0"/>
    </xf>
    <xf borderId="0" fillId="3" fontId="6" numFmtId="164" xfId="0" applyAlignment="1" applyFont="1" applyNumberFormat="1">
      <alignment readingOrder="0"/>
    </xf>
    <xf borderId="0" fillId="3" fontId="6" numFmtId="3" xfId="0" applyAlignment="1" applyFont="1" applyNumberFormat="1">
      <alignment readingOrder="0"/>
    </xf>
    <xf borderId="0" fillId="3" fontId="6" numFmtId="167" xfId="0" applyAlignment="1" applyFont="1" applyNumberFormat="1">
      <alignment readingOrder="0"/>
    </xf>
    <xf borderId="0" fillId="0" fontId="25" numFmtId="0" xfId="0" applyAlignment="1" applyFont="1">
      <alignment readingOrder="0"/>
    </xf>
    <xf borderId="0" fillId="4" fontId="25" numFmtId="0" xfId="0" applyAlignment="1" applyFont="1">
      <alignment readingOrder="0"/>
    </xf>
    <xf borderId="0" fillId="15" fontId="6" numFmtId="0" xfId="0" applyAlignment="1" applyFill="1" applyFont="1">
      <alignment readingOrder="0"/>
    </xf>
    <xf borderId="0" fillId="15" fontId="6" numFmtId="164" xfId="0" applyAlignment="1" applyFont="1" applyNumberFormat="1">
      <alignment readingOrder="0"/>
    </xf>
    <xf borderId="0" fillId="8" fontId="6" numFmtId="0" xfId="0" applyAlignment="1" applyFont="1">
      <alignment readingOrder="0"/>
    </xf>
    <xf borderId="0" fillId="8" fontId="6" numFmtId="164" xfId="0" applyAlignment="1" applyFont="1" applyNumberFormat="1">
      <alignment readingOrder="0"/>
    </xf>
    <xf borderId="0" fillId="16" fontId="25" numFmtId="0" xfId="0" applyAlignment="1" applyFill="1" applyFont="1">
      <alignment readingOrder="0"/>
    </xf>
    <xf borderId="0" fillId="16" fontId="6" numFmtId="0" xfId="0" applyFont="1"/>
    <xf borderId="0" fillId="17" fontId="6" numFmtId="0" xfId="0" applyAlignment="1" applyFill="1" applyFont="1">
      <alignment readingOrder="0"/>
    </xf>
    <xf borderId="0" fillId="17" fontId="6" numFmtId="164" xfId="0" applyAlignment="1" applyFont="1" applyNumberFormat="1">
      <alignment readingOrder="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0"/>
          <bgColor theme="0"/>
        </patternFill>
      </fill>
      <border/>
    </dxf>
    <dxf>
      <font/>
      <fill>
        <patternFill patternType="solid">
          <fgColor rgb="FFF1CEEE"/>
          <bgColor rgb="FFF1CEEE"/>
        </patternFill>
      </fill>
      <border/>
    </dxf>
  </dxfs>
  <tableStyles count="10">
    <tableStyle count="4" pivot="0" name="Cleaned_Data-style">
      <tableStyleElement dxfId="1" type="headerRow"/>
      <tableStyleElement dxfId="2" type="firstRowStripe"/>
      <tableStyleElement dxfId="3" type="secondRowStripe"/>
      <tableStyleElement dxfId="4" size="0" type="wholeTable"/>
    </tableStyle>
    <tableStyle count="3" pivot="0" name="summarized data-style">
      <tableStyleElement dxfId="1" type="headerRow"/>
      <tableStyleElement dxfId="2" type="firstRowStripe"/>
      <tableStyleElement dxfId="3" type="secondRowStripe"/>
    </tableStyle>
    <tableStyle count="3" pivot="0" name="Q2-style">
      <tableStyleElement dxfId="5" type="headerRow"/>
      <tableStyleElement dxfId="6" type="firstRowStripe"/>
      <tableStyleElement dxfId="5" type="secondRowStripe"/>
    </tableStyle>
    <tableStyle count="3" pivot="0" name="Q3-style">
      <tableStyleElement dxfId="1" type="headerRow"/>
      <tableStyleElement dxfId="2" type="firstRowStripe"/>
      <tableStyleElement dxfId="3" type="secondRowStripe"/>
    </tableStyle>
    <tableStyle count="3" pivot="0" name="Q4-style">
      <tableStyleElement dxfId="1" type="headerRow"/>
      <tableStyleElement dxfId="2" type="firstRowStripe"/>
      <tableStyleElement dxfId="3" type="secondRowStripe"/>
    </tableStyle>
    <tableStyle count="3" pivot="0" name="Q5-style">
      <tableStyleElement dxfId="1" type="headerRow"/>
      <tableStyleElement dxfId="2" type="firstRowStripe"/>
      <tableStyleElement dxfId="3" type="secondRowStripe"/>
    </tableStyle>
    <tableStyle count="3" pivot="0" name="Q6-style">
      <tableStyleElement dxfId="1" type="headerRow"/>
      <tableStyleElement dxfId="2" type="firstRowStripe"/>
      <tableStyleElement dxfId="3" type="secondRowStripe"/>
    </tableStyle>
    <tableStyle count="3" pivot="0" name="Q7-style">
      <tableStyleElement dxfId="1" type="headerRow"/>
      <tableStyleElement dxfId="2" type="firstRowStripe"/>
      <tableStyleElement dxfId="3" type="secondRowStripe"/>
    </tableStyle>
    <tableStyle count="3" pivot="0" name="Q8-style">
      <tableStyleElement dxfId="1" type="headerRow"/>
      <tableStyleElement dxfId="2" type="firstRowStripe"/>
      <tableStyleElement dxfId="3" type="secondRowStripe"/>
    </tableStyle>
    <tableStyle count="3" pivot="0" name="Q9-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2.xml"/><Relationship Id="rId25" Type="http://schemas.openxmlformats.org/officeDocument/2006/relationships/pivotCacheDefinition" Target="pivotCache/pivotCacheDefinition1.xml"/><Relationship Id="rId28" Type="http://schemas.microsoft.com/office/2007/relationships/slicerCache" Target="slicerCaches/slicerCache1.xml"/><Relationship Id="rId27"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29" Type="http://schemas.microsoft.com/office/2007/relationships/slicerCache" Target="slicerCaches/slicerCache2.xml"/><Relationship Id="rId7" Type="http://schemas.openxmlformats.org/officeDocument/2006/relationships/worksheet" Target="worksheets/sheet3.xml"/><Relationship Id="rId8" Type="http://schemas.openxmlformats.org/officeDocument/2006/relationships/worksheet" Target="worksheets/sheet4.xml"/><Relationship Id="rId31" Type="http://schemas.microsoft.com/office/2007/relationships/slicerCache" Target="slicerCaches/slicerCache4.xml"/><Relationship Id="rId30" Type="http://schemas.microsoft.com/office/2007/relationships/slicerCache" Target="slicerCaches/slicerCache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Average Profit Margin by Category</a:t>
            </a:r>
          </a:p>
        </c:rich>
      </c:tx>
      <c:overlay val="0"/>
    </c:title>
    <c:plotArea>
      <c:layout/>
      <c:barChart>
        <c:barDir val="bar"/>
        <c:ser>
          <c:idx val="0"/>
          <c:order val="0"/>
          <c:spPr>
            <a:solidFill>
              <a:schemeClr val="accent1"/>
            </a:solidFill>
            <a:ln cmpd="sng">
              <a:solidFill>
                <a:srgbClr val="000000"/>
              </a:solidFill>
            </a:ln>
          </c:spPr>
          <c:cat>
            <c:strRef>
              <c:f>Margin_Analysis!$A$1:$A$10</c:f>
            </c:strRef>
          </c:cat>
          <c:val>
            <c:numRef>
              <c:f>Margin_Analysis!$B$1:$B$10</c:f>
              <c:numCache/>
            </c:numRef>
          </c:val>
        </c:ser>
        <c:axId val="766902493"/>
        <c:axId val="11577729"/>
      </c:barChart>
      <c:catAx>
        <c:axId val="76690249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577729"/>
      </c:catAx>
      <c:valAx>
        <c:axId val="115777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Avg Margin</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766902493"/>
        <c:crosses val="max"/>
      </c:valAx>
    </c:plotArea>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Average Profit by region</a:t>
            </a:r>
          </a:p>
        </c:rich>
      </c:tx>
      <c:overlay val="0"/>
    </c:title>
    <c:plotArea>
      <c:layout/>
      <c:barChart>
        <c:barDir val="col"/>
        <c:ser>
          <c:idx val="0"/>
          <c:order val="0"/>
          <c:tx>
            <c:strRef>
              <c:f>Pivot_Analysis!$B$1</c:f>
            </c:strRef>
          </c:tx>
          <c:spPr>
            <a:solidFill>
              <a:schemeClr val="accent1"/>
            </a:solidFill>
            <a:ln cmpd="sng">
              <a:solidFill>
                <a:srgbClr val="000000"/>
              </a:solidFill>
            </a:ln>
          </c:spPr>
          <c:cat>
            <c:strRef>
              <c:f>Pivot_Analysis!$A$2:$A$6</c:f>
            </c:strRef>
          </c:cat>
          <c:val>
            <c:numRef>
              <c:f>Pivot_Analysis!$B$2:$B$6</c:f>
              <c:numCache/>
            </c:numRef>
          </c:val>
        </c:ser>
        <c:axId val="1373652112"/>
        <c:axId val="995112337"/>
      </c:barChart>
      <c:catAx>
        <c:axId val="1373652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995112337"/>
      </c:catAx>
      <c:valAx>
        <c:axId val="9951123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Profit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365211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'Category &amp; region'!$B$1</c:f>
            </c:strRef>
          </c:tx>
          <c:spPr>
            <a:solidFill>
              <a:srgbClr val="1155CC"/>
            </a:solidFill>
            <a:ln cmpd="sng">
              <a:solidFill>
                <a:srgbClr val="4A86E8">
                  <a:alpha val="100000"/>
                </a:srgbClr>
              </a:solidFill>
            </a:ln>
          </c:spPr>
          <c:cat>
            <c:strRef>
              <c:f>'Category &amp; region'!$A$2:$A$30</c:f>
            </c:strRef>
          </c:cat>
          <c:val>
            <c:numRef>
              <c:f>'Category &amp; region'!$B$2:$B$30</c:f>
              <c:numCache/>
            </c:numRef>
          </c:val>
        </c:ser>
        <c:axId val="1673664596"/>
        <c:axId val="605628151"/>
      </c:barChart>
      <c:catAx>
        <c:axId val="16736645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05628151"/>
      </c:catAx>
      <c:valAx>
        <c:axId val="6056281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67366459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                   Total Profit vs. Region</a:t>
            </a:r>
          </a:p>
        </c:rich>
      </c:tx>
      <c:overlay val="0"/>
    </c:title>
    <c:plotArea>
      <c:layout/>
      <c:barChart>
        <c:barDir val="col"/>
        <c:ser>
          <c:idx val="0"/>
          <c:order val="0"/>
          <c:tx>
            <c:strRef>
              <c:f>Dashboard!$B$1</c:f>
            </c:strRef>
          </c:tx>
          <c:spPr>
            <a:solidFill>
              <a:schemeClr val="accent1"/>
            </a:solidFill>
            <a:ln cmpd="sng">
              <a:solidFill>
                <a:srgbClr val="000000"/>
              </a:solidFill>
            </a:ln>
          </c:spPr>
          <c:cat>
            <c:strRef>
              <c:f>Dashboard!$A$2:$A$6</c:f>
            </c:strRef>
          </c:cat>
          <c:val>
            <c:numRef>
              <c:f>Dashboard!$B$2:$B$6</c:f>
              <c:numCache/>
            </c:numRef>
          </c:val>
        </c:ser>
        <c:axId val="1255170564"/>
        <c:axId val="2135821085"/>
      </c:barChart>
      <c:catAx>
        <c:axId val="125517056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Region</a:t>
                </a:r>
              </a:p>
            </c:rich>
          </c:tx>
          <c:overlay val="0"/>
        </c:title>
        <c:numFmt formatCode="General" sourceLinked="1"/>
        <c:majorTickMark val="none"/>
        <c:minorTickMark val="none"/>
        <c:spPr/>
        <c:txPr>
          <a:bodyPr/>
          <a:lstStyle/>
          <a:p>
            <a:pPr lvl="0">
              <a:defRPr b="0" i="0">
                <a:solidFill>
                  <a:srgbClr val="000000"/>
                </a:solidFill>
                <a:latin typeface="+mn-lt"/>
              </a:defRPr>
            </a:pPr>
          </a:p>
        </c:txPr>
        <c:crossAx val="2135821085"/>
      </c:catAx>
      <c:valAx>
        <c:axId val="21358210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Total Profit</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255170564"/>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                         Total Revenue vs. Country</a:t>
            </a:r>
          </a:p>
        </c:rich>
      </c:tx>
      <c:overlay val="0"/>
    </c:title>
    <c:plotArea>
      <c:layout/>
      <c:barChart>
        <c:barDir val="bar"/>
        <c:ser>
          <c:idx val="0"/>
          <c:order val="0"/>
          <c:tx>
            <c:strRef>
              <c:f>Dashboard!$B$11</c:f>
            </c:strRef>
          </c:tx>
          <c:spPr>
            <a:solidFill>
              <a:schemeClr val="accent1"/>
            </a:solidFill>
            <a:ln cmpd="sng">
              <a:solidFill>
                <a:srgbClr val="000000"/>
              </a:solidFill>
            </a:ln>
          </c:spPr>
          <c:cat>
            <c:strRef>
              <c:f>Dashboard!$A$12:$A$16</c:f>
            </c:strRef>
          </c:cat>
          <c:val>
            <c:numRef>
              <c:f>Dashboard!$B$12:$B$16</c:f>
              <c:numCache/>
            </c:numRef>
          </c:val>
        </c:ser>
        <c:axId val="125573601"/>
        <c:axId val="1353487676"/>
      </c:barChart>
      <c:catAx>
        <c:axId val="125573601"/>
        <c:scaling>
          <c:orientation val="maxMin"/>
        </c:scaling>
        <c:delete val="0"/>
        <c:axPos val="l"/>
        <c:title>
          <c:tx>
            <c:rich>
              <a:bodyPr/>
              <a:lstStyle/>
              <a:p>
                <a:pPr lvl="0">
                  <a:defRPr b="0" i="0" sz="1200">
                    <a:solidFill>
                      <a:srgbClr val="000000"/>
                    </a:solidFill>
                    <a:latin typeface="+mn-lt"/>
                  </a:defRPr>
                </a:pPr>
                <a:r>
                  <a:rPr b="0" i="0" sz="1200">
                    <a:solidFill>
                      <a:srgbClr val="000000"/>
                    </a:solidFill>
                    <a:latin typeface="+mn-lt"/>
                  </a:rPr>
                  <a:t>Country</a:t>
                </a:r>
              </a:p>
            </c:rich>
          </c:tx>
          <c:overlay val="0"/>
        </c:title>
        <c:numFmt formatCode="General" sourceLinked="1"/>
        <c:majorTickMark val="none"/>
        <c:minorTickMark val="none"/>
        <c:spPr/>
        <c:txPr>
          <a:bodyPr/>
          <a:lstStyle/>
          <a:p>
            <a:pPr lvl="0">
              <a:defRPr b="0" i="0" sz="1400">
                <a:solidFill>
                  <a:srgbClr val="000000"/>
                </a:solidFill>
                <a:latin typeface="+mn-lt"/>
              </a:defRPr>
            </a:pPr>
          </a:p>
        </c:txPr>
        <c:crossAx val="1353487676"/>
      </c:catAx>
      <c:valAx>
        <c:axId val="13534876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i="0" sz="1300">
                    <a:solidFill>
                      <a:srgbClr val="000000"/>
                    </a:solidFill>
                    <a:latin typeface="+mn-lt"/>
                  </a:defRPr>
                </a:pPr>
                <a:r>
                  <a:rPr b="0" i="0" sz="1300">
                    <a:solidFill>
                      <a:srgbClr val="000000"/>
                    </a:solidFill>
                    <a:latin typeface="+mn-lt"/>
                  </a:rPr>
                  <a:t>Total Revenue</a:t>
                </a:r>
              </a:p>
            </c:rich>
          </c:tx>
          <c:overlay val="0"/>
        </c:title>
        <c:numFmt formatCode="General" sourceLinked="1"/>
        <c:majorTickMark val="none"/>
        <c:minorTickMark val="none"/>
        <c:tickLblPos val="nextTo"/>
        <c:spPr>
          <a:ln/>
        </c:spPr>
        <c:txPr>
          <a:bodyPr/>
          <a:lstStyle/>
          <a:p>
            <a:pPr lvl="0">
              <a:defRPr b="0" i="0" sz="1400">
                <a:solidFill>
                  <a:srgbClr val="000000"/>
                </a:solidFill>
                <a:latin typeface="+mn-lt"/>
              </a:defRPr>
            </a:pPr>
          </a:p>
        </c:txPr>
        <c:crossAx val="125573601"/>
        <c:crosses val="max"/>
      </c:valAx>
    </c:plotArea>
    <c:legend>
      <c:legendPos val="r"/>
      <c:overlay val="0"/>
      <c:txPr>
        <a:bodyPr/>
        <a:lstStyle/>
        <a:p>
          <a:pPr lvl="0">
            <a:defRPr b="0" i="0">
              <a:solidFill>
                <a:srgbClr val="1A1A1A"/>
              </a:solidFill>
              <a:latin typeface="+mn-lt"/>
            </a:defRPr>
          </a:pPr>
        </a:p>
      </c:txPr>
    </c:legend>
    <c:plotVisOnly val="1"/>
  </c:chart>
  <c:spPr>
    <a:solidFill>
      <a:srgbClr val="00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Dashboard!$H$17</c:f>
            </c:strRef>
          </c:tx>
          <c:dPt>
            <c:idx val="0"/>
            <c:spPr>
              <a:solidFill>
                <a:srgbClr val="156082"/>
              </a:solidFill>
            </c:spPr>
          </c:dPt>
          <c:dPt>
            <c:idx val="1"/>
            <c:spPr>
              <a:solidFill>
                <a:srgbClr val="E97132"/>
              </a:solidFill>
            </c:spPr>
          </c:dPt>
          <c:dPt>
            <c:idx val="2"/>
            <c:spPr>
              <a:solidFill>
                <a:srgbClr val="196B24"/>
              </a:solidFill>
            </c:spPr>
          </c:dPt>
          <c:dPt>
            <c:idx val="3"/>
            <c:spPr>
              <a:solidFill>
                <a:srgbClr val="0F9ED5"/>
              </a:solidFill>
            </c:spPr>
          </c:dPt>
          <c:dPt>
            <c:idx val="4"/>
            <c:spPr>
              <a:solidFill>
                <a:srgbClr val="A02B93"/>
              </a:solidFill>
            </c:spPr>
          </c:dPt>
          <c:dPt>
            <c:idx val="5"/>
            <c:spPr>
              <a:solidFill>
                <a:srgbClr val="4EA72E"/>
              </a:solidFill>
            </c:spPr>
          </c:dPt>
          <c:dLbls>
            <c:showLegendKey val="0"/>
            <c:showVal val="0"/>
            <c:showCatName val="0"/>
            <c:showSerName val="0"/>
            <c:showPercent val="0"/>
            <c:showBubbleSize val="0"/>
            <c:showLeaderLines val="1"/>
          </c:dLbls>
          <c:cat>
            <c:strRef>
              <c:f>Dashboard!$G$18:$G$23</c:f>
            </c:strRef>
          </c:cat>
          <c:val>
            <c:numRef>
              <c:f>Dashboard!$H$18:$H$23</c:f>
              <c:numCache/>
            </c:numRef>
          </c:val>
        </c:ser>
        <c:dLbls>
          <c:showLegendKey val="0"/>
          <c:showVal val="0"/>
          <c:showCatName val="0"/>
          <c:showSerName val="0"/>
          <c:showPercent val="0"/>
          <c:showBubbleSize val="0"/>
        </c:dLbls>
      </c:pie3DChart>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Revenue &amp; Profit by Region</a:t>
            </a:r>
          </a:p>
        </c:rich>
      </c:tx>
      <c:overlay val="0"/>
    </c:title>
    <c:plotArea>
      <c:layout/>
      <c:barChart>
        <c:barDir val="col"/>
        <c:ser>
          <c:idx val="0"/>
          <c:order val="0"/>
          <c:spPr>
            <a:solidFill>
              <a:schemeClr val="accent1"/>
            </a:solidFill>
            <a:ln cmpd="sng">
              <a:solidFill>
                <a:srgbClr val="000000"/>
              </a:solidFill>
            </a:ln>
          </c:spPr>
          <c:cat>
            <c:strRef>
              <c:f>Summary_Report!$A$10:$A$15</c:f>
            </c:strRef>
          </c:cat>
          <c:val>
            <c:numRef>
              <c:f>Summary_Report!$B$10:$B$15</c:f>
              <c:numCache/>
            </c:numRef>
          </c:val>
        </c:ser>
        <c:ser>
          <c:idx val="1"/>
          <c:order val="1"/>
          <c:spPr>
            <a:solidFill>
              <a:schemeClr val="accent2"/>
            </a:solidFill>
            <a:ln cmpd="sng">
              <a:solidFill>
                <a:srgbClr val="000000"/>
              </a:solidFill>
            </a:ln>
          </c:spPr>
          <c:cat>
            <c:strRef>
              <c:f>Summary_Report!$A$10:$A$15</c:f>
            </c:strRef>
          </c:cat>
          <c:val>
            <c:numRef>
              <c:f>Summary_Report!$C$10:$C$15</c:f>
              <c:numCache/>
            </c:numRef>
          </c:val>
        </c:ser>
        <c:axId val="69460948"/>
        <c:axId val="691838440"/>
      </c:barChart>
      <c:catAx>
        <c:axId val="694609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91838440"/>
      </c:catAx>
      <c:valAx>
        <c:axId val="6918384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460948"/>
      </c:valAx>
    </c:plotArea>
    <c:legend>
      <c:legendPos val="r"/>
      <c:overlay val="0"/>
      <c:txPr>
        <a:bodyPr/>
        <a:lstStyle/>
        <a:p>
          <a:pPr lvl="0">
            <a:defRPr b="0">
              <a:solidFill>
                <a:srgbClr val="1A1A1A"/>
              </a:solidFill>
              <a:latin typeface="+mn-lt"/>
            </a:defRPr>
          </a:pPr>
        </a:p>
      </c:txPr>
    </c:legend>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0</xdr:row>
      <xdr:rowOff>0</xdr:rowOff>
    </xdr:from>
    <xdr:ext cx="7191375" cy="401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5715000" cy="35337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295275</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85725</xdr:colOff>
      <xdr:row>8</xdr:row>
      <xdr:rowOff>95250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3</xdr:row>
      <xdr:rowOff>47625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304800</xdr:colOff>
      <xdr:row>1</xdr:row>
      <xdr:rowOff>28575</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381000</xdr:colOff>
      <xdr:row>0</xdr:row>
      <xdr:rowOff>0</xdr:rowOff>
    </xdr:from>
    <xdr:ext cx="4457700" cy="24574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238125</xdr:colOff>
      <xdr:row>10</xdr:row>
      <xdr:rowOff>9525</xdr:rowOff>
    </xdr:from>
    <xdr:ext cx="4152900" cy="25622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171450</xdr:colOff>
      <xdr:row>14</xdr:row>
      <xdr:rowOff>180975</xdr:rowOff>
    </xdr:from>
    <xdr:ext cx="2962275" cy="183832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333375</xdr:colOff>
      <xdr:row>0</xdr:row>
      <xdr:rowOff>85725</xdr:rowOff>
    </xdr:from>
    <xdr:ext cx="2857500" cy="2857500"/>
    <mc:AlternateContent>
      <mc:Choice Requires="sle15">
        <xdr:graphicFrame>
          <xdr:nvGraphicFramePr>
            <xdr:cNvPr id="3" name="Region_3"/>
            <xdr:cNvGraphicFramePr/>
          </xdr:nvGraphicFramePr>
          <xdr:xfrm>
            <a:off x="0" y="0"/>
            <a:ext cx="0" cy="0"/>
          </xdr:xfrm>
          <a:graphic>
            <a:graphicData uri="http://schemas.microsoft.com/office/drawing/2010/slicer">
              <x3Unk:slicer name="Regi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7</xdr:row>
      <xdr:rowOff>152400</xdr:rowOff>
    </xdr:from>
    <xdr:ext cx="2857500" cy="2857500"/>
    <mc:AlternateContent>
      <mc:Choice Requires="sle15">
        <xdr:graphicFrame>
          <xdr:nvGraphicFramePr>
            <xdr:cNvPr id="4" name="Country_4"/>
            <xdr:cNvGraphicFramePr/>
          </xdr:nvGraphicFramePr>
          <xdr:xfrm>
            <a:off x="0" y="0"/>
            <a:ext cx="0" cy="0"/>
          </xdr:xfrm>
          <a:graphic>
            <a:graphicData uri="http://schemas.microsoft.com/office/drawing/2010/slicer">
              <x3Unk:slicer name="Country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381000</xdr:colOff>
      <xdr:row>12</xdr:row>
      <xdr:rowOff>123825</xdr:rowOff>
    </xdr:from>
    <xdr:ext cx="2857500" cy="2857500"/>
    <mc:AlternateContent>
      <mc:Choice Requires="sle15">
        <xdr:graphicFrame>
          <xdr:nvGraphicFramePr>
            <xdr:cNvPr id="5" name="Country_5"/>
            <xdr:cNvGraphicFramePr/>
          </xdr:nvGraphicFramePr>
          <xdr:xfrm>
            <a:off x="0" y="0"/>
            <a:ext cx="0" cy="0"/>
          </xdr:xfrm>
          <a:graphic>
            <a:graphicData uri="http://schemas.microsoft.com/office/drawing/2010/slicer">
              <x3Unk:slicer name="Country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5715000" cy="38100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3:O353" sheet="Cleaned_Data"/>
  </cacheSource>
  <cacheFields>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s v="East"/>
        <s v="West"/>
        <s v="North"/>
        <s v="Unknown"/>
        <s v="South"/>
      </sharedItems>
    </cacheField>
    <cacheField name="Country" numFmtId="0">
      <sharedItems>
        <s v="Germany"/>
        <s v="India"/>
        <s v="USA"/>
        <s v="UK"/>
        <s v="Australia"/>
      </sharedItems>
    </cacheField>
    <cacheField name="Category" numFmtId="0">
      <sharedItems>
        <s v="Beverages"/>
        <s v="Food"/>
        <s v="Clothing"/>
        <s v="Furniture"/>
        <s v="Electronics"/>
        <s v="Unknown"/>
      </sharedItems>
    </cacheField>
    <cacheField name="Sales Channel" numFmtId="0">
      <sharedItems>
        <s v="Online"/>
        <s v="Offline"/>
      </sharedItems>
    </cacheField>
    <cacheField name="Order Priority" numFmtId="0">
      <sharedItems>
        <s v="High"/>
        <s v="Low"/>
        <s v="Medium"/>
      </sharedItems>
    </cacheField>
    <cacheField name="Order Date" numFmtId="166">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emiMixedTypes="0" containsString="0" containsNumber="1">
        <n v="235.0"/>
        <n v="341.0"/>
        <n v="179.0"/>
        <n v="18.0"/>
        <n v="472.0"/>
        <n v="49.0"/>
        <n v="34.0"/>
        <n v="270.0"/>
        <n v="404.0"/>
        <n v="452.0"/>
        <n v="481.0"/>
        <n v="133.0"/>
        <n v="47.0"/>
        <n v="337.0"/>
        <n v="260.0"/>
        <n v="398.0"/>
        <n v="185.0"/>
        <n v="99.0"/>
        <n v="411.0"/>
        <n v="463.0"/>
        <n v="46.0"/>
        <n v="325.0"/>
        <n v="470.0"/>
        <n v="293.0"/>
        <n v="462.0"/>
        <n v="90.0"/>
        <n v="123.0"/>
        <n v="310.0"/>
        <n v="233.0"/>
        <n v="327.0"/>
        <n v="358.0"/>
        <n v="124.0"/>
        <n v="195.0"/>
        <n v="255.9029411764706"/>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165">
      <sharedItems containsSemiMixedTypes="0" containsString="0" containsNumber="1">
        <n v="152.92"/>
        <n v="467.92"/>
        <n v="473.94"/>
        <n v="314.53"/>
        <n v="392.79"/>
        <n v="308.07"/>
        <n v="244.78"/>
        <n v="332.11"/>
        <n v="278.74"/>
        <n v="300.75"/>
        <n v="393.0"/>
        <n v="243.05"/>
        <n v="25.17"/>
        <n v="86.18"/>
        <n v="222.11"/>
        <n v="363.79"/>
        <n v="298.67"/>
        <n v="326.9"/>
        <n v="242.24"/>
        <n v="309.79"/>
        <n v="167.86"/>
        <n v="237.74"/>
        <n v="373.42"/>
        <n v="436.56"/>
        <n v="219.66"/>
        <n v="26.61"/>
        <n v="85.03"/>
        <n v="249.64520588235297"/>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165">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Total Revenue" numFmtId="165">
      <sharedItems containsSemiMixedTypes="0" containsString="0" containsNumber="1">
        <n v="35936.2"/>
        <n v="159560.72"/>
        <n v="84835.26"/>
        <n v="5661.539999999999"/>
        <n v="185396.88"/>
        <n v="15095.43"/>
        <n v="8322.52"/>
        <n v="89669.7"/>
        <n v="112610.96"/>
        <n v="135939.0"/>
        <n v="92355.0"/>
        <n v="116907.05"/>
        <n v="3347.61"/>
        <n v="40676.96000000001"/>
        <n v="10439.17"/>
        <n v="122597.23000000001"/>
        <n v="77654.2"/>
        <n v="130106.2"/>
        <n v="44814.4"/>
        <n v="30669.210000000003"/>
        <n v="68990.46"/>
        <n v="110073.62000000001"/>
        <n v="17177.32"/>
        <n v="141882.0"/>
        <n v="40637.1"/>
        <n v="12506.699999999999"/>
        <n v="24913.79"/>
        <n v="115336.08511764708"/>
        <n v="154333.9"/>
        <n v="15255.0"/>
        <n v="33644.189999999995"/>
        <n v="12209.33"/>
        <n v="14061.6"/>
        <n v="47674.130000000005"/>
        <n v="37336.86"/>
        <n v="75935.38"/>
        <n v="30956.005529411766"/>
        <n v="82098.9"/>
        <n v="23346.02532352941"/>
        <n v="31238.35"/>
        <n v="10332.630000000001"/>
        <n v="153872.07"/>
        <n v="15495.76"/>
        <n v="131364.0"/>
        <n v="117333.2467647059"/>
        <n v="62705.4"/>
        <n v="81631.14"/>
        <n v="70305.53"/>
        <n v="66620.25"/>
        <n v="3049.8"/>
        <n v="69269.1"/>
        <n v="53995.62"/>
        <n v="30387.87"/>
        <n v="143898.62"/>
        <n v="22387.64"/>
        <n v="33735.48"/>
        <n v="45544.63"/>
        <n v="32534.84"/>
        <n v="54210.0"/>
        <n v="87635.76000000001"/>
        <n v="22616.28"/>
        <n v="43088.88"/>
        <n v="73932.8"/>
        <n v="36807.77"/>
        <n v="110565.8"/>
        <n v="63622.0"/>
        <n v="31087.84"/>
        <n v="111516.94"/>
        <n v="41261.649999999994"/>
        <n v="627.52"/>
        <n v="31438.8"/>
        <n v="12983.24"/>
        <n v="11096.460000000001"/>
        <n v="96412.27"/>
        <n v="75286.98"/>
        <n v="13320.0"/>
        <n v="1668.8"/>
        <n v="142593.0"/>
        <n v="64282.53"/>
        <n v="42190.03979411765"/>
        <n v="159848.4"/>
        <n v="4223.62"/>
        <n v="49475.42"/>
        <n v="14465.28"/>
        <n v="85372.4"/>
        <n v="11132.03"/>
        <n v="44223.4"/>
        <n v="118131.48"/>
        <n v="48117.0"/>
        <n v="14515.939999999999"/>
        <n v="110390.04"/>
        <n v="5242.5493235294125"/>
        <n v="23453.600000000002"/>
        <n v="104408.73"/>
        <n v="68968.0"/>
        <n v="10440.1"/>
        <n v="7150.0"/>
        <n v="29984.120000000003"/>
        <n v="23519.16"/>
        <n v="73747.08"/>
        <n v="4721.08"/>
        <n v="99294.20999999999"/>
        <n v="90941.68000000001"/>
        <n v="128563.71"/>
        <n v="44512.149999999994"/>
        <n v="197785.03"/>
        <n v="99291.84"/>
        <n v="101821.5"/>
        <n v="3770.2400000000002"/>
        <n v="165292.35"/>
        <n v="31354.120000000003"/>
        <n v="50510.43"/>
        <n v="14193.76"/>
        <n v="26709.4"/>
        <n v="28127.66"/>
        <n v="21927.63"/>
        <n v="23980.440000000002"/>
        <n v="18413.920000000002"/>
        <n v="123946.61000000002"/>
        <n v="23850.54"/>
        <n v="69384.8"/>
        <n v="56029.05"/>
        <n v="15849.300000000001"/>
        <n v="6609.599999999999"/>
        <n v="47340.649999999994"/>
        <n v="99769.4"/>
        <n v="120662.08000000002"/>
        <n v="47233.24"/>
        <n v="129787.18"/>
        <n v="43827.11"/>
        <n v="68699.7035882353"/>
        <n v="15330.72"/>
        <n v="14208.689999999999"/>
        <n v="1977.3"/>
        <n v="9874.41"/>
        <n v="152628.69999999998"/>
        <n v="35005.799999999996"/>
        <n v="39586.69"/>
        <n v="140469.08"/>
        <n v="16624.6"/>
        <n v="3754.41"/>
        <n v="232738.38"/>
        <n v="16948.02"/>
        <n v="72819.69"/>
        <n v="154167.30000000002"/>
        <n v="53088.12"/>
        <n v="2747.67"/>
        <n v="23156.399999999998"/>
        <n v="122386.31999999999"/>
        <n v="92224.74"/>
        <n v="66677.66"/>
        <n v="15857.4"/>
        <n v="94112.07999999999"/>
        <n v="204588.75"/>
        <n v="117897.0"/>
        <n v="220772.37"/>
        <n v="3994.3232941176475"/>
        <n v="12735.699999999999"/>
        <n v="117446.84"/>
        <n v="7456.679999999999"/>
        <n v="11990.55"/>
        <n v="114473.2"/>
        <n v="14297.36"/>
        <n v="184403.25"/>
        <n v="220534.8"/>
        <n v="176646.6"/>
        <n v="3335.93"/>
        <n v="70992.0"/>
        <n v="2065.35"/>
        <n v="160557.0"/>
        <n v="168475.03"/>
        <n v="108854.34999999999"/>
        <n v="65238.6"/>
        <n v="5865.34"/>
        <n v="208351.44"/>
        <n v="17497.079999999998"/>
        <n v="176654.66"/>
        <n v="95098.08"/>
        <n v="7293.599999999999"/>
        <n v="91361.20000000001"/>
        <n v="64339.200000000004"/>
        <n v="93183.3"/>
        <n v="50940.42"/>
        <n v="23847.6"/>
        <n v="73651.11"/>
        <n v="82123.47"/>
        <n v="41736.14"/>
        <n v="50622.08"/>
        <n v="105970.29000000001"/>
        <n v="1140.18"/>
        <n v="9163.6"/>
        <n v="41361.84"/>
        <n v="11630.88"/>
        <n v="77699.52"/>
        <n v="87441.12"/>
        <n v="106926.77"/>
        <n v="116615.1"/>
        <n v="190533.15000000002"/>
        <n v="46212.55"/>
        <n v="104359.77844117647"/>
        <n v="1767.3"/>
        <n v="24570.0"/>
        <n v="125666.64"/>
        <n v="46408.799999999996"/>
        <n v="108913.92"/>
        <n v="18619.530000000002"/>
        <n v="75056.15999999999"/>
        <n v="58453.2"/>
        <n v="161626.5"/>
        <n v="121510.62"/>
        <n v="163183.68"/>
        <n v="58062.48"/>
        <n v="30074.29"/>
        <n v="15668.92"/>
        <n v="205828.36000000002"/>
        <n v="7897.68"/>
        <n v="33026.939999999995"/>
        <n v="46575.86"/>
        <n v="41658.4"/>
        <n v="33330.99"/>
        <n v="25325.7"/>
        <n v="89760.51"/>
        <n v="5542.53"/>
        <n v="95286.09999999999"/>
        <n v="130242.0"/>
        <n v="58257.990000000005"/>
        <n v="10532.16"/>
        <n v="12633.928205882352"/>
        <n v="24855.870000000003"/>
        <n v="89095.04999999999"/>
        <n v="235447.36000000002"/>
        <n v="63520.380000000005"/>
        <n v="26890.26"/>
        <n v="20988.0"/>
        <n v="7316.97"/>
        <n v="35278.32"/>
        <n v="3469.32"/>
        <n v="27662.28"/>
        <n v="23466.66"/>
        <n v="20111.52"/>
        <n v="181878.84"/>
        <n v="77020.12"/>
        <n v="21972.559999999998"/>
        <n v="178645.6"/>
        <n v="36079.1"/>
        <n v="8765.460000000001"/>
        <n v="19691.75"/>
        <n v="2430.36"/>
        <n v="127036.8"/>
        <n v="107384.12999999999"/>
        <n v="76463.79882352942"/>
        <n v="9549.599999999999"/>
        <n v="52661.34"/>
        <n v="21138.81"/>
        <n v="39469.700000000004"/>
        <n v="210386.88"/>
        <n v="70399.94805882353"/>
        <n v="109691.14000000001"/>
        <n v="32227.3"/>
        <n v="53927.48"/>
        <n v="59165.91379411765"/>
        <n v="7673.94"/>
        <n v="59038.0"/>
        <n v="178922.52000000002"/>
        <n v="174173.97"/>
        <n v="25944.8"/>
        <n v="47911.549999999996"/>
        <n v="10171.980000000001"/>
        <n v="47968.799999999996"/>
        <n v="153653.84"/>
        <n v="19365.48"/>
        <n v="109080.0"/>
        <n v="6813.09"/>
        <n v="34147.979999999996"/>
        <n v="25935.46"/>
        <n v="8671.86"/>
        <n v="91745.94"/>
        <n v="37401.28"/>
        <n v="154792.95"/>
        <n v="11166.259999999998"/>
        <n v="26087.460000000003"/>
        <n v="52837.5"/>
        <n v="31256.160000000003"/>
        <n v="59419.5"/>
        <n v="9189.74"/>
        <n v="4513.4"/>
        <n v="112728.4"/>
        <n v="56419.81652941177"/>
        <n v="44486.16729411765"/>
        <n v="45538.86"/>
        <n v="131758.06"/>
        <n v="68943.93000000001"/>
        <n v="125091.48000000001"/>
        <n v="99149.59455882353"/>
        <n v="25590.56"/>
        <n v="31468.74"/>
        <n v="14994.999999999998"/>
        <n v="83471.9"/>
        <n v="15864.4"/>
        <n v="67573.16"/>
        <n v="17076.95"/>
        <n v="37854.310000000005"/>
        <n v="196715.44"/>
        <n v="29944.05"/>
        <n v="12638.779999999999"/>
        <n v="30578.6"/>
        <n v="14061.22"/>
        <n v="39194.29732352942"/>
        <n v="58083.9"/>
        <n v="25163.86"/>
        <n v="100087.95"/>
        <n v="42164.25"/>
        <n v="7758.41"/>
        <n v="49222.93073529412"/>
        <n v="2031.26"/>
        <n v="116475.84"/>
        <n v="57818.710529411765"/>
        <n v="41169.04"/>
        <n v="137399.8"/>
        <n v="20701.62"/>
        <n v="204914.52"/>
        <n v="27460.66"/>
        <n v="47330.0"/>
        <n v="14570.57"/>
        <n v="86191.35"/>
        <n v="23993.76"/>
        <n v="83593.37000000001"/>
        <n v="1435.6155"/>
        <n v="56642.56"/>
        <n v="48580.29"/>
        <n v="43932.81"/>
        <n v="25459.85"/>
        <n v="9776.64"/>
        <n v="239220.11"/>
        <n v="1714.65"/>
        <n v="142041.59999999998"/>
        <n v="168446.02"/>
        <n v="39441.54"/>
        <n v="124507.98000000001"/>
        <n v="23868.0"/>
        <n v="43110.240000000005"/>
        <n v="181704.6"/>
        <n v="57158.64"/>
        <n v="122173.79999999999"/>
        <n v="4606.0199999999995"/>
        <n v="22726.06"/>
        <n v="2971.6800000000003"/>
        <n v="23272.32"/>
        <n v="27269.280000000002"/>
        <n v="74005.25"/>
      </sharedItems>
    </cacheField>
    <cacheField name="Total Cost" numFmtId="165">
      <sharedItems containsSemiMixedTypes="0" containsString="0" containsNumber="1">
        <n v="36096.0"/>
        <n v="47685.44"/>
        <n v="17388.06"/>
        <n v="3687.66"/>
        <n v="155977.12"/>
        <n v="5552.679999999999"/>
        <n v="12820.38"/>
        <n v="94389.29999999999"/>
        <n v="26817.519999999997"/>
        <n v="142352.88"/>
        <n v="54212.15"/>
        <n v="109427.5"/>
        <n v="20966.12"/>
        <n v="95089.12000000001"/>
        <n v="7523.76"/>
        <n v="73064.97"/>
        <n v="65499.2"/>
        <n v="107607.26"/>
        <n v="39577.05"/>
        <n v="28623.87"/>
        <n v="23932.53"/>
        <n v="39989.310000000005"/>
        <n v="15081.560000000001"/>
        <n v="42370.25"/>
        <n v="2055.35"/>
        <n v="29708.7"/>
        <n v="26663.0"/>
        <n v="176950.62"/>
        <n v="108132.9"/>
        <n v="33590.700000000004"/>
        <n v="28403.16"/>
        <n v="9446.22"/>
        <n v="39326.6"/>
        <n v="56698.22"/>
        <n v="18769.8"/>
        <n v="128704.58"/>
        <n v="41176.68"/>
        <n v="25034.1"/>
        <n v="97552.76020588235"/>
        <n v="21477.95"/>
        <n v="13092.31"/>
        <n v="18316.98"/>
        <n v="9424.66"/>
        <n v="72421.08"/>
        <n v="44443.200000000004"/>
        <n v="8322.18"/>
        <n v="92719.72"/>
        <n v="13704.47"/>
        <n v="53669.25"/>
        <n v="58454.759999999995"/>
        <n v="120988.05"/>
        <n v="19921.35"/>
        <n v="34428.88"/>
        <n v="771.06"/>
        <n v="614.7199999999999"/>
        <n v="16443.76"/>
        <n v="46070.47"/>
        <n v="27734.18"/>
        <n v="63008.700000000004"/>
        <n v="29138.76"/>
        <n v="4659.12"/>
        <n v="68983.98"/>
        <n v="57416.1"/>
        <n v="44492.24"/>
        <n v="43927.75"/>
        <n v="34654.0"/>
        <n v="11466.880000000001"/>
        <n v="13662.699999999999"/>
        <n v="61761.47"/>
        <n v="1721.92"/>
        <n v="10330.5"/>
        <n v="67651.44"/>
        <n v="13390.92"/>
        <n v="82045.23"/>
        <n v="24019.8"/>
        <n v="3783.6000000000004"/>
        <n v="2876.16"/>
        <n v="30950.250000000004"/>
        <n v="105980.94"/>
        <n v="57377.189999999995"/>
        <n v="107984.15999999999"/>
        <n v="141493.5"/>
        <n v="27239.370000000003"/>
        <n v="12591.36"/>
        <n v="60627.76"/>
        <n v="19214.65"/>
        <n v="70696.85"/>
        <n v="19330.800000000003"/>
        <n v="33552.9"/>
        <n v="33161.6"/>
        <n v="49051.98"/>
        <n v="1160.25"/>
        <n v="51254.4"/>
        <n v="145296.45"/>
        <n v="54449.77"/>
        <n v="6006.66"/>
        <n v="4262.5"/>
        <n v="40727.76"/>
        <n v="15951.5"/>
        <n v="80840.1"/>
        <n v="6563.96"/>
        <n v="29940.66"/>
        <n v="6431.04"/>
        <n v="6886.11"/>
        <n v="29514.539999999997"/>
        <n v="49269.17"/>
        <n v="91476.42"/>
        <n v="75073.01999999999"/>
        <n v="18555.36"/>
        <n v="20569.0"/>
        <n v="25051.88"/>
        <n v="146412.99"/>
        <n v="45889.600000000006"/>
        <n v="21694.54"/>
        <n v="78565.29999999999"/>
        <n v="57411.200000000004"/>
        <n v="168958.01"/>
        <n v="51879.759999999995"/>
        <n v="161066.18"/>
        <n v="3794.31"/>
        <n v="14675.039999999999"/>
        <n v="61020.96000000001"/>
        <n v="17353.5"/>
        <n v="157434.84"/>
        <n v="9301.669999999998"/>
        <n v="23203.95"/>
        <n v="153747.50999999998"/>
        <n v="37081.92"/>
        <n v="154264.63"/>
        <n v="82930.4"/>
        <n v="50973.306852941176"/>
        <n v="35515.560000000005"/>
        <n v="36411.15"/>
        <n v="2400.58"/>
        <n v="7475.58"/>
        <n v="75260.25"/>
        <n v="144820.2"/>
        <n v="17760.21"/>
        <n v="151411.38999999998"/>
        <n v="36040.84"/>
        <n v="652.24"/>
        <n v="8273.789999999999"/>
        <n v="38569.71"/>
        <n v="57881.700000000004"/>
        <n v="101193.75"/>
        <n v="12259.26"/>
        <n v="3248.16"/>
        <n v="37611.44"/>
        <n v="45940.439999999995"/>
        <n v="39586.049999999996"/>
        <n v="68620.45"/>
        <n v="100973.6"/>
        <n v="88981.44"/>
        <n v="139716.65000000002"/>
        <n v="55859.7"/>
        <n v="77868.07"/>
        <n v="3532.0"/>
        <n v="12636.9"/>
        <n v="11857.400000000001"/>
        <n v="7176.54"/>
        <n v="4987.84"/>
        <n v="77768.08"/>
        <n v="31658.879999999997"/>
        <n v="133207.75"/>
        <n v="41149.920000000006"/>
        <n v="182725.92"/>
        <n v="17929.870000000003"/>
        <n v="2952.0"/>
        <n v="3627.75"/>
        <n v="51928.16"/>
        <n v="12976.84"/>
        <n v="90242.34999999999"/>
        <n v="56550.9"/>
        <n v="4660.889999999999"/>
        <n v="61733.76"/>
        <n v="5598.72"/>
        <n v="77460.73999999999"/>
        <n v="23580.3"/>
        <n v="9380.64"/>
        <n v="103118.4"/>
        <n v="80359.68000000001"/>
        <n v="72726.78"/>
        <n v="10680.44"/>
        <n v="1630.44"/>
        <n v="17564.100000000002"/>
        <n v="71345.34"/>
        <n v="5533.59"/>
        <n v="27903.600000000002"/>
        <n v="104062.74"/>
        <n v="14571.24"/>
        <n v="2081.65"/>
        <n v="51933.96"/>
        <n v="13372.920000000002"/>
        <n v="55292.16"/>
        <n v="69002.78"/>
        <n v="2760.46"/>
        <n v="97260.1"/>
        <n v="120888.76000000001"/>
        <n v="12942.14"/>
        <n v="90065.04014705883"/>
        <n v="3145.8"/>
        <n v="68178.24"/>
        <n v="120690.68"/>
        <n v="32932.68"/>
        <n v="176912.8"/>
        <n v="27879.539999999997"/>
        <n v="60706.71"/>
        <n v="11525.279999999999"/>
        <n v="10548.0"/>
        <n v="59773.56"/>
        <n v="119500.92"/>
        <n v="29044.54"/>
        <n v="14521.58"/>
        <n v="113479.08000000002"/>
        <n v="19377.760000000002"/>
        <n v="6594.0"/>
        <n v="6593.76"/>
        <n v="175298.48"/>
        <n v="33777.36"/>
        <n v="20388.13"/>
        <n v="40098.3"/>
        <n v="48130.06"/>
        <n v="6378.96"/>
        <n v="84300.04"/>
        <n v="68754.0"/>
        <n v="9582.72"/>
        <n v="2243.52"/>
        <n v="10062.103647058824"/>
        <n v="15987.99"/>
        <n v="154132.90000000002"/>
        <n v="84181.3"/>
        <n v="10167.08"/>
        <n v="22858.2"/>
        <n v="103375.43999999999"/>
        <n v="5052.4"/>
        <n v="31048.16"/>
        <n v="4053.96"/>
        <n v="14491.77"/>
        <n v="20778.030000000002"/>
        <n v="54851.67999999999"/>
        <n v="49797.0"/>
        <n v="106487.09999999999"/>
        <n v="149173.94"/>
        <n v="107834.12"/>
        <n v="52398.2"/>
        <n v="4994.55"/>
        <n v="70330.0"/>
        <n v="81509.94"/>
        <n v="134449.91999999998"/>
        <n v="138896.03"/>
        <n v="85320.59961764707"/>
        <n v="153.35999999999999"/>
        <n v="48651.84"/>
        <n v="70212.45"/>
        <n v="58477.85"/>
        <n v="140587.36000000002"/>
        <n v="95062.20000000001"/>
        <n v="73973.29"/>
        <n v="49445.9"/>
        <n v="18022.36"/>
        <n v="36825.06"/>
        <n v="4645.08"/>
        <n v="54705.00000000001"/>
        <n v="39006.450000000004"/>
        <n v="25753.05"/>
        <n v="87211.92"/>
        <n v="613.25"/>
        <n v="9196.74"/>
        <n v="5360.150000000001"/>
        <n v="24152.260000000002"/>
        <n v="6007.77"/>
        <n v="63141.159999999996"/>
        <n v="11835.49"/>
        <n v="74891.44"/>
        <n v="44694.36"/>
        <n v="23483.52"/>
        <n v="12426.7"/>
        <n v="25956.76"/>
        <n v="137221.99"/>
        <n v="7573.58"/>
        <n v="67897.48999999999"/>
        <n v="90206.25"/>
        <n v="25131.600000000002"/>
        <n v="1947.7500000000002"/>
        <n v="5338.2"/>
        <n v="5106.4"/>
        <n v="19003.0"/>
        <n v="63004.27999999999"/>
        <n v="76484.27105882353"/>
        <n v="43603.02"/>
        <n v="37115.68"/>
        <n v="132490.4"/>
        <n v="57706.08"/>
        <n v="38549.219058823524"/>
        <n v="9533.48"/>
        <n v="28588.81"/>
        <n v="4793.5"/>
        <n v="61430.3"/>
        <n v="2285.65"/>
        <n v="123882.84"/>
        <n v="16890.5"/>
        <n v="49682.62"/>
        <n v="57196.96000000001"/>
        <n v="6323.45"/>
        <n v="81584.25"/>
        <n v="18949.65"/>
        <n v="7366.94"/>
        <n v="43173.43"/>
        <n v="67399.90000000001"/>
        <n v="63171.28999999999"/>
        <n v="128388.83"/>
        <n v="161593.5"/>
        <n v="20775.27"/>
        <n v="58112.998911764706"/>
        <n v="4310.9"/>
        <n v="15862.86"/>
        <n v="71831.95558823529"/>
        <n v="56906.3"/>
        <n v="110647.4"/>
        <n v="118300.41"/>
        <n v="158467.74"/>
        <n v="26958.420000000002"/>
        <n v="3042.5"/>
        <n v="55646.57"/>
        <n v="38084.549999999996"/>
        <n v="17025.12"/>
        <n v="37711.310000000005"/>
        <n v="49491.62882352941"/>
        <n v="64473.6"/>
        <n v="37131.93"/>
        <n v="51789.0"/>
        <n v="33170.51"/>
        <n v="3319.68"/>
        <n v="177624.16"/>
        <n v="41853.1"/>
        <n v="120007.68"/>
        <n v="2097.6"/>
        <n v="7787.2"/>
        <n v="33815.16"/>
        <n v="25403.04"/>
        <n v="52401.240000000005"/>
        <n v="169832.0"/>
        <n v="25064.16"/>
        <n v="2924.67"/>
        <n v="2061.54"/>
        <n v="5352.25"/>
        <n v="1348.0800000000002"/>
        <n v="41120.32"/>
        <n v="25912.079999999998"/>
        <n v="133994.0"/>
      </sharedItems>
    </cacheField>
    <cacheField name="Total Profit" numFmtId="165">
      <sharedItems containsSemiMixedTypes="0" containsString="0" containsNumber="1">
        <n v="-159.8000000000029"/>
        <n v="111875.28"/>
        <n v="67447.2"/>
        <n v="1973.8799999999992"/>
        <n v="29419.76000000001"/>
        <n v="9542.75"/>
        <n v="-4497.859999999999"/>
        <n v="-4719.599999999991"/>
        <n v="85793.44"/>
        <n v="-6413.880000000005"/>
        <n v="38142.85"/>
        <n v="7479.550000000003"/>
        <n v="-17618.51"/>
        <n v="-54412.16"/>
        <n v="2915.41"/>
        <n v="49532.26000000001"/>
        <n v="12155.0"/>
        <n v="22498.940000000002"/>
        <n v="5237.3499999999985"/>
        <n v="2045.3400000000038"/>
        <n v="45057.93000000001"/>
        <n v="70084.31"/>
        <n v="2095.7599999999984"/>
        <n v="99511.75"/>
        <n v="38581.75"/>
        <n v="-17202.0"/>
        <n v="-1749.2099999999991"/>
        <n v="-61614.53488235292"/>
        <n v="46201.0"/>
        <n v="-18335.700000000004"/>
        <n v="5241.029999999995"/>
        <n v="2763.1100000000006"/>
        <n v="-25265.0"/>
        <n v="-9024.089999999997"/>
        <n v="18567.06"/>
        <n v="-52769.2"/>
        <n v="-10220.674470588234"/>
        <n v="57064.799999999996"/>
        <n v="-74206.73488235295"/>
        <n v="9760.399999999998"/>
        <n v="-2759.6799999999985"/>
        <n v="135555.09"/>
        <n v="6071.1"/>
        <n v="58942.92"/>
        <n v="72890.04676470588"/>
        <n v="54383.22"/>
        <n v="-11088.580000000002"/>
        <n v="56601.06"/>
        <n v="12951.0"/>
        <n v="-55404.95999999999"/>
        <n v="-51718.95"/>
        <n v="34074.270000000004"/>
        <n v="-4041.0099999999984"/>
        <n v="143127.56"/>
        <n v="21772.92"/>
        <n v="17291.720000000005"/>
        <n v="-525.8400000000038"/>
        <n v="4800.66"/>
        <n v="-8798.700000000004"/>
        <n v="58497.000000000015"/>
        <n v="17957.16"/>
        <n v="-25895.1"/>
        <n v="16516.700000000004"/>
        <n v="-7684.470000000001"/>
        <n v="66638.05"/>
        <n v="28968.0"/>
        <n v="19620.96"/>
        <n v="97854.24"/>
        <n v="-20499.820000000007"/>
        <n v="-1094.4"/>
        <n v="21108.3"/>
        <n v="-54668.200000000004"/>
        <n v="-2294.459999999999"/>
        <n v="14367.040000000008"/>
        <n v="51267.17999999999"/>
        <n v="9536.4"/>
        <n v="-1207.36"/>
        <n v="111642.75"/>
        <n v="-41698.41"/>
        <n v="-15187.150205882346"/>
        <n v="51864.240000000005"/>
        <n v="-137269.88"/>
        <n v="22236.049999999996"/>
        <n v="1873.92"/>
        <n v="24744.639999999992"/>
        <n v="-8082.620000000001"/>
        <n v="-26473.450000000004"/>
        <n v="98800.68"/>
        <n v="14564.099999999999"/>
        <n v="-18645.66"/>
        <n v="61338.05999999999"/>
        <n v="4082.2993235294125"/>
        <n v="-27800.8"/>
        <n v="-40887.720000000016"/>
        <n v="14518.230000000003"/>
        <n v="4433.4400000000005"/>
        <n v="2887.5"/>
        <n v="-10743.64"/>
        <n v="7567.66"/>
        <n v="-7093.020000000004"/>
        <n v="-1842.88"/>
        <n v="69353.54999999999"/>
        <n v="84510.64000000001"/>
        <n v="121677.6"/>
        <n v="14997.609999999997"/>
        <n v="148515.86"/>
        <n v="7815.419999999998"/>
        <n v="26748.48000000001"/>
        <n v="-14785.12"/>
        <n v="144723.35"/>
        <n v="6302.240000000002"/>
        <n v="-95902.56"/>
        <n v="-31695.840000000004"/>
        <n v="5014.860000000001"/>
        <n v="-50437.639999999985"/>
        <n v="-35483.57000000001"/>
        <n v="-144977.57"/>
        <n v="-33465.84"/>
        <n v="-37119.56999999998"/>
        <n v="20056.23"/>
        <n v="54709.76"/>
        <n v="-4991.9100000000035"/>
        <n v="-1504.199999999999"/>
        <n v="-150825.24"/>
        <n v="38038.979999999996"/>
        <n v="76565.45"/>
        <n v="-33085.429999999964"/>
        <n v="10151.32"/>
        <n v="-24477.45000000001"/>
        <n v="-39103.28999999999"/>
        <n v="17726.396735294118"/>
        <n v="-20184.840000000004"/>
        <n v="-22202.460000000003"/>
        <n v="-423.28"/>
        <n v="2398.83"/>
        <n v="77368.44999999998"/>
        <n v="-109814.40000000002"/>
        <n v="21826.480000000003"/>
        <n v="-10942.309999999998"/>
        <n v="-19416.239999999998"/>
        <n v="3102.17"/>
        <n v="224464.59"/>
        <n v="-21621.69"/>
        <n v="14937.989999999998"/>
        <n v="52973.55000000002"/>
        <n v="40828.86"/>
        <n v="-500.4899999999998"/>
        <n v="-14455.040000000005"/>
        <n v="76445.88"/>
        <n v="52638.69000000001"/>
        <n v="-1942.7899999999936"/>
        <n v="-85116.20000000001"/>
        <n v="5130.639999999985"/>
        <n v="64872.09999999998"/>
        <n v="62037.3"/>
        <n v="142904.3"/>
        <n v="462.3232941176475"/>
        <n v="98.79999999999927"/>
        <n v="105589.44"/>
        <n v="280.1399999999994"/>
        <n v="7002.709999999999"/>
        <n v="36705.119999999995"/>
        <n v="-17361.519999999997"/>
        <n v="51195.5"/>
        <n v="179384.87999999998"/>
        <n v="-6079.320000000007"/>
        <n v="-14593.940000000002"/>
        <n v="68040.0"/>
        <n v="-1562.4"/>
        <n v="108628.84"/>
        <n v="155498.19"/>
        <n v="18612.0"/>
        <n v="8687.699999999997"/>
        <n v="1204.4500000000007"/>
        <n v="146617.68"/>
        <n v="11898.359999999997"/>
        <n v="99193.92000000001"/>
        <n v="71517.78"/>
        <n v="-2087.04"/>
        <n v="-11757.199999999983"/>
        <n v="-16020.480000000003"/>
        <n v="20456.520000000004"/>
        <n v="40259.979999999996"/>
        <n v="22217.16"/>
        <n v="56087.009999999995"/>
        <n v="10778.130000000005"/>
        <n v="36202.55"/>
        <n v="22718.48"/>
        <n v="1907.550000000003"/>
        <n v="-13431.06"/>
        <n v="7081.950000000001"/>
        <n v="-10572.120000000003"/>
        <n v="-1742.0400000000027"/>
        <n v="22407.36"/>
        <n v="18438.339999999997"/>
        <n v="104166.31"/>
        <n v="19355.0"/>
        <n v="69644.39000000001"/>
        <n v="33270.41"/>
        <n v="14294.738294117647"/>
        <n v="-1378.5000000000002"/>
        <n v="-43608.240000000005"/>
        <n v="4975.960000000006"/>
        <n v="13476.119999999995"/>
        <n v="-67998.87999999999"/>
        <n v="-9260.009999999995"/>
        <n v="14349.44999999999"/>
        <n v="46927.92"/>
        <n v="151078.5"/>
        <n v="61737.06"/>
        <n v="43682.759999999995"/>
        <n v="29017.940000000002"/>
        <n v="15552.710000000001"/>
        <n v="-97810.16000000002"/>
        <n v="186450.6"/>
        <n v="1303.6800000000003"/>
        <n v="26433.179999999993"/>
        <n v="-128722.62000000001"/>
        <n v="7881.040000000001"/>
        <n v="12942.859999999997"/>
        <n v="-14772.600000000002"/>
        <n v="41630.45"/>
        <n v="-836.4300000000003"/>
        <n v="10986.059999999998"/>
        <n v="61488.0"/>
        <n v="48675.270000000004"/>
        <n v="8288.64"/>
        <n v="2571.8245588235277"/>
        <n v="8867.880000000003"/>
        <n v="-65037.850000000035"/>
        <n v="151266.06"/>
        <n v="53353.3"/>
        <n v="4032.0599999999977"/>
        <n v="-82387.43999999999"/>
        <n v="2264.5700000000006"/>
        <n v="4230.16"/>
        <n v="-584.6399999999999"/>
        <n v="13170.509999999998"/>
        <n v="2688.6299999999974"/>
        <n v="-34740.15999999999"/>
        <n v="132081.84"/>
        <n v="-29466.979999999996"/>
        <n v="-127201.38"/>
        <n v="70811.48000000001"/>
        <n v="-16319.099999999999"/>
        <n v="3770.9100000000008"/>
        <n v="-50638.25"/>
        <n v="-79079.58"/>
        <n v="-7413.119999999981"/>
        <n v="-31511.90000000001"/>
        <n v="-8856.800794117647"/>
        <n v="9396.239999999998"/>
        <n v="4009.5"/>
        <n v="-49073.64"/>
        <n v="-19008.149999999994"/>
        <n v="69799.51999999999"/>
        <n v="-24662.25194117648"/>
        <n v="35717.85000000002"/>
        <n v="-17218.600000000002"/>
        <n v="35905.12"/>
        <n v="22340.853794117655"/>
        <n v="3028.8599999999997"/>
        <n v="4332.999999999993"/>
        <n v="139916.07"/>
        <n v="148420.92"/>
        <n v="-61267.119999999995"/>
        <n v="47298.299999999996"/>
        <n v="975.2400000000016"/>
        <n v="42608.649999999994"/>
        <n v="129501.57999999999"/>
        <n v="13357.71"/>
        <n v="45938.840000000004"/>
        <n v="-5022.4"/>
        <n v="-40743.46000000001"/>
        <n v="-18758.9"/>
        <n v="-14811.66"/>
        <n v="79319.24"/>
        <n v="11444.52"/>
        <n v="17570.96000000002"/>
        <n v="3592.6799999999985"/>
        <n v="-41810.029999999984"/>
        <n v="-37368.75"/>
        <n v="6124.560000000001"/>
        <n v="57471.75"/>
        <n v="3851.54"/>
        <n v="-593.0"/>
        <n v="93725.4"/>
        <n v="-6584.46347058822"/>
        <n v="-31998.103764705884"/>
        <n v="1935.8400000000038"/>
        <n v="94642.38"/>
        <n v="-63546.46999999999"/>
        <n v="67385.40000000001"/>
        <n v="60600.37550000001"/>
        <n v="16057.080000000002"/>
        <n v="2879.9300000000003"/>
        <n v="10201.499999999998"/>
        <n v="22041.59999999999"/>
        <n v="13578.75"/>
        <n v="-56309.67999999999"/>
        <n v="186.45000000000073"/>
        <n v="-11828.309999999998"/>
        <n v="139518.47999999998"/>
        <n v="23620.6"/>
        <n v="-68945.47"/>
        <n v="11628.949999999997"/>
        <n v="6694.28"/>
        <n v="-3979.132676470581"/>
        <n v="-9316.000000000007"/>
        <n v="-38007.42999999999"/>
        <n v="-28300.880000000005"/>
        <n v="-119429.25"/>
        <n v="-13016.86"/>
        <n v="-8890.068176470588"/>
        <n v="-2279.6399999999994"/>
        <n v="100612.98"/>
        <n v="-14013.245058823522"/>
        <n v="-15737.260000000002"/>
        <n v="26752.399999999994"/>
        <n v="-97598.79000000001"/>
        <n v="46446.78"/>
        <n v="502.23999999999796"/>
        <n v="44287.5"/>
        <n v="-41076.0"/>
        <n v="48106.80000000001"/>
        <n v="6968.639999999999"/>
        <n v="45882.060000000005"/>
        <n v="-48056.01332352941"/>
        <n v="-7831.040000000001"/>
        <n v="11448.36"/>
        <n v="-7856.190000000002"/>
        <n v="-7710.6600000000035"/>
        <n v="6456.959999999999"/>
        <n v="61595.94999999998"/>
        <n v="-40138.45"/>
        <n v="22033.919999999984"/>
        <n v="166348.41999999998"/>
        <n v="31654.34"/>
        <n v="90692.82"/>
        <n v="-1535.0400000000009"/>
        <n v="-9291.0"/>
        <n v="11872.600000000006"/>
        <n v="32094.48"/>
        <n v="119249.12999999999"/>
        <n v="2544.4799999999996"/>
        <n v="17373.81"/>
        <n v="1623.6000000000001"/>
        <n v="-17848.0"/>
        <n v="1357.2000000000044"/>
        <n v="-59988.75"/>
      </sharedItems>
    </cacheField>
    <cacheField name="Profit Margin" numFmtId="167">
      <sharedItems containsSemiMixedTypes="0" containsString="0" containsNumber="1">
        <n v="-0.00444676955270738"/>
        <n v="0.7011454949564028"/>
        <n v="0.7950373464995569"/>
        <n v="0.3486471878676119"/>
        <n v="0.15868530257898628"/>
        <n v="0.6321615217320739"/>
        <n v="-0.5404444807582317"/>
        <n v="-0.05263316371081861"/>
        <n v="0.7618569276027839"/>
        <n v="-0.047182044887780585"/>
        <n v="0.41300254452926205"/>
        <n v="0.06397860522526232"/>
        <n v="-5.263011521652761"/>
        <n v="-1.337665351589696"/>
        <n v="0.27927603439737064"/>
        <n v="0.4040242997333627"/>
        <n v="0.15652727090099441"/>
        <n v="0.17292750076475988"/>
        <n v="0.11686756935270802"/>
        <n v="0.06669033861648226"/>
        <n v="0.6531037769569881"/>
        <n v="0.6367039623117691"/>
        <n v="0.1220073911413421"/>
        <n v="0.7013698002565513"/>
        <n v="0.9494218337430574"/>
        <n v="-1.3754227733934612"/>
        <n v="-0.07021051393625775"/>
        <n v="-0.5342173251285911"/>
        <n v="0.29935743216493593"/>
        <n v="-1.2019469026548675"/>
        <n v="0.15577815961686092"/>
        <n v="0.226311353694265"/>
        <n v="-1.79673721340388"/>
        <n v="-0.18928693612237907"/>
        <n v="0.4972849886144684"/>
        <n v="-0.6949224459007118"/>
        <n v="-0.3301677427624639"/>
        <n v="0.6950738682247875"/>
        <n v="-3.1785596843143704"/>
        <n v="0.31244928109199105"/>
        <n v="-0.26708398539384437"/>
        <n v="0.8809596829366109"/>
        <n v="0.3917910447761194"/>
        <n v="0.4486991869918699"/>
        <n v="0.6212224478103454"/>
        <n v="0.8672812867791291"/>
        <n v="-0.1358376227503377"/>
        <n v="0.8050726592915237"/>
        <n v="0.19440035124455401"/>
        <n v="-18.166751918158564"/>
        <n v="-0.7466381113656738"/>
        <n v="0.6310561856683932"/>
        <n v="-0.1329810217037258"/>
        <n v="0.9946416442353652"/>
        <n v="0.9725419919205418"/>
        <n v="0.5125677773074521"/>
        <n v="-0.011545598240670828"/>
        <n v="0.14755443702812124"/>
        <n v="-0.16230769230769237"/>
        <n v="0.6675014856948808"/>
        <n v="0.793992646005444"/>
        <n v="-0.6009694380545514"/>
        <n v="0.223401521381579"/>
        <n v="-0.20877303895346014"/>
        <n v="0.60270038293939"/>
        <n v="0.4553141994907422"/>
        <n v="0.6311458113526061"/>
        <n v="0.8774831877560486"/>
        <n v="-0.4968250179040346"/>
        <n v="-1.744008159102499"/>
        <n v="0.6714092140921409"/>
        <n v="-4.210674685209548"/>
        <n v="-0.20677405226531695"/>
        <n v="0.14901671747797254"/>
        <n v="0.6809567869504128"/>
        <n v="0.715945945945946"/>
        <n v="-0.723489932885906"/>
        <n v="0.7829469188529591"/>
        <n v="-0.6486740643219862"/>
        <n v="-0.35997003747789347"/>
        <n v="0.3244589248312777"/>
        <n v="-32.50052798310454"/>
        <n v="0.4494363059474785"/>
        <n v="0.12954605787098486"/>
        <n v="0.28984355599702005"/>
        <n v="-0.7260688302133573"/>
        <n v="-0.5986299108616706"/>
        <n v="0.8363619925865654"/>
        <n v="0.3026809651474531"/>
        <n v="-1.284495526986196"/>
        <n v="0.5556484987232543"/>
        <n v="0.778685916259746"/>
        <n v="-1.1853532080362927"/>
        <n v="-0.3916120807139405"/>
        <n v="0.2105067567567568"/>
        <n v="0.4246549362553999"/>
        <n v="0.40384615384615385"/>
        <n v="-0.3583109992889569"/>
        <n v="0.3217657433343708"/>
        <n v="-0.09618035046268957"/>
        <n v="-0.39035136028196943"/>
        <n v="0.6984651975175591"/>
        <n v="0.9292839103038344"/>
        <n v="0.9464381511703419"/>
        <n v="0.3369329497676477"/>
        <n v="0.7508953534046534"/>
        <n v="0.07871160409556313"/>
        <n v="0.26269972451790646"/>
        <n v="-3.9215328467153285"/>
        <n v="0.875559879207961"/>
        <n v="0.2010019735843328"/>
        <n v="-1.8986684532283729"/>
        <n v="-2.2330827067669174"/>
        <n v="0.18775637041640772"/>
        <n v="-1.7931687171986572"/>
        <n v="-1.6182127297842952"/>
        <n v="-6.045659295659295"/>
        <n v="-1.8174207338795865"/>
        <n v="-0.29948031656533386"/>
        <n v="0.8409130359312619"/>
        <n v="0.7884977689638076"/>
        <n v="-0.08909503195217487"/>
        <n v="-0.09490639965171956"/>
        <n v="-22.819117647058825"/>
        <n v="0.8035162170354653"/>
        <n v="0.7674241801594477"/>
        <n v="-0.27419906900328556"/>
        <n v="0.2149189850198716"/>
        <n v="-0.18859682443212045"/>
        <n v="-0.8922169406105033"/>
        <n v="0.25802726663190045"/>
        <n v="-1.3166270077334923"/>
        <n v="-1.5625972556231436"/>
        <n v="-0.2140696909927679"/>
        <n v="0.24293400820909805"/>
        <n v="0.5069063026809505"/>
        <n v="-3.1370344342937466"/>
        <n v="0.5513590552784282"/>
        <n v="-0.0778983531464718"/>
        <n v="-1.1679222357229648"/>
        <n v="0.8262736355379408"/>
        <n v="0.9644502552608641"/>
        <n v="-1.275764956614401"/>
        <n v="0.20513668761841747"/>
        <n v="0.3436108046258838"/>
        <n v="0.7690771494639478"/>
        <n v="-0.18215069495245054"/>
        <n v="-0.6242352006356776"/>
        <n v="0.624627654463342"/>
        <n v="0.5707653933207077"/>
        <n v="-0.02913704530122973"/>
        <n v="-5.36760124610592"/>
        <n v="0.05451627463764466"/>
        <n v="0.3170853724850461"/>
        <n v="0.5261991399272247"/>
        <n v="0.647292503133431"/>
        <n v="0.11574508623237906"/>
        <n v="0.007757720423690828"/>
        <n v="0.8990402806920987"/>
        <n v="0.037568998535541215"/>
        <n v="0.5840190816935003"/>
        <n v="0.32064378387255704"/>
        <n v="-1.2143164891980056"/>
        <n v="0.27762797022286756"/>
        <n v="0.8134084960740889"/>
        <n v="-0.034415154325076205"/>
        <n v="-4.374774051014261"/>
        <n v="0.9584178498985801"/>
        <n v="-0.7564819522114896"/>
        <n v="0.6765749235474006"/>
        <n v="0.9229746983870548"/>
        <n v="0.17098076466397533"/>
        <n v="0.13316809373591704"/>
        <n v="0.20535041446872657"/>
        <n v="0.7037037037037036"/>
        <n v="0.6800197518671686"/>
        <n v="0.5615131805750271"/>
        <n v="0.7520423125261835"/>
        <n v="-0.2861467588022376"/>
        <n v="-0.12868920285635457"/>
        <n v="-0.24900029841838262"/>
        <n v="0.21952989430509548"/>
        <n v="0.7903346694039821"/>
        <n v="0.9316308559351885"/>
        <n v="0.7615229424240856"/>
        <n v="0.131242993020144"/>
        <n v="0.8674149070805303"/>
        <n v="0.44878598429776095"/>
        <n v="0.018000800035557162"/>
        <n v="-11.779771615008155"/>
        <n v="0.7728349120433018"/>
        <n v="-0.2556008146639512"/>
        <n v="-0.14977714497957187"/>
        <n v="0.28838479311069104"/>
        <n v="0.21086578031022474"/>
        <n v="0.9741836398873733"/>
        <n v="0.16597336022521955"/>
        <n v="0.36552374219394373"/>
        <n v="0.719943175609223"/>
        <n v="0.13697555234055075"/>
        <n v="-0.7800033950093365"/>
        <n v="-1.7748571428571431"/>
        <n v="0.039596507076181925"/>
        <n v="0.290378548895899"/>
        <n v="-0.6243359893758299"/>
        <n v="-0.49732780580390556"/>
        <n v="0.19118284228769486"/>
        <n v="0.8028289298105151"/>
        <n v="0.9347384247013949"/>
        <n v="0.5080795407018744"/>
        <n v="0.26769073966220147"/>
        <n v="0.499770936411948"/>
        <n v="0.5171430480985586"/>
        <n v="-6.242303872889773"/>
        <n v="0.9058547617053354"/>
        <n v="0.16507126143373754"/>
        <n v="0.8003520762141451"/>
        <n v="-2.763719660785652"/>
        <n v="0.18918249380677127"/>
        <n v="0.38831309841081824"/>
        <n v="-0.5833047062864996"/>
        <n v="0.4637947132876139"/>
        <n v="-0.15091122646156183"/>
        <n v="0.11529551529551528"/>
        <n v="0.47210577233150597"/>
        <n v="0.8355123477483518"/>
        <n v="0.7869838665572874"/>
        <n v="0.2035649179663762"/>
        <n v="0.35677206229353475"/>
        <n v="-0.7299827543729988"/>
        <n v="0.6424623321323288"/>
        <n v="0.839939874415109"/>
        <n v="0.14994499867238167"/>
        <n v="-3.925454545454545"/>
        <n v="0.30949559722125425"/>
        <n v="0.11990820424555364"/>
        <n v="-0.16851717339420977"/>
        <n v="0.476118020640381"/>
        <n v="0.11457233368532196"/>
        <n v="-1.727376150584341"/>
        <n v="0.7262078425395719"/>
        <n v="-0.38258808217904616"/>
        <n v="-5.78910149750416"/>
        <n v="0.3963796477495108"/>
        <n v="-0.45231449786718625"/>
        <n v="0.4302010390783827"/>
        <n v="-2.57154645981185"/>
        <n v="-32.538216560509554"/>
        <n v="-0.058354114713216804"/>
        <n v="-0.2934502519133881"/>
        <n v="-0.11582998661311913"/>
        <n v="0.9839406886152299"/>
        <n v="0.07613744731903899"/>
        <n v="-2.321494918588132"/>
        <n v="-0.4815884083233466"/>
        <n v="0.33176745622160464"/>
        <n v="-0.35031633717356775"/>
        <n v="0.3256220146859629"/>
        <n v="-0.5342861487000153"/>
        <n v="0.6658037794460264"/>
        <n v="0.3775966998812551"/>
        <n v="0.3946942509323763"/>
        <n v="0.0733934076357599"/>
        <n v="0.7819925071477866"/>
        <n v="0.8521417982262218"/>
        <n v="-2.361441213653603"/>
        <n v="0.9872003723528043"/>
        <n v="0.09587513935340036"/>
        <n v="0.8882575757575757"/>
        <n v="0.8428138209887888"/>
        <n v="0.6897691149406057"/>
        <n v="0.42114814814814816"/>
        <n v="-0.7371691846137362"/>
        <n v="-1.1931440747007587"/>
        <n v="-0.7232915861141465"/>
        <n v="-1.7080141976461796"/>
        <n v="0.8645531344493282"/>
        <n v="0.30599273607748184"/>
        <n v="0.11351266320591487"/>
        <n v="0.32174425456688266"/>
        <n v="-1.602686884809789"/>
        <n v="-0.7072391767210788"/>
        <n v="0.1959472948692354"/>
        <n v="0.9672203569535254"/>
        <n v="0.41911305434103685"/>
        <n v="-0.13138653786502416"/>
        <n v="0.8314266857331427"/>
        <n v="-0.11670480117842505"/>
        <n v="-0.7192820984813622"/>
        <n v="0.04250962804075473"/>
        <n v="0.7183042919727264"/>
        <n v="-0.9217123247833418"/>
        <n v="0.5386889658672197"/>
        <n v="0.6112014453477869"/>
        <n v="0.6274610637672642"/>
        <n v="0.09151716910178165"/>
        <n v="0.6803267755918639"/>
        <n v="0.264060120831082"/>
        <n v="0.8559258465495071"/>
        <n v="-0.8333142922426595"/>
        <n v="0.010918226029823869"/>
        <n v="-0.312469306665476"/>
        <n v="0.7092401084531035"/>
        <n v="0.7888244910090653"/>
        <n v="-5.455073195355881"/>
        <n v="0.3802970050950664"/>
        <n v="0.47608102284154574"/>
        <n v="-0.10152325588655975"/>
        <n v="-0.16038867913483784"/>
        <n v="-1.5103974509475093"/>
        <n v="-0.28276011248107297"/>
        <n v="-2.832476564862413"/>
        <n v="-1.6777741831122615"/>
        <n v="-0.18060826618144007"/>
        <n v="-1.1222787826275313"/>
        <n v="0.863809868209579"/>
        <n v="-0.24236522970700175"/>
        <n v="-0.38225958147190225"/>
        <n v="0.1947047957857289"/>
        <n v="-4.714548426644872"/>
        <n v="0.22666417196790156"/>
        <n v="0.01828943659766364"/>
        <n v="0.9357173040354955"/>
        <n v="-2.8191072826938135"/>
        <n v="0.558139534883721"/>
        <n v="0.2904355132334407"/>
        <n v="0.5488719978629885"/>
        <n v="-33.474153297682705"/>
        <n v="-0.13825363825363826"/>
        <n v="0.2356585355912861"/>
        <n v="-0.17882284333736"/>
        <n v="-0.3028556727553385"/>
        <n v="0.6604477611940298"/>
        <n v="0.2574865047925945"/>
        <n v="-23.409121395036884"/>
        <n v="0.15512300621789665"/>
        <n v="0.9875473460281222"/>
        <n v="0.8025634901679802"/>
        <n v="0.7284096971133899"/>
        <n v="-0.06431372549019612"/>
        <n v="-0.21551724137931033"/>
        <n v="0.06534011797169695"/>
        <n v="0.5614983141656275"/>
        <n v="0.9760613977792293"/>
        <n v="0.5524248700613544"/>
        <n v="0.7644884331027904"/>
        <n v="0.5463576158940397"/>
        <n v="-0.7669196710942442"/>
        <n v="0.049770290964778106"/>
        <n v="-0.8106012749095504"/>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M354" sheet="Q7"/>
  </cacheSource>
  <cacheFields>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s v="East"/>
        <s v="West"/>
        <s v="North"/>
        <s v="Unknown"/>
        <s v="South"/>
      </sharedItems>
    </cacheField>
    <cacheField name="Country" numFmtId="0">
      <sharedItems>
        <s v="Germany"/>
        <s v="India"/>
        <s v="USA"/>
        <s v="UK"/>
        <s v="Australia"/>
      </sharedItems>
    </cacheField>
    <cacheField name="Category" numFmtId="0">
      <sharedItems>
        <s v="Beverages"/>
        <s v="Food"/>
        <s v="Clothing"/>
        <s v="Furniture"/>
        <s v="Electronics"/>
        <s v="Unknown"/>
      </sharedItems>
    </cacheField>
    <cacheField name="Sales Channel" numFmtId="0">
      <sharedItems>
        <s v="Online"/>
        <s v="Offline"/>
      </sharedItems>
    </cacheField>
    <cacheField name="Order Priority" numFmtId="0">
      <sharedItems>
        <s v="High"/>
        <s v="Low"/>
        <s v="Medium"/>
      </sharedItems>
    </cacheField>
    <cacheField name="Order Date" numFmtId="166">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emiMixedTypes="0" containsString="0" containsNumber="1">
        <n v="235.0"/>
        <n v="341.0"/>
        <n v="179.0"/>
        <n v="18.0"/>
        <n v="472.0"/>
        <n v="49.0"/>
        <n v="34.0"/>
        <n v="270.0"/>
        <n v="404.0"/>
        <n v="452.0"/>
        <n v="481.0"/>
        <n v="133.0"/>
        <n v="47.0"/>
        <n v="337.0"/>
        <n v="260.0"/>
        <n v="398.0"/>
        <n v="185.0"/>
        <n v="99.0"/>
        <n v="411.0"/>
        <n v="463.0"/>
        <n v="46.0"/>
        <n v="325.0"/>
        <n v="470.0"/>
        <n v="293.0"/>
        <n v="462.0"/>
        <n v="90.0"/>
        <n v="123.0"/>
        <n v="310.0"/>
        <n v="233.0"/>
        <n v="327.0"/>
        <n v="358.0"/>
        <n v="124.0"/>
        <n v="195.0"/>
        <n v="255.9029411764706"/>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165">
      <sharedItems containsSemiMixedTypes="0" containsString="0" containsNumber="1">
        <n v="152.92"/>
        <n v="467.92"/>
        <n v="473.94"/>
        <n v="314.53"/>
        <n v="392.79"/>
        <n v="308.07"/>
        <n v="244.78"/>
        <n v="332.11"/>
        <n v="278.74"/>
        <n v="300.75"/>
        <n v="393.0"/>
        <n v="243.05"/>
        <n v="25.17"/>
        <n v="86.18"/>
        <n v="222.11"/>
        <n v="363.79"/>
        <n v="298.67"/>
        <n v="326.9"/>
        <n v="242.24"/>
        <n v="309.79"/>
        <n v="167.86"/>
        <n v="237.74"/>
        <n v="373.42"/>
        <n v="436.56"/>
        <n v="219.66"/>
        <n v="26.61"/>
        <n v="85.03"/>
        <n v="249.64520588235297"/>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165">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Total Revenue" numFmtId="165">
      <sharedItems containsSemiMixedTypes="0" containsString="0" containsNumber="1">
        <n v="35936.2"/>
        <n v="159560.72"/>
        <n v="84835.26"/>
        <n v="5661.539999999999"/>
        <n v="185396.88"/>
        <n v="15095.43"/>
        <n v="8322.52"/>
        <n v="89669.7"/>
        <n v="112610.96"/>
        <n v="135939.0"/>
        <n v="92355.0"/>
        <n v="116907.05"/>
        <n v="3347.61"/>
        <n v="40676.96000000001"/>
        <n v="10439.17"/>
        <n v="122597.23000000001"/>
        <n v="77654.2"/>
        <n v="130106.2"/>
        <n v="44814.4"/>
        <n v="30669.210000000003"/>
        <n v="68990.46"/>
        <n v="110073.62000000001"/>
        <n v="17177.32"/>
        <n v="141882.0"/>
        <n v="40637.1"/>
        <n v="12506.699999999999"/>
        <n v="24913.79"/>
        <n v="115336.08511764708"/>
        <n v="154333.9"/>
        <n v="15255.0"/>
        <n v="33644.189999999995"/>
        <n v="12209.33"/>
        <n v="14061.6"/>
        <n v="47674.130000000005"/>
        <n v="37336.86"/>
        <n v="75935.38"/>
        <n v="30956.005529411766"/>
        <n v="82098.9"/>
        <n v="23346.02532352941"/>
        <n v="31238.35"/>
        <n v="10332.630000000001"/>
        <n v="153872.07"/>
        <n v="15495.76"/>
        <n v="131364.0"/>
        <n v="117333.2467647059"/>
        <n v="62705.4"/>
        <n v="81631.14"/>
        <n v="70305.53"/>
        <n v="66620.25"/>
        <n v="3049.8"/>
        <n v="69269.1"/>
        <n v="53995.62"/>
        <n v="30387.87"/>
        <n v="143898.62"/>
        <n v="22387.64"/>
        <n v="33735.48"/>
        <n v="45544.63"/>
        <n v="32534.84"/>
        <n v="54210.0"/>
        <n v="87635.76000000001"/>
        <n v="22616.28"/>
        <n v="43088.88"/>
        <n v="73932.8"/>
        <n v="36807.77"/>
        <n v="110565.8"/>
        <n v="63622.0"/>
        <n v="31087.84"/>
        <n v="111516.94"/>
        <n v="41261.649999999994"/>
        <n v="627.52"/>
        <n v="31438.8"/>
        <n v="12983.24"/>
        <n v="11096.460000000001"/>
        <n v="96412.27"/>
        <n v="75286.98"/>
        <n v="13320.0"/>
        <n v="1668.8"/>
        <n v="142593.0"/>
        <n v="64282.53"/>
        <n v="42190.03979411765"/>
        <n v="159848.4"/>
        <n v="4223.62"/>
        <n v="49475.42"/>
        <n v="14465.28"/>
        <n v="85372.4"/>
        <n v="11132.03"/>
        <n v="44223.4"/>
        <n v="118131.48"/>
        <n v="48117.0"/>
        <n v="14515.939999999999"/>
        <n v="110390.04"/>
        <n v="5242.5493235294125"/>
        <n v="23453.600000000002"/>
        <n v="104408.73"/>
        <n v="68968.0"/>
        <n v="10440.1"/>
        <n v="7150.0"/>
        <n v="29984.120000000003"/>
        <n v="23519.16"/>
        <n v="73747.08"/>
        <n v="4721.08"/>
        <n v="99294.20999999999"/>
        <n v="90941.68000000001"/>
        <n v="128563.71"/>
        <n v="44512.149999999994"/>
        <n v="197785.03"/>
        <n v="99291.84"/>
        <n v="101821.5"/>
        <n v="3770.2400000000002"/>
        <n v="165292.35"/>
        <n v="31354.120000000003"/>
        <n v="50510.43"/>
        <n v="14193.76"/>
        <n v="26709.4"/>
        <n v="28127.66"/>
        <n v="21927.63"/>
        <n v="23980.440000000002"/>
        <n v="18413.920000000002"/>
        <n v="123946.61000000002"/>
        <n v="23850.54"/>
        <n v="69384.8"/>
        <n v="56029.05"/>
        <n v="15849.300000000001"/>
        <n v="6609.599999999999"/>
        <n v="47340.649999999994"/>
        <n v="99769.4"/>
        <n v="120662.08000000002"/>
        <n v="47233.24"/>
        <n v="129787.18"/>
        <n v="43827.11"/>
        <n v="68699.7035882353"/>
        <n v="15330.72"/>
        <n v="14208.689999999999"/>
        <n v="1977.3"/>
        <n v="9874.41"/>
        <n v="152628.69999999998"/>
        <n v="35005.799999999996"/>
        <n v="39586.69"/>
        <n v="140469.08"/>
        <n v="16624.6"/>
        <n v="3754.41"/>
        <n v="232738.38"/>
        <n v="16948.02"/>
        <n v="72819.69"/>
        <n v="154167.30000000002"/>
        <n v="53088.12"/>
        <n v="2747.67"/>
        <n v="23156.399999999998"/>
        <n v="122386.31999999999"/>
        <n v="92224.74"/>
        <n v="66677.66"/>
        <n v="15857.4"/>
        <n v="94112.07999999999"/>
        <n v="204588.75"/>
        <n v="117897.0"/>
        <n v="220772.37"/>
        <n v="3994.3232941176475"/>
        <n v="12735.699999999999"/>
        <n v="117446.84"/>
        <n v="7456.679999999999"/>
        <n v="11990.55"/>
        <n v="114473.2"/>
        <n v="14297.36"/>
        <n v="184403.25"/>
        <n v="220534.8"/>
        <n v="176646.6"/>
        <n v="3335.93"/>
        <n v="70992.0"/>
        <n v="2065.35"/>
        <n v="160557.0"/>
        <n v="168475.03"/>
        <n v="108854.34999999999"/>
        <n v="65238.6"/>
        <n v="5865.34"/>
        <n v="208351.44"/>
        <n v="17497.079999999998"/>
        <n v="176654.66"/>
        <n v="95098.08"/>
        <n v="7293.599999999999"/>
        <n v="91361.20000000001"/>
        <n v="64339.200000000004"/>
        <n v="93183.3"/>
        <n v="50940.42"/>
        <n v="23847.6"/>
        <n v="73651.11"/>
        <n v="82123.47"/>
        <n v="41736.14"/>
        <n v="50622.08"/>
        <n v="105970.29000000001"/>
        <n v="1140.18"/>
        <n v="9163.6"/>
        <n v="41361.84"/>
        <n v="11630.88"/>
        <n v="77699.52"/>
        <n v="87441.12"/>
        <n v="106926.77"/>
        <n v="116615.1"/>
        <n v="190533.15000000002"/>
        <n v="46212.55"/>
        <n v="104359.77844117647"/>
        <n v="1767.3"/>
        <n v="24570.0"/>
        <n v="125666.64"/>
        <n v="46408.799999999996"/>
        <n v="108913.92"/>
        <n v="18619.530000000002"/>
        <n v="75056.15999999999"/>
        <n v="58453.2"/>
        <n v="161626.5"/>
        <n v="121510.62"/>
        <n v="163183.68"/>
        <n v="58062.48"/>
        <n v="30074.29"/>
        <n v="15668.92"/>
        <n v="205828.36000000002"/>
        <n v="7897.68"/>
        <n v="33026.939999999995"/>
        <n v="46575.86"/>
        <n v="41658.4"/>
        <n v="33330.99"/>
        <n v="25325.7"/>
        <n v="89760.51"/>
        <n v="5542.53"/>
        <n v="95286.09999999999"/>
        <n v="130242.0"/>
        <n v="58257.990000000005"/>
        <n v="10532.16"/>
        <n v="12633.928205882352"/>
        <n v="24855.870000000003"/>
        <n v="89095.04999999999"/>
        <n v="235447.36000000002"/>
        <n v="63520.380000000005"/>
        <n v="26890.26"/>
        <n v="20988.0"/>
        <n v="7316.97"/>
        <n v="35278.32"/>
        <n v="3469.32"/>
        <n v="27662.28"/>
        <n v="23466.66"/>
        <n v="20111.52"/>
        <n v="181878.84"/>
        <n v="77020.12"/>
        <n v="21972.559999999998"/>
        <n v="178645.6"/>
        <n v="36079.1"/>
        <n v="8765.460000000001"/>
        <n v="19691.75"/>
        <n v="2430.36"/>
        <n v="127036.8"/>
        <n v="107384.12999999999"/>
        <n v="76463.79882352942"/>
        <n v="9549.599999999999"/>
        <n v="52661.34"/>
        <n v="21138.81"/>
        <n v="39469.700000000004"/>
        <n v="210386.88"/>
        <n v="70399.94805882353"/>
        <n v="109691.14000000001"/>
        <n v="32227.3"/>
        <n v="53927.48"/>
        <n v="59165.91379411765"/>
        <n v="7673.94"/>
        <n v="59038.0"/>
        <n v="178922.52000000002"/>
        <n v="174173.97"/>
        <n v="25944.8"/>
        <n v="47911.549999999996"/>
        <n v="10171.980000000001"/>
        <n v="47968.799999999996"/>
        <n v="153653.84"/>
        <n v="19365.48"/>
        <n v="109080.0"/>
        <n v="6813.09"/>
        <n v="34147.979999999996"/>
        <n v="25935.46"/>
        <n v="8671.86"/>
        <n v="91745.94"/>
        <n v="37401.28"/>
        <n v="154792.95"/>
        <n v="11166.259999999998"/>
        <n v="26087.460000000003"/>
        <n v="52837.5"/>
        <n v="31256.160000000003"/>
        <n v="59419.5"/>
        <n v="9189.74"/>
        <n v="4513.4"/>
        <n v="112728.4"/>
        <n v="56419.81652941177"/>
        <n v="44486.16729411765"/>
        <n v="45538.86"/>
        <n v="131758.06"/>
        <n v="68943.93000000001"/>
        <n v="125091.48000000001"/>
        <n v="99149.59455882353"/>
        <n v="25590.56"/>
        <n v="31468.74"/>
        <n v="14994.999999999998"/>
        <n v="83471.9"/>
        <n v="15864.4"/>
        <n v="67573.16"/>
        <n v="17076.95"/>
        <n v="37854.310000000005"/>
        <n v="196715.44"/>
        <n v="29944.05"/>
        <n v="12638.779999999999"/>
        <n v="30578.6"/>
        <n v="14061.22"/>
        <n v="39194.29732352942"/>
        <n v="58083.9"/>
        <n v="25163.86"/>
        <n v="100087.95"/>
        <n v="42164.25"/>
        <n v="7758.41"/>
        <n v="49222.93073529412"/>
        <n v="2031.26"/>
        <n v="116475.84"/>
        <n v="57818.710529411765"/>
        <n v="41169.04"/>
        <n v="137399.8"/>
        <n v="20701.62"/>
        <n v="204914.52"/>
        <n v="27460.66"/>
        <n v="47330.0"/>
        <n v="14570.57"/>
        <n v="86191.35"/>
        <n v="23993.76"/>
        <n v="83593.37000000001"/>
        <n v="1435.6155"/>
        <n v="56642.56"/>
        <n v="48580.29"/>
        <n v="43932.81"/>
        <n v="25459.85"/>
        <n v="9776.64"/>
        <n v="239220.11"/>
        <n v="1714.65"/>
        <n v="142041.59999999998"/>
        <n v="168446.02"/>
        <n v="39441.54"/>
        <n v="124507.98000000001"/>
        <n v="23868.0"/>
        <n v="43110.240000000005"/>
        <n v="181704.6"/>
        <n v="57158.64"/>
        <n v="122173.79999999999"/>
        <n v="4606.0199999999995"/>
        <n v="22726.06"/>
        <n v="2971.6800000000003"/>
        <n v="23272.32"/>
        <n v="27269.280000000002"/>
        <n v="74005.25"/>
      </sharedItems>
    </cacheField>
    <cacheField name="Total Cost" numFmtId="165">
      <sharedItems containsSemiMixedTypes="0" containsString="0" containsNumber="1">
        <n v="36096.0"/>
        <n v="47685.44"/>
        <n v="17388.06"/>
        <n v="3687.66"/>
        <n v="155977.12"/>
        <n v="5552.679999999999"/>
        <n v="12820.38"/>
        <n v="94389.29999999999"/>
        <n v="26817.519999999997"/>
        <n v="142352.88"/>
        <n v="54212.15"/>
        <n v="109427.5"/>
        <n v="20966.12"/>
        <n v="95089.12000000001"/>
        <n v="7523.76"/>
        <n v="73064.97"/>
        <n v="65499.2"/>
        <n v="107607.26"/>
        <n v="39577.05"/>
        <n v="28623.87"/>
        <n v="23932.53"/>
        <n v="39989.310000000005"/>
        <n v="15081.560000000001"/>
        <n v="42370.25"/>
        <n v="2055.35"/>
        <n v="29708.7"/>
        <n v="26663.0"/>
        <n v="176950.62"/>
        <n v="108132.9"/>
        <n v="33590.700000000004"/>
        <n v="28403.16"/>
        <n v="9446.22"/>
        <n v="39326.6"/>
        <n v="56698.22"/>
        <n v="18769.8"/>
        <n v="128704.58"/>
        <n v="41176.68"/>
        <n v="25034.1"/>
        <n v="97552.76020588235"/>
        <n v="21477.95"/>
        <n v="13092.31"/>
        <n v="18316.98"/>
        <n v="9424.66"/>
        <n v="72421.08"/>
        <n v="44443.200000000004"/>
        <n v="8322.18"/>
        <n v="92719.72"/>
        <n v="13704.47"/>
        <n v="53669.25"/>
        <n v="58454.759999999995"/>
        <n v="120988.05"/>
        <n v="19921.35"/>
        <n v="34428.88"/>
        <n v="771.06"/>
        <n v="614.7199999999999"/>
        <n v="16443.76"/>
        <n v="46070.47"/>
        <n v="27734.18"/>
        <n v="63008.700000000004"/>
        <n v="29138.76"/>
        <n v="4659.12"/>
        <n v="68983.98"/>
        <n v="57416.1"/>
        <n v="44492.24"/>
        <n v="43927.75"/>
        <n v="34654.0"/>
        <n v="11466.880000000001"/>
        <n v="13662.699999999999"/>
        <n v="61761.47"/>
        <n v="1721.92"/>
        <n v="10330.5"/>
        <n v="67651.44"/>
        <n v="13390.92"/>
        <n v="82045.23"/>
        <n v="24019.8"/>
        <n v="3783.6000000000004"/>
        <n v="2876.16"/>
        <n v="30950.250000000004"/>
        <n v="105980.94"/>
        <n v="57377.189999999995"/>
        <n v="107984.15999999999"/>
        <n v="141493.5"/>
        <n v="27239.370000000003"/>
        <n v="12591.36"/>
        <n v="60627.76"/>
        <n v="19214.65"/>
        <n v="70696.85"/>
        <n v="19330.800000000003"/>
        <n v="33552.9"/>
        <n v="33161.6"/>
        <n v="49051.98"/>
        <n v="1160.25"/>
        <n v="51254.4"/>
        <n v="145296.45"/>
        <n v="54449.77"/>
        <n v="6006.66"/>
        <n v="4262.5"/>
        <n v="40727.76"/>
        <n v="15951.5"/>
        <n v="80840.1"/>
        <n v="6563.96"/>
        <n v="29940.66"/>
        <n v="6431.04"/>
        <n v="6886.11"/>
        <n v="29514.539999999997"/>
        <n v="49269.17"/>
        <n v="91476.42"/>
        <n v="75073.01999999999"/>
        <n v="18555.36"/>
        <n v="20569.0"/>
        <n v="25051.88"/>
        <n v="146412.99"/>
        <n v="45889.600000000006"/>
        <n v="21694.54"/>
        <n v="78565.29999999999"/>
        <n v="57411.200000000004"/>
        <n v="168958.01"/>
        <n v="51879.759999999995"/>
        <n v="161066.18"/>
        <n v="3794.31"/>
        <n v="14675.039999999999"/>
        <n v="61020.96000000001"/>
        <n v="17353.5"/>
        <n v="157434.84"/>
        <n v="9301.669999999998"/>
        <n v="23203.95"/>
        <n v="153747.50999999998"/>
        <n v="37081.92"/>
        <n v="154264.63"/>
        <n v="82930.4"/>
        <n v="50973.306852941176"/>
        <n v="35515.560000000005"/>
        <n v="36411.15"/>
        <n v="2400.58"/>
        <n v="7475.58"/>
        <n v="75260.25"/>
        <n v="144820.2"/>
        <n v="17760.21"/>
        <n v="151411.38999999998"/>
        <n v="36040.84"/>
        <n v="652.24"/>
        <n v="8273.789999999999"/>
        <n v="38569.71"/>
        <n v="57881.700000000004"/>
        <n v="101193.75"/>
        <n v="12259.26"/>
        <n v="3248.16"/>
        <n v="37611.44"/>
        <n v="45940.439999999995"/>
        <n v="39586.049999999996"/>
        <n v="68620.45"/>
        <n v="100973.6"/>
        <n v="88981.44"/>
        <n v="139716.65000000002"/>
        <n v="55859.7"/>
        <n v="77868.07"/>
        <n v="3532.0"/>
        <n v="12636.9"/>
        <n v="11857.400000000001"/>
        <n v="7176.54"/>
        <n v="4987.84"/>
        <n v="77768.08"/>
        <n v="31658.879999999997"/>
        <n v="133207.75"/>
        <n v="41149.920000000006"/>
        <n v="182725.92"/>
        <n v="17929.870000000003"/>
        <n v="2952.0"/>
        <n v="3627.75"/>
        <n v="51928.16"/>
        <n v="12976.84"/>
        <n v="90242.34999999999"/>
        <n v="56550.9"/>
        <n v="4660.889999999999"/>
        <n v="61733.76"/>
        <n v="5598.72"/>
        <n v="77460.73999999999"/>
        <n v="23580.3"/>
        <n v="9380.64"/>
        <n v="103118.4"/>
        <n v="80359.68000000001"/>
        <n v="72726.78"/>
        <n v="10680.44"/>
        <n v="1630.44"/>
        <n v="17564.100000000002"/>
        <n v="71345.34"/>
        <n v="5533.59"/>
        <n v="27903.600000000002"/>
        <n v="104062.74"/>
        <n v="14571.24"/>
        <n v="2081.65"/>
        <n v="51933.96"/>
        <n v="13372.920000000002"/>
        <n v="55292.16"/>
        <n v="69002.78"/>
        <n v="2760.46"/>
        <n v="97260.1"/>
        <n v="120888.76000000001"/>
        <n v="12942.14"/>
        <n v="90065.04014705883"/>
        <n v="3145.8"/>
        <n v="68178.24"/>
        <n v="120690.68"/>
        <n v="32932.68"/>
        <n v="176912.8"/>
        <n v="27879.539999999997"/>
        <n v="60706.71"/>
        <n v="11525.279999999999"/>
        <n v="10548.0"/>
        <n v="59773.56"/>
        <n v="119500.92"/>
        <n v="29044.54"/>
        <n v="14521.58"/>
        <n v="113479.08000000002"/>
        <n v="19377.760000000002"/>
        <n v="6594.0"/>
        <n v="6593.76"/>
        <n v="175298.48"/>
        <n v="33777.36"/>
        <n v="20388.13"/>
        <n v="40098.3"/>
        <n v="48130.06"/>
        <n v="6378.96"/>
        <n v="84300.04"/>
        <n v="68754.0"/>
        <n v="9582.72"/>
        <n v="2243.52"/>
        <n v="10062.103647058824"/>
        <n v="15987.99"/>
        <n v="154132.90000000002"/>
        <n v="84181.3"/>
        <n v="10167.08"/>
        <n v="22858.2"/>
        <n v="103375.43999999999"/>
        <n v="5052.4"/>
        <n v="31048.16"/>
        <n v="4053.96"/>
        <n v="14491.77"/>
        <n v="20778.030000000002"/>
        <n v="54851.67999999999"/>
        <n v="49797.0"/>
        <n v="106487.09999999999"/>
        <n v="149173.94"/>
        <n v="107834.12"/>
        <n v="52398.2"/>
        <n v="4994.55"/>
        <n v="70330.0"/>
        <n v="81509.94"/>
        <n v="134449.91999999998"/>
        <n v="138896.03"/>
        <n v="85320.59961764707"/>
        <n v="153.35999999999999"/>
        <n v="48651.84"/>
        <n v="70212.45"/>
        <n v="58477.85"/>
        <n v="140587.36000000002"/>
        <n v="95062.20000000001"/>
        <n v="73973.29"/>
        <n v="49445.9"/>
        <n v="18022.36"/>
        <n v="36825.06"/>
        <n v="4645.08"/>
        <n v="54705.00000000001"/>
        <n v="39006.450000000004"/>
        <n v="25753.05"/>
        <n v="87211.92"/>
        <n v="613.25"/>
        <n v="9196.74"/>
        <n v="5360.150000000001"/>
        <n v="24152.260000000002"/>
        <n v="6007.77"/>
        <n v="63141.159999999996"/>
        <n v="11835.49"/>
        <n v="74891.44"/>
        <n v="44694.36"/>
        <n v="23483.52"/>
        <n v="12426.7"/>
        <n v="25956.76"/>
        <n v="137221.99"/>
        <n v="7573.58"/>
        <n v="67897.48999999999"/>
        <n v="90206.25"/>
        <n v="25131.600000000002"/>
        <n v="1947.7500000000002"/>
        <n v="5338.2"/>
        <n v="5106.4"/>
        <n v="19003.0"/>
        <n v="63004.27999999999"/>
        <n v="76484.27105882353"/>
        <n v="43603.02"/>
        <n v="37115.68"/>
        <n v="132490.4"/>
        <n v="57706.08"/>
        <n v="38549.219058823524"/>
        <n v="9533.48"/>
        <n v="28588.81"/>
        <n v="4793.5"/>
        <n v="61430.3"/>
        <n v="2285.65"/>
        <n v="123882.84"/>
        <n v="16890.5"/>
        <n v="49682.62"/>
        <n v="57196.96000000001"/>
        <n v="6323.45"/>
        <n v="81584.25"/>
        <n v="18949.65"/>
        <n v="7366.94"/>
        <n v="43173.43"/>
        <n v="67399.90000000001"/>
        <n v="63171.28999999999"/>
        <n v="128388.83"/>
        <n v="161593.5"/>
        <n v="20775.27"/>
        <n v="58112.998911764706"/>
        <n v="4310.9"/>
        <n v="15862.86"/>
        <n v="71831.95558823529"/>
        <n v="56906.3"/>
        <n v="110647.4"/>
        <n v="118300.41"/>
        <n v="158467.74"/>
        <n v="26958.420000000002"/>
        <n v="3042.5"/>
        <n v="55646.57"/>
        <n v="38084.549999999996"/>
        <n v="17025.12"/>
        <n v="37711.310000000005"/>
        <n v="49491.62882352941"/>
        <n v="64473.6"/>
        <n v="37131.93"/>
        <n v="51789.0"/>
        <n v="33170.51"/>
        <n v="3319.68"/>
        <n v="177624.16"/>
        <n v="41853.1"/>
        <n v="120007.68"/>
        <n v="2097.6"/>
        <n v="7787.2"/>
        <n v="33815.16"/>
        <n v="25403.04"/>
        <n v="52401.240000000005"/>
        <n v="169832.0"/>
        <n v="25064.16"/>
        <n v="2924.67"/>
        <n v="2061.54"/>
        <n v="5352.25"/>
        <n v="1348.0800000000002"/>
        <n v="41120.32"/>
        <n v="25912.079999999998"/>
        <n v="133994.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6:O356" sheet="Q8"/>
  </cacheSource>
  <cacheFields>
    <cacheField name="Order ID" numFmtId="0">
      <sharedItems>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haredItems>
    </cacheField>
    <cacheField name="Region" numFmtId="0">
      <sharedItems>
        <s v="East"/>
        <s v="West"/>
        <s v="North"/>
        <s v="Unknown"/>
        <s v="South"/>
      </sharedItems>
    </cacheField>
    <cacheField name="Country" numFmtId="0">
      <sharedItems>
        <s v="Germany"/>
        <s v="India"/>
        <s v="USA"/>
        <s v="UK"/>
        <s v="Australia"/>
      </sharedItems>
    </cacheField>
    <cacheField name="Category" numFmtId="0">
      <sharedItems>
        <s v="Beverages"/>
        <s v="Food"/>
        <s v="Clothing"/>
        <s v="Furniture"/>
        <s v="Electronics"/>
        <s v="Unknown"/>
      </sharedItems>
    </cacheField>
    <cacheField name="Sales Channel" numFmtId="0">
      <sharedItems>
        <s v="Online"/>
        <s v="Offline"/>
      </sharedItems>
    </cacheField>
    <cacheField name="Order Priority" numFmtId="0">
      <sharedItems>
        <s v="High"/>
        <s v="Low"/>
        <s v="Medium"/>
      </sharedItems>
    </cacheField>
    <cacheField name="Order Date" numFmtId="166">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d v="2023-02-20T00:00:00Z"/>
        <d v="2023-02-21T00:00:00Z"/>
        <d v="2023-02-22T00:00:00Z"/>
        <d v="2023-02-23T00:00:00Z"/>
        <d v="2023-02-24T00:00:00Z"/>
        <d v="2023-02-25T00:00:00Z"/>
        <d v="2023-02-26T00:00:00Z"/>
        <d v="2023-02-27T00:00:00Z"/>
        <d v="2023-02-28T00:00:00Z"/>
        <d v="2023-03-01T00:00:00Z"/>
        <d v="2023-03-02T00:00:00Z"/>
        <d v="2023-03-03T00:00:00Z"/>
        <d v="2023-03-04T00:00:00Z"/>
        <d v="2023-03-05T00:00:00Z"/>
        <d v="2023-03-06T00:00:00Z"/>
        <d v="2023-03-07T00:00:00Z"/>
        <d v="2023-03-08T00:00:00Z"/>
        <d v="2023-03-09T00:00:00Z"/>
        <d v="2023-03-10T00:00:00Z"/>
        <d v="2023-03-11T00:00:00Z"/>
        <d v="2023-03-12T00:00:00Z"/>
        <d v="2023-03-13T00:00:00Z"/>
        <d v="2023-03-14T00:00:00Z"/>
        <d v="2023-03-15T00:00:00Z"/>
        <d v="2023-03-16T00:00:00Z"/>
        <d v="2023-03-17T00:00:00Z"/>
        <d v="2023-03-18T00:00:00Z"/>
        <d v="2023-03-19T00:00:00Z"/>
        <d v="2023-03-20T00:00:00Z"/>
        <d v="2023-03-21T00:00:00Z"/>
        <d v="2023-03-22T00:00:00Z"/>
        <d v="2023-03-23T00:00:00Z"/>
        <d v="2023-03-24T00:00:00Z"/>
        <d v="2023-03-25T00:00:00Z"/>
        <d v="2023-03-26T00:00:00Z"/>
        <d v="2023-03-27T00:00:00Z"/>
        <d v="2023-03-28T00:00:00Z"/>
        <d v="2023-03-29T00:00:00Z"/>
        <d v="2023-03-30T00:00:00Z"/>
        <d v="2023-03-31T00:00:00Z"/>
        <d v="2023-04-01T00:00:00Z"/>
        <d v="2023-04-02T00:00:00Z"/>
        <d v="2023-04-03T00:00:00Z"/>
        <d v="2023-04-04T00:00:00Z"/>
        <d v="2023-04-05T00:00:00Z"/>
        <d v="2023-04-06T00:00:00Z"/>
        <d v="2023-04-07T00:00:00Z"/>
        <d v="2023-04-08T00:00:00Z"/>
        <d v="2023-04-09T00:00:00Z"/>
        <d v="2023-04-10T00:00:00Z"/>
        <d v="2023-04-11T00:00:00Z"/>
        <d v="2023-04-12T00:00:00Z"/>
        <d v="2023-04-13T00:00:00Z"/>
        <d v="2023-04-14T00:00:00Z"/>
        <d v="2023-04-15T00:00:00Z"/>
        <d v="2023-04-16T00:00:00Z"/>
        <d v="2023-04-17T00:00:00Z"/>
        <d v="2023-04-18T00:00:00Z"/>
        <d v="2023-04-19T00:00:00Z"/>
        <d v="2023-04-20T00:00:00Z"/>
        <d v="2023-04-21T00:00:00Z"/>
        <d v="2023-04-22T00:00:00Z"/>
        <d v="2023-04-23T00:00:00Z"/>
        <d v="2023-04-24T00:00:00Z"/>
        <d v="2023-04-25T00:00:00Z"/>
        <d v="2023-04-26T00:00:00Z"/>
        <d v="2023-04-27T00:00:00Z"/>
        <d v="2023-04-28T00:00:00Z"/>
        <d v="2023-04-29T00:00:00Z"/>
        <d v="2023-04-30T00:00:00Z"/>
        <d v="2023-05-01T00:00:00Z"/>
        <d v="2023-05-02T00:00:00Z"/>
        <d v="2023-05-03T00:00:00Z"/>
        <d v="2023-05-04T00:00:00Z"/>
        <d v="2023-05-05T00:00:00Z"/>
        <d v="2023-05-06T00:00:00Z"/>
        <d v="2023-05-07T00:00:00Z"/>
        <d v="2023-05-08T00:00:00Z"/>
        <d v="2023-05-09T00:00:00Z"/>
        <d v="2023-05-10T00:00:00Z"/>
        <d v="2023-05-11T00:00:00Z"/>
        <d v="2023-05-12T00:00:00Z"/>
        <d v="2023-05-13T00:00:00Z"/>
        <d v="2023-05-14T00:00:00Z"/>
        <d v="2023-05-15T00:00:00Z"/>
        <d v="2023-05-16T00:00:00Z"/>
        <d v="2023-05-17T00:00:00Z"/>
        <d v="2023-05-18T00:00:00Z"/>
        <d v="2023-05-19T00:00:00Z"/>
        <d v="2023-05-20T00:00:00Z"/>
        <d v="2023-05-21T00:00:00Z"/>
        <d v="2023-05-22T00:00:00Z"/>
        <d v="2023-05-23T00:00:00Z"/>
        <d v="2023-05-24T00:00:00Z"/>
        <d v="2023-05-25T00:00:00Z"/>
        <d v="2023-05-26T00:00:00Z"/>
        <d v="2023-05-27T00:00:00Z"/>
        <d v="2023-05-28T00:00:00Z"/>
        <d v="2023-05-29T00:00:00Z"/>
        <d v="2023-05-30T00:00:00Z"/>
        <d v="2023-05-31T00:00:00Z"/>
        <d v="2023-06-01T00:00:00Z"/>
        <d v="2023-06-02T00:00:00Z"/>
        <d v="2023-06-03T00:00:00Z"/>
        <d v="2023-06-04T00:00:00Z"/>
        <d v="2023-06-05T00:00:00Z"/>
        <d v="2023-06-06T00:00:00Z"/>
        <d v="2023-06-07T00:00:00Z"/>
        <d v="2023-06-08T00:00:00Z"/>
        <d v="2023-06-09T00:00:00Z"/>
        <d v="2023-06-10T00:00:00Z"/>
        <d v="2023-06-11T00:00:00Z"/>
        <d v="2023-06-12T00:00:00Z"/>
        <d v="2023-06-13T00:00:00Z"/>
        <d v="2023-06-14T00:00:00Z"/>
        <d v="2023-06-15T00:00:00Z"/>
        <d v="2023-06-16T00:00:00Z"/>
        <d v="2023-06-17T00:00:00Z"/>
        <d v="2023-06-18T00:00:00Z"/>
        <d v="2023-06-19T00:00:00Z"/>
        <d v="2023-06-20T00:00:00Z"/>
        <d v="2023-06-21T00:00:00Z"/>
        <d v="2023-06-22T00:00:00Z"/>
        <d v="2023-06-23T00:00:00Z"/>
        <d v="2023-06-24T00:00:00Z"/>
        <d v="2023-06-25T00:00:00Z"/>
        <d v="2023-06-26T00:00:00Z"/>
        <d v="2023-06-27T00:00:00Z"/>
        <d v="2023-06-28T00:00:00Z"/>
        <d v="2023-06-29T00:00:00Z"/>
        <d v="2023-06-30T00:00:00Z"/>
        <d v="2023-07-01T00:00:00Z"/>
        <d v="2023-07-02T00:00:00Z"/>
        <d v="2023-07-03T00:00:00Z"/>
        <d v="2023-07-04T00:00:00Z"/>
        <d v="2023-07-05T00:00:00Z"/>
        <d v="2023-07-06T00:00:00Z"/>
        <d v="2023-07-07T00:00:00Z"/>
        <d v="2023-07-08T00:00:00Z"/>
        <d v="2023-07-09T00:00:00Z"/>
        <d v="2023-07-10T00:00:00Z"/>
        <d v="2023-07-11T00:00:00Z"/>
        <d v="2023-07-12T00:00:00Z"/>
        <d v="2023-07-13T00:00:00Z"/>
        <d v="2023-07-14T00:00:00Z"/>
        <d v="2023-07-15T00:00:00Z"/>
        <d v="2023-07-16T00:00:00Z"/>
        <d v="2023-07-17T00:00:00Z"/>
        <d v="2023-07-18T00:00:00Z"/>
        <d v="2023-07-19T00:00:00Z"/>
        <d v="2023-07-20T00:00:00Z"/>
        <d v="2023-07-21T00:00:00Z"/>
        <d v="2023-07-22T00:00:00Z"/>
        <d v="2023-07-23T00:00:00Z"/>
        <d v="2023-07-24T00:00:00Z"/>
        <d v="2023-07-25T00:00:00Z"/>
        <d v="2023-07-26T00:00:00Z"/>
        <d v="2023-07-27T00:00:00Z"/>
        <d v="2023-07-28T00:00:00Z"/>
        <d v="2023-07-29T00:00:00Z"/>
        <d v="2023-07-30T00:00:00Z"/>
        <d v="2023-07-31T00:00:00Z"/>
        <d v="2023-08-01T00:00:00Z"/>
        <d v="2023-08-02T00:00:00Z"/>
        <d v="2023-08-03T00:00:00Z"/>
        <d v="2023-08-04T00:00:00Z"/>
        <d v="2023-08-05T00:00:00Z"/>
        <d v="2023-08-06T00:00:00Z"/>
        <d v="2023-08-07T00:00:00Z"/>
        <d v="2023-08-08T00:00:00Z"/>
        <d v="2023-08-09T00:00:00Z"/>
        <d v="2023-08-10T00:00:00Z"/>
        <d v="2023-08-11T00:00:00Z"/>
        <d v="2023-08-12T00:00:00Z"/>
        <d v="2023-08-13T00:00:00Z"/>
        <d v="2023-08-14T00:00:00Z"/>
        <d v="2023-08-15T00:00:00Z"/>
        <d v="2023-08-16T00:00:00Z"/>
        <d v="2023-08-17T00:00:00Z"/>
        <d v="2023-08-18T00:00:00Z"/>
        <d v="2023-08-19T00:00:00Z"/>
        <d v="2023-08-20T00:00:00Z"/>
        <d v="2023-08-21T00:00:00Z"/>
        <d v="2023-08-22T00:00:00Z"/>
        <d v="2023-08-23T00:00:00Z"/>
        <d v="2023-08-24T00:00:00Z"/>
        <d v="2023-08-25T00:00:00Z"/>
        <d v="2023-08-26T00:00:00Z"/>
        <d v="2023-08-27T00:00:00Z"/>
        <d v="2023-08-28T00:00:00Z"/>
        <d v="2023-08-29T00:00:00Z"/>
        <d v="2023-08-30T00:00:00Z"/>
        <d v="2023-08-31T00:00:00Z"/>
        <d v="2023-09-01T00:00:00Z"/>
        <d v="2023-09-02T00:00:00Z"/>
        <d v="2023-09-03T00:00:00Z"/>
        <d v="2023-09-04T00:00:00Z"/>
        <d v="2023-09-05T00:00:00Z"/>
        <d v="2023-09-06T00:00:00Z"/>
        <d v="2023-09-07T00:00:00Z"/>
        <d v="2023-09-08T00:00:00Z"/>
        <d v="2023-09-09T00:00:00Z"/>
        <d v="2023-09-10T00:00:00Z"/>
        <d v="2023-09-11T00:00:00Z"/>
        <d v="2023-09-12T00:00:00Z"/>
        <d v="2023-09-13T00:00:00Z"/>
        <d v="2023-09-14T00:00:00Z"/>
        <d v="2023-09-15T00:00:00Z"/>
        <d v="2023-09-16T00:00:00Z"/>
        <d v="2023-09-17T00:00:00Z"/>
        <d v="2023-09-18T00:00:00Z"/>
        <d v="2023-09-19T00:00:00Z"/>
        <d v="2023-09-20T00:00:00Z"/>
        <d v="2023-09-21T00:00:00Z"/>
        <d v="2023-09-22T00:00:00Z"/>
        <d v="2023-09-23T00:00:00Z"/>
        <d v="2023-09-24T00:00:00Z"/>
        <d v="2023-09-25T00:00:00Z"/>
        <d v="2023-09-26T00:00:00Z"/>
        <d v="2023-09-27T00:00:00Z"/>
        <d v="2023-09-28T00:00:00Z"/>
        <d v="2023-09-29T00:00:00Z"/>
        <d v="2023-09-30T00:00:00Z"/>
        <d v="2023-10-01T00:00:00Z"/>
        <d v="2023-10-02T00:00:00Z"/>
        <d v="2023-10-03T00:00:00Z"/>
        <d v="2023-10-04T00:00:00Z"/>
        <d v="2023-10-05T00:00:00Z"/>
        <d v="2023-10-06T00:00:00Z"/>
        <d v="2023-10-07T00:00:00Z"/>
        <d v="2023-10-08T00:00:00Z"/>
        <d v="2023-10-09T00:00:00Z"/>
        <d v="2023-10-10T00:00:00Z"/>
        <d v="2023-10-11T00:00:00Z"/>
        <d v="2023-10-12T00:00:00Z"/>
        <d v="2023-10-13T00:00:00Z"/>
        <d v="2023-10-14T00:00:00Z"/>
        <d v="2023-10-15T00:00:00Z"/>
        <d v="2023-10-16T00:00:00Z"/>
        <d v="2023-10-17T00:00:00Z"/>
        <d v="2023-10-18T00:00:00Z"/>
        <d v="2023-10-19T00:00:00Z"/>
        <d v="2023-10-20T00:00:00Z"/>
        <d v="2023-10-21T00:00:00Z"/>
        <d v="2023-10-22T00:00:00Z"/>
        <d v="2023-10-23T00:00:00Z"/>
        <d v="2023-10-24T00:00:00Z"/>
        <d v="2023-10-25T00:00:00Z"/>
        <d v="2023-10-26T00:00:00Z"/>
        <d v="2023-10-27T00:00:00Z"/>
        <d v="2023-10-28T00:00:00Z"/>
        <d v="2023-10-29T00:00:00Z"/>
        <d v="2023-10-30T00:00:00Z"/>
        <d v="2023-10-31T00:00:00Z"/>
        <d v="2023-11-01T00:00:00Z"/>
        <d v="2023-11-02T00:00:00Z"/>
        <d v="2023-11-03T00:00:00Z"/>
        <d v="2023-11-04T00:00:00Z"/>
        <d v="2023-11-05T00:00:00Z"/>
        <d v="2023-11-06T00:00:00Z"/>
        <d v="2023-11-07T00:00:00Z"/>
        <d v="2023-11-08T00:00:00Z"/>
        <d v="2023-11-09T00:00:00Z"/>
        <d v="2023-11-10T00:00:00Z"/>
        <d v="2023-11-11T00:00:00Z"/>
        <d v="2023-11-12T00:00:00Z"/>
        <d v="2023-11-13T00:00:00Z"/>
        <d v="2023-11-14T00:00:00Z"/>
        <d v="2023-11-15T00:00:00Z"/>
        <d v="2023-11-16T00:00:00Z"/>
        <d v="2023-11-17T00:00:00Z"/>
        <d v="2023-11-18T00:00:00Z"/>
        <d v="2023-11-19T00:00:00Z"/>
        <d v="2023-11-20T00:00:00Z"/>
        <d v="2023-11-21T00:00:00Z"/>
        <d v="2023-11-22T00:00:00Z"/>
        <d v="2023-11-23T00:00:00Z"/>
        <d v="2023-11-24T00:00:00Z"/>
        <d v="2023-11-25T00:00:00Z"/>
        <d v="2023-11-26T00:00:00Z"/>
        <d v="2023-11-27T00:00:00Z"/>
        <d v="2023-11-28T00:00:00Z"/>
        <d v="2023-11-29T00:00:00Z"/>
        <d v="2023-11-30T00:00:00Z"/>
        <d v="2023-12-01T00:00:00Z"/>
        <d v="2023-12-02T00:00:00Z"/>
        <d v="2023-12-03T00:00:00Z"/>
        <d v="2023-12-04T00:00:00Z"/>
        <d v="2023-12-05T00:00:00Z"/>
        <d v="2023-12-06T00:00:00Z"/>
        <d v="2023-12-07T00:00:00Z"/>
        <d v="2023-12-08T00:00:00Z"/>
        <d v="2023-12-09T00:00:00Z"/>
        <d v="2023-12-10T00:00:00Z"/>
        <d v="2023-12-11T00:00:00Z"/>
        <d v="2023-12-12T00:00:00Z"/>
        <d v="2023-12-13T00:00:00Z"/>
        <d v="2023-12-14T00:00:00Z"/>
        <d v="2023-12-15T00:00:00Z"/>
        <d v="2023-12-16T00:00:00Z"/>
      </sharedItems>
    </cacheField>
    <cacheField name="Units Sold" numFmtId="0">
      <sharedItems containsSemiMixedTypes="0" containsString="0" containsNumber="1">
        <n v="235.0"/>
        <n v="341.0"/>
        <n v="179.0"/>
        <n v="18.0"/>
        <n v="472.0"/>
        <n v="49.0"/>
        <n v="34.0"/>
        <n v="270.0"/>
        <n v="404.0"/>
        <n v="452.0"/>
        <n v="481.0"/>
        <n v="133.0"/>
        <n v="47.0"/>
        <n v="337.0"/>
        <n v="260.0"/>
        <n v="398.0"/>
        <n v="185.0"/>
        <n v="99.0"/>
        <n v="411.0"/>
        <n v="463.0"/>
        <n v="46.0"/>
        <n v="325.0"/>
        <n v="470.0"/>
        <n v="293.0"/>
        <n v="462.0"/>
        <n v="90.0"/>
        <n v="123.0"/>
        <n v="310.0"/>
        <n v="233.0"/>
        <n v="327.0"/>
        <n v="358.0"/>
        <n v="124.0"/>
        <n v="195.0"/>
        <n v="255.9029411764706"/>
        <n v="65.0"/>
        <n v="363.0"/>
        <n v="356.0"/>
        <n v="246.0"/>
        <n v="298.0"/>
        <n v="271.0"/>
        <n v="225.0"/>
        <n v="156.0"/>
        <n v="345.0"/>
        <n v="177.0"/>
        <n v="101.0"/>
        <n v="362.0"/>
        <n v="68.0"/>
        <n v="313.0"/>
        <n v="178.0"/>
        <n v="278.0"/>
        <n v="372.0"/>
        <n v="54.0"/>
        <n v="354.0"/>
        <n v="190.0"/>
        <n v="365.0"/>
        <n v="200.0"/>
        <n v="164.0"/>
        <n v="431.0"/>
        <n v="197.0"/>
        <n v="16.0"/>
        <n v="142.0"/>
        <n v="244.0"/>
        <n v="323.0"/>
        <n v="258.0"/>
        <n v="40.0"/>
        <n v="32.0"/>
        <n v="435.0"/>
        <n v="403.0"/>
        <n v="169.0"/>
        <n v="446.0"/>
        <n v="167.0"/>
        <n v="48.0"/>
        <n v="424.0"/>
        <n v="91.0"/>
        <n v="267.0"/>
        <n v="215.0"/>
        <n v="86.0"/>
        <n v="486.0"/>
        <n v="21.0"/>
        <n v="304.0"/>
        <n v="459.0"/>
        <n v="22.0"/>
        <n v="55.0"/>
        <n v="122.0"/>
        <n v="242.0"/>
        <n v="26.0"/>
        <n v="369.0"/>
        <n v="232.0"/>
        <n v="457.0"/>
        <n v="353.0"/>
        <n v="374.0"/>
        <n v="172.0"/>
        <n v="335.0"/>
        <n v="476.0"/>
        <n v="423.0"/>
        <n v="464.0"/>
        <n v="83.0"/>
        <n v="491.0"/>
        <n v="328.0"/>
        <n v="421.0"/>
        <n v="69.0"/>
        <n v="344.0"/>
        <n v="231.0"/>
        <n v="287.0"/>
        <n v="205.0"/>
        <n v="413.0"/>
        <n v="361.0"/>
        <n v="493.0"/>
        <n v="251.0"/>
        <n v="228.0"/>
        <n v="201.0"/>
        <n v="415.0"/>
        <n v="410.0"/>
        <n v="383.0"/>
        <n v="202.0"/>
        <n v="31.0"/>
        <n v="483.0"/>
        <n v="129.0"/>
        <n v="219.0"/>
        <n v="315.0"/>
        <n v="279.0"/>
        <n v="184.0"/>
        <n v="294.0"/>
        <n v="213.0"/>
        <n v="173.0"/>
        <n v="236.0"/>
        <n v="445.0"/>
        <n v="390.0"/>
        <n v="469.0"/>
        <n v="38.0"/>
        <n v="42.0"/>
        <n v="143.0"/>
        <n v="376.0"/>
        <n v="88.0"/>
        <n v="425.0"/>
        <n v="444.0"/>
        <n v="468.0"/>
        <n v="67.0"/>
        <n v="480.0"/>
        <n v="35.0"/>
        <n v="439.0"/>
        <n v="13.0"/>
        <n v="474.0"/>
        <n v="108.0"/>
        <n v="406.0"/>
        <n v="498.0"/>
        <n v="280.0"/>
        <n v="384.0"/>
        <n v="166.0"/>
        <n v="84.0"/>
        <n v="381.0"/>
        <n v="297.0"/>
        <n v="139.0"/>
        <n v="471.0"/>
        <n v="93.0"/>
        <n v="36.0"/>
        <n v="204.0"/>
        <n v="346.0"/>
        <n v="391.0"/>
        <n v="245.0"/>
        <n v="449.0"/>
        <n v="30.0"/>
        <n v="312.0"/>
        <n v="473.0"/>
        <n v="366.0"/>
        <n v="450.0"/>
        <n v="396.0"/>
        <n v="266.0"/>
        <n v="389.0"/>
        <n v="24.0"/>
        <n v="171.0"/>
        <n v="454.0"/>
        <n v="329.0"/>
        <n v="290.0"/>
        <n v="289.0"/>
        <n v="283.0"/>
        <n v="217.0"/>
        <n v="482.0"/>
        <n v="154.0"/>
        <n v="102.0"/>
        <n v="318.0"/>
        <n v="17.0"/>
        <n v="183.0"/>
        <n v="59.0"/>
        <n v="208.0"/>
        <n v="437.0"/>
        <n v="33.0"/>
        <n v="387.0"/>
        <n v="162.0"/>
        <n v="282.0"/>
        <n v="349.0"/>
        <n v="237.0"/>
        <n v="175.0"/>
        <n v="441.0"/>
        <n v="453.0"/>
        <n v="223.0"/>
        <n v="126.0"/>
        <n v="395.0"/>
        <n v="81.0"/>
        <n v="73.0"/>
        <n v="214.0"/>
        <n v="218.0"/>
        <n v="286.0"/>
        <n v="487.0"/>
        <n v="347.0"/>
        <n v="375.0"/>
        <n v="104.0"/>
        <n v="41.0"/>
        <n v="20.0"/>
        <n v="226.0"/>
        <n v="111.0"/>
        <n v="434.0"/>
        <n v="401.0"/>
        <n v="276.0"/>
        <n v="188.0"/>
        <n v="97.0"/>
        <n v="50.0"/>
        <n v="85.0"/>
        <n v="386.0"/>
        <n v="89.0"/>
        <n v="319.0"/>
        <n v="95.0"/>
        <n v="157.0"/>
        <n v="170.0"/>
        <n v="211.0"/>
        <n v="433.0"/>
        <n v="11.0"/>
        <n v="234.0"/>
        <n v="426.0"/>
        <n v="125.0"/>
        <n v="163.0"/>
        <n v="112.0"/>
        <n v="203.0"/>
        <n v="368.0"/>
        <n v="131.0"/>
        <n v="152.0"/>
        <n v="115.0"/>
        <n v="314.0"/>
        <n v="326.0"/>
        <n v="460.0"/>
        <n v="132.0"/>
        <n v="399.0"/>
        <n v="82.0"/>
      </sharedItems>
    </cacheField>
    <cacheField name="Unit Price" numFmtId="165">
      <sharedItems containsSemiMixedTypes="0" containsString="0" containsNumber="1">
        <n v="152.92"/>
        <n v="467.92"/>
        <n v="473.94"/>
        <n v="314.53"/>
        <n v="392.79"/>
        <n v="308.07"/>
        <n v="244.78"/>
        <n v="332.11"/>
        <n v="278.74"/>
        <n v="300.75"/>
        <n v="393.0"/>
        <n v="243.05"/>
        <n v="25.17"/>
        <n v="86.18"/>
        <n v="222.11"/>
        <n v="363.79"/>
        <n v="298.67"/>
        <n v="326.9"/>
        <n v="242.24"/>
        <n v="309.79"/>
        <n v="167.86"/>
        <n v="237.74"/>
        <n v="373.42"/>
        <n v="436.56"/>
        <n v="219.66"/>
        <n v="26.61"/>
        <n v="85.03"/>
        <n v="249.64520588235297"/>
        <n v="328.37"/>
        <n v="169.5"/>
        <n v="273.53"/>
        <n v="249.17"/>
        <n v="45.36"/>
        <n v="204.61"/>
        <n v="114.18"/>
        <n v="212.11"/>
        <n v="421.02"/>
        <n v="91.23"/>
        <n v="480.59"/>
        <n v="210.87"/>
        <n v="423.89"/>
        <n v="316.24"/>
        <n v="369.0"/>
        <n v="254.9"/>
        <n v="273.93"/>
        <n v="259.43"/>
        <n v="296.09"/>
        <n v="19.55"/>
        <n v="200.78"/>
        <n v="305.06"/>
        <n v="300.87"/>
        <n v="397.51"/>
        <n v="329.23"/>
        <n v="496.11"/>
        <n v="145.51"/>
        <n v="182.78"/>
        <n v="195.0"/>
        <n v="235.58"/>
        <n v="418.82"/>
        <n v="121.72"/>
        <n v="389.12"/>
        <n v="205.63"/>
        <n v="302.92"/>
        <n v="318.11"/>
        <n v="189.56"/>
        <n v="258.74"/>
        <n v="209.45"/>
        <n v="39.22"/>
        <n v="221.4"/>
        <n v="53.21"/>
        <n v="205.49"/>
        <n v="298.49"/>
        <n v="291.81"/>
        <n v="333.0"/>
        <n v="52.15"/>
        <n v="327.8"/>
        <n v="159.51"/>
        <n v="429.7"/>
        <n v="9.47"/>
        <n v="296.26"/>
        <n v="301.36"/>
        <n v="201.35"/>
        <n v="122.33"/>
        <n v="121.16"/>
        <n v="442.44"/>
        <n v="223.8"/>
        <n v="168.79"/>
        <n v="227.14"/>
        <n v="77.15"/>
        <n v="227.47"/>
        <n v="296.0"/>
        <n v="474.55"/>
        <n v="130.0"/>
        <n v="182.83"/>
        <n v="192.78"/>
        <n v="304.74"/>
        <n v="181.58"/>
        <n v="269.09"/>
        <n v="391.99"/>
        <n v="354.17"/>
        <n v="225.95"/>
        <n v="432.79"/>
        <n v="281.28"/>
        <n v="272.25"/>
        <n v="21.92"/>
        <n v="493.41"/>
        <n v="65.87"/>
        <n v="119.41"/>
        <n v="30.59"/>
        <n v="321.8"/>
        <n v="116.23"/>
        <n v="94.11"/>
        <n v="48.84"/>
        <n v="56.14"/>
        <n v="294.41"/>
        <n v="345.66"/>
        <n v="201.7"/>
        <n v="242.55"/>
        <n v="344.55"/>
        <n v="13.6"/>
        <n v="164.95"/>
        <n v="486.68"/>
        <n v="292.16"/>
        <n v="130.84"/>
        <n v="263.26"/>
        <n v="174.61"/>
        <n v="268.46"/>
        <n v="67.24"/>
        <n v="70.69"/>
        <n v="76.05"/>
        <n v="470.21"/>
        <n v="367.78"/>
        <n v="85.38"/>
        <n v="98.23"/>
        <n v="366.76"/>
        <n v="82.3"/>
        <n v="121.11"/>
        <n v="481.86"/>
        <n v="131.38"/>
        <n v="332.51"/>
        <n v="489.42"/>
        <n v="190.28"/>
        <n v="13.67"/>
        <n v="125.85"/>
        <n v="416.28"/>
        <n v="432.98"/>
        <n v="385.42"/>
        <n v="60.99"/>
        <n v="398.78"/>
        <n v="459.75"/>
        <n v="302.3"/>
        <n v="470.73"/>
        <n v="335.15"/>
        <n v="290.71"/>
        <n v="177.54"/>
        <n v="83.85"/>
        <n v="304.45"/>
        <n v="162.47"/>
        <n v="433.89"/>
        <n v="496.7"/>
        <n v="377.45"/>
        <n v="49.79"/>
        <n v="147.9"/>
        <n v="59.01"/>
        <n v="327.0"/>
        <n v="383.77"/>
        <n v="463.21"/>
        <n v="221.9"/>
        <n v="451.18"/>
        <n v="439.56"/>
        <n v="162.01"/>
        <n v="435.11"/>
        <n v="190.96"/>
        <n v="151.95"/>
        <n v="326.29"/>
        <n v="167.55"/>
        <n v="316.95"/>
        <n v="306.87"/>
        <n v="283.9"/>
        <n v="193.31"/>
        <n v="276.51"/>
        <n v="300.26"/>
        <n v="275.12"/>
        <n v="224.99"/>
        <n v="12.26"/>
        <n v="295.6"/>
        <n v="88.38"/>
        <n v="323.08"/>
        <n v="380.88"/>
        <n v="252.72"/>
        <n v="273.47"/>
        <n v="475.98"/>
        <n v="424.35"/>
        <n v="457.55"/>
        <n v="407.81"/>
        <n v="58.91"/>
        <n v="78.75"/>
        <n v="265.68"/>
        <n v="126.8"/>
        <n v="240.96"/>
        <n v="200.21"/>
        <n v="276.96"/>
        <n v="374.7"/>
        <n v="359.17"/>
        <n v="263.01"/>
        <n v="412.08"/>
        <n v="218.28"/>
        <n v="448.87"/>
        <n v="40.28"/>
        <n v="477.56"/>
        <n v="329.07"/>
        <n v="193.14"/>
        <n v="102.59"/>
        <n v="242.2"/>
        <n v="101.31"/>
        <n v="87.33"/>
        <n v="310.59"/>
        <n v="263.93"/>
        <n v="336.7"/>
        <n v="465.15"/>
        <n v="268.47"/>
        <n v="292.56"/>
        <n v="49.37"/>
        <n v="360.23"/>
        <n v="202.95"/>
        <n v="488.48"/>
        <n v="412.47"/>
        <n v="263.63"/>
        <n v="66.0"/>
        <n v="430.41"/>
        <n v="400.89"/>
        <n v="96.37"/>
        <n v="151.16"/>
        <n v="397.74"/>
        <n v="96.69"/>
        <n v="459.29"/>
        <n v="215.14"/>
        <n v="48.08"/>
        <n v="408.8"/>
        <n v="189.89"/>
        <n v="265.62"/>
        <n v="60.59"/>
        <n v="6.28"/>
        <n v="320.8"/>
        <n v="260.01"/>
        <n v="298.8"/>
        <n v="397.9"/>
        <n v="325.07"/>
        <n v="91.51"/>
        <n v="183.58"/>
        <n v="453.42"/>
        <n v="280.54"/>
        <n v="131.54"/>
        <n v="154.52"/>
        <n v="426.33"/>
        <n v="337.36"/>
        <n v="405.72"/>
        <n v="384.49"/>
        <n v="79.1"/>
        <n v="214.85"/>
        <n v="80.73"/>
        <n v="121.44"/>
        <n v="435.28"/>
        <n v="239.08"/>
        <n v="270.0"/>
        <n v="93.33"/>
        <n v="159.57"/>
        <n v="118.97"/>
        <n v="107.06"/>
        <n v="320.79"/>
        <n v="132.16"/>
        <n v="317.85"/>
        <n v="33.94"/>
        <n v="75.18"/>
        <n v="140.9"/>
        <n v="300.54"/>
        <n v="339.54"/>
        <n v="224.14"/>
        <n v="225.67"/>
        <n v="363.64"/>
        <n v="173.84"/>
        <n v="410.26"/>
        <n v="303.59"/>
        <n v="171.93"/>
        <n v="453.23"/>
        <n v="387.45"/>
        <n v="136.12"/>
        <n v="324.42"/>
        <n v="299.9"/>
        <n v="203.59"/>
        <n v="186.64"/>
        <n v="175.06"/>
        <n v="310.49"/>
        <n v="223.99"/>
        <n v="416.77"/>
        <n v="336.45"/>
        <n v="39.62"/>
        <n v="321.88"/>
        <n v="139.22"/>
        <n v="341.67"/>
        <n v="119.26"/>
        <n v="231.15"/>
        <n v="99.21"/>
        <n v="30.91"/>
        <n v="192.35"/>
        <n v="184.66"/>
        <n v="497.76"/>
        <n v="225.94"/>
        <n v="170.12"/>
        <n v="292.34"/>
        <n v="48.94"/>
        <n v="481.02"/>
        <n v="319.31"/>
        <n v="378.64"/>
        <n v="89.39"/>
        <n v="207.69"/>
        <n v="214.23"/>
        <n v="411.79"/>
        <n v="5.61"/>
        <n v="153.92"/>
        <n v="490.71"/>
        <n v="240.07"/>
        <n v="194.35"/>
        <n v="64.32"/>
        <n v="487.21"/>
        <n v="14.91"/>
        <n v="369.9"/>
        <n v="385.46"/>
        <n v="125.61"/>
        <n v="337.42"/>
        <n v="51.0"/>
        <n v="132.24"/>
        <n v="395.01"/>
        <n v="433.02"/>
        <n v="306.2"/>
        <n v="255.89"/>
        <n v="83.86"/>
        <n v="36.24"/>
        <n v="63.24"/>
        <n v="117.54"/>
        <n v="174.13"/>
      </sharedItems>
    </cacheField>
    <cacheField name="Unit Cost" numFmtId="165">
      <sharedItems containsSemiMixedTypes="0" containsString="0" containsNumber="1">
        <n v="153.6"/>
        <n v="139.84"/>
        <n v="97.14"/>
        <n v="204.87"/>
        <n v="330.46"/>
        <n v="113.32"/>
        <n v="377.07"/>
        <n v="349.59"/>
        <n v="66.38"/>
        <n v="314.94"/>
        <n v="230.69"/>
        <n v="227.5"/>
        <n v="157.64"/>
        <n v="201.46"/>
        <n v="160.08"/>
        <n v="216.81"/>
        <n v="251.92"/>
        <n v="270.37"/>
        <n v="213.93"/>
        <n v="289.13"/>
        <n v="58.23"/>
        <n v="86.37"/>
        <n v="327.86"/>
        <n v="130.37"/>
        <n v="11.11"/>
        <n v="63.21"/>
        <n v="91.0"/>
        <n v="383.01"/>
        <n v="230.07"/>
        <n v="373.23"/>
        <n v="230.92"/>
        <n v="192.78"/>
        <n v="126.86"/>
        <n v="243.34"/>
        <n v="57.4"/>
        <n v="359.51"/>
        <n v="332.07"/>
        <n v="128.38"/>
        <n v="381.21"/>
        <n v="330.43"/>
        <n v="267.19"/>
        <n v="50.46"/>
        <n v="192.34"/>
        <n v="203.43"/>
        <n v="94.56"/>
        <n v="33.83"/>
        <n v="311.14"/>
        <n v="50.57"/>
        <n v="238.53"/>
        <n v="374.71"/>
        <n v="350.69"/>
        <n v="112.55"/>
        <n v="340.88"/>
        <n v="2.13"/>
        <n v="9.04"/>
        <n v="241.82"/>
        <n v="147.19"/>
        <n v="155.81"/>
        <n v="226.65"/>
        <n v="78.33"/>
        <n v="86.28"/>
        <n v="194.87"/>
        <n v="302.19"/>
        <n v="248.56"/>
        <n v="120.35"/>
        <n v="173.27"/>
        <n v="69.92"/>
        <n v="31.7"/>
        <n v="313.51"/>
        <n v="107.62"/>
        <n v="72.75"/>
        <n v="277.26"/>
        <n v="247.98"/>
        <n v="254.01"/>
        <n v="93.1"/>
        <n v="94.59"/>
        <n v="89.88"/>
        <n v="71.15"/>
        <n v="262.98"/>
        <n v="339.51"/>
        <n v="290.28"/>
        <n v="317.25"/>
        <n v="163.11"/>
        <n v="262.32"/>
        <n v="142.99"/>
        <n v="211.15"/>
        <n v="193.69"/>
        <n v="72.4"/>
        <n v="156.06"/>
        <n v="385.6"/>
        <n v="100.93"/>
        <n v="55.25"/>
        <n v="168.6"/>
        <n v="316.55"/>
        <n v="233.69"/>
        <n v="273.03"/>
        <n v="77.5"/>
        <n v="248.34"/>
        <n v="130.75"/>
        <n v="334.05"/>
        <n v="252.46"/>
        <n v="81.14"/>
        <n v="27.72"/>
        <n v="18.97"/>
        <n v="149.82"/>
        <n v="107.81"/>
        <n v="259.14"/>
        <n v="200.73"/>
        <n v="107.88"/>
        <n v="61.4"/>
        <n v="52.63"/>
        <n v="346.13"/>
        <n v="98.9"/>
        <n v="261.38"/>
        <n v="324.65"/>
        <n v="246.4"/>
        <n v="344.11"/>
        <n v="158.17"/>
        <n v="382.58"/>
        <n v="54.99"/>
        <n v="42.66"/>
        <n v="264.16"/>
        <n v="377.25"/>
        <n v="323.94"/>
        <n v="32.41"/>
        <n v="113.19"/>
        <n v="372.27"/>
        <n v="102.72"/>
        <n v="312.91"/>
        <n v="330.4"/>
        <n v="199.19"/>
        <n v="155.77"/>
        <n v="181.15"/>
        <n v="92.33"/>
        <n v="355.98"/>
        <n v="181.35"/>
        <n v="353.22"/>
        <n v="44.07"/>
        <n v="395.33"/>
        <n v="178.42"/>
        <n v="21.04"/>
        <n v="17.13"/>
        <n v="298.99"/>
        <n v="264.3"/>
        <n v="321.25"/>
        <n v="43.94"/>
        <n v="16.16"/>
        <n v="204.41"/>
        <n v="156.26"/>
        <n v="185.85"/>
        <n v="396.65"/>
        <n v="388.36"/>
        <n v="377.04"/>
        <n v="313.97"/>
        <n v="143.23"/>
        <n v="166.03"/>
        <n v="220.75"/>
        <n v="332.55"/>
        <n v="29.35"/>
        <n v="170.87"/>
        <n v="34.88"/>
        <n v="206.83"/>
        <n v="359.76"/>
        <n v="313.43"/>
        <n v="92.68"/>
        <n v="390.44"/>
        <n v="267.61"/>
        <n v="6.15"/>
        <n v="103.65"/>
        <n v="105.76"/>
        <n v="29.56"/>
        <n v="384.01"/>
        <n v="192.35"/>
        <n v="358.53"/>
        <n v="130.24"/>
        <n v="51.84"/>
        <n v="190.79"/>
        <n v="47.35"/>
        <n v="195.43"/>
        <n v="368.28"/>
        <n v="209.27"/>
        <n v="247.37"/>
        <n v="64.34"/>
        <n v="19.41"/>
        <n v="46.1"/>
        <n v="240.22"/>
        <n v="39.81"/>
        <n v="151.65"/>
        <n v="220.94"/>
        <n v="156.68"/>
        <n v="67.15"/>
        <n v="110.97"/>
        <n v="371.47"/>
        <n v="271.04"/>
        <n v="199.43"/>
        <n v="7.06"/>
        <n v="396.98"/>
        <n v="269.24"/>
        <n v="128.14"/>
        <n v="351.95"/>
        <n v="104.86"/>
        <n v="218.52"/>
        <n v="255.16"/>
        <n v="89.98"/>
        <n v="391.4"/>
        <n v="299.78"/>
        <n v="224.01"/>
        <n v="73.88"/>
        <n v="23.44"/>
        <n v="129.38"/>
        <n v="301.77"/>
        <n v="109.19"/>
        <n v="216.74"/>
        <n v="291.72"/>
        <n v="44.96"/>
        <n v="274.75"/>
        <n v="38.56"/>
        <n v="386.12"/>
        <n v="196.38"/>
        <n v="61.97"/>
        <n v="138.27"/>
        <n v="166.54"/>
        <n v="303.76"/>
        <n v="297.88"/>
        <n v="245.55"/>
        <n v="44.16"/>
        <n v="62.32"/>
        <n v="39.32"/>
        <n v="231.71"/>
        <n v="351.1"/>
        <n v="174.65"/>
        <n v="66.02"/>
        <n v="224.1"/>
        <n v="325.08"/>
        <n v="297.2"/>
        <n v="352.82"/>
        <n v="112.61"/>
        <n v="79.19"/>
        <n v="352.17"/>
        <n v="263.71"/>
        <n v="125.75"/>
        <n v="297.45"/>
        <n v="326.42"/>
        <n v="246.76"/>
        <n v="275.78"/>
        <n v="151.35"/>
        <n v="216.4"/>
        <n v="210.62"/>
        <n v="339.52"/>
        <n v="336.31"/>
        <n v="333.41"/>
        <n v="6.39"/>
        <n v="300.32"/>
        <n v="303.95"/>
        <n v="271.99"/>
        <n v="302.99"/>
        <n v="337.1"/>
        <n v="189.19"/>
        <n v="201.82"/>
        <n v="51.64"/>
        <n v="155.38"/>
        <n v="258.06"/>
        <n v="312.6"/>
        <n v="88.45"/>
        <n v="56.85"/>
        <n v="265.89"/>
        <n v="2.75"/>
        <n v="72.99"/>
        <n v="13.57"/>
        <n v="68.42"/>
        <n v="74.17"/>
        <n v="156.29"/>
        <n v="162.13"/>
        <n v="349.96"/>
        <n v="205.02"/>
        <n v="289.92"/>
        <n v="43.45"/>
        <n v="91.72"/>
        <n v="281.77"/>
        <n v="23.02"/>
        <n v="195.67"/>
        <n v="240.55"/>
        <n v="241.65"/>
        <n v="11.13"/>
        <n v="130.2"/>
        <n v="255.32"/>
        <n v="61.3"/>
        <n v="278.78"/>
        <n v="298.88"/>
        <n v="392.82"/>
        <n v="85.52"/>
        <n v="209.08"/>
        <n v="150.64"/>
        <n v="50.71"/>
        <n v="294.73"/>
        <n v="95.87"/>
        <n v="149.83"/>
        <n v="26.89"/>
        <n v="320.94"/>
        <n v="307.1"/>
        <n v="293.98"/>
        <n v="121.18"/>
        <n v="71.05"/>
        <n v="255.75"/>
        <n v="199.47"/>
        <n v="72.94"/>
        <n v="274.99"/>
        <n v="396.47"/>
        <n v="299.39"/>
        <n v="296.51"/>
        <n v="380.22"/>
        <n v="82.77"/>
        <n v="227.09"/>
        <n v="391.9"/>
        <n v="67.79"/>
        <n v="280.7"/>
        <n v="235.15"/>
        <n v="235.42"/>
        <n v="279.67"/>
        <n v="371.99"/>
        <n v="313.47"/>
        <n v="24.34"/>
        <n v="341.39"/>
        <n v="91.77"/>
        <n v="152.01"/>
        <n v="185.77"/>
        <n v="193.4"/>
        <n v="175.2"/>
        <n v="375.07"/>
        <n v="283.0"/>
        <n v="253.21"/>
        <n v="21.84"/>
        <n v="361.76"/>
        <n v="363.94"/>
        <n v="312.52"/>
        <n v="4.8"/>
        <n v="24.8"/>
        <n v="91.64"/>
        <n v="54.28"/>
        <n v="160.74"/>
        <n v="369.2"/>
        <n v="189.88"/>
        <n v="7.33"/>
        <n v="114.53"/>
        <n v="19.75"/>
        <n v="16.44"/>
        <n v="111.74"/>
        <n v="111.69"/>
        <n v="315.28"/>
      </sharedItems>
    </cacheField>
    <cacheField name="Total Revenue" numFmtId="165">
      <sharedItems containsSemiMixedTypes="0" containsString="0" containsNumber="1">
        <n v="35936.2"/>
        <n v="159560.72"/>
        <n v="84835.26"/>
        <n v="5661.539999999999"/>
        <n v="185396.88"/>
        <n v="15095.43"/>
        <n v="8322.52"/>
        <n v="89669.7"/>
        <n v="112610.96"/>
        <n v="135939.0"/>
        <n v="92355.0"/>
        <n v="116907.05"/>
        <n v="3347.61"/>
        <n v="40676.96000000001"/>
        <n v="10439.17"/>
        <n v="122597.23000000001"/>
        <n v="77654.2"/>
        <n v="130106.2"/>
        <n v="44814.4"/>
        <n v="30669.210000000003"/>
        <n v="68990.46"/>
        <n v="110073.62000000001"/>
        <n v="17177.32"/>
        <n v="141882.0"/>
        <n v="40637.1"/>
        <n v="12506.699999999999"/>
        <n v="24913.79"/>
        <n v="115336.08511764708"/>
        <n v="154333.9"/>
        <n v="15255.0"/>
        <n v="33644.189999999995"/>
        <n v="12209.33"/>
        <n v="14061.6"/>
        <n v="47674.130000000005"/>
        <n v="37336.86"/>
        <n v="75935.38"/>
        <n v="30956.005529411766"/>
        <n v="82098.9"/>
        <n v="23346.02532352941"/>
        <n v="31238.35"/>
        <n v="10332.630000000001"/>
        <n v="153872.07"/>
        <n v="15495.76"/>
        <n v="131364.0"/>
        <n v="117333.2467647059"/>
        <n v="62705.4"/>
        <n v="81631.14"/>
        <n v="70305.53"/>
        <n v="66620.25"/>
        <n v="3049.8"/>
        <n v="69269.1"/>
        <n v="53995.62"/>
        <n v="30387.87"/>
        <n v="143898.62"/>
        <n v="22387.64"/>
        <n v="33735.48"/>
        <n v="45544.63"/>
        <n v="32534.84"/>
        <n v="54210.0"/>
        <n v="87635.76000000001"/>
        <n v="22616.28"/>
        <n v="43088.88"/>
        <n v="73932.8"/>
        <n v="36807.77"/>
        <n v="110565.8"/>
        <n v="63622.0"/>
        <n v="31087.84"/>
        <n v="111516.94"/>
        <n v="41261.649999999994"/>
        <n v="627.52"/>
        <n v="31438.8"/>
        <n v="12983.24"/>
        <n v="11096.460000000001"/>
        <n v="96412.27"/>
        <n v="75286.98"/>
        <n v="13320.0"/>
        <n v="1668.8"/>
        <n v="142593.0"/>
        <n v="64282.53"/>
        <n v="42190.03979411765"/>
        <n v="159848.4"/>
        <n v="4223.62"/>
        <n v="49475.42"/>
        <n v="14465.28"/>
        <n v="85372.4"/>
        <n v="11132.03"/>
        <n v="44223.4"/>
        <n v="118131.48"/>
        <n v="48117.0"/>
        <n v="14515.939999999999"/>
        <n v="110390.04"/>
        <n v="5242.5493235294125"/>
        <n v="23453.600000000002"/>
        <n v="104408.73"/>
        <n v="68968.0"/>
        <n v="10440.1"/>
        <n v="7150.0"/>
        <n v="29984.120000000003"/>
        <n v="23519.16"/>
        <n v="73747.08"/>
        <n v="4721.08"/>
        <n v="99294.20999999999"/>
        <n v="90941.68000000001"/>
        <n v="128563.71"/>
        <n v="44512.149999999994"/>
        <n v="197785.03"/>
        <n v="99291.84"/>
        <n v="101821.5"/>
        <n v="3770.2400000000002"/>
        <n v="165292.35"/>
        <n v="31354.120000000003"/>
        <n v="50510.43"/>
        <n v="14193.76"/>
        <n v="26709.4"/>
        <n v="28127.66"/>
        <n v="21927.63"/>
        <n v="23980.440000000002"/>
        <n v="18413.920000000002"/>
        <n v="123946.61000000002"/>
        <n v="23850.54"/>
        <n v="69384.8"/>
        <n v="56029.05"/>
        <n v="15849.300000000001"/>
        <n v="6609.599999999999"/>
        <n v="47340.649999999994"/>
        <n v="99769.4"/>
        <n v="120662.08000000002"/>
        <n v="47233.24"/>
        <n v="129787.18"/>
        <n v="43827.11"/>
        <n v="68699.7035882353"/>
        <n v="15330.72"/>
        <n v="14208.689999999999"/>
        <n v="1977.3"/>
        <n v="9874.41"/>
        <n v="152628.69999999998"/>
        <n v="35005.799999999996"/>
        <n v="39586.69"/>
        <n v="140469.08"/>
        <n v="16624.6"/>
        <n v="3754.41"/>
        <n v="232738.38"/>
        <n v="16948.02"/>
        <n v="72819.69"/>
        <n v="154167.30000000002"/>
        <n v="53088.12"/>
        <n v="2747.67"/>
        <n v="23156.399999999998"/>
        <n v="122386.31999999999"/>
        <n v="92224.74"/>
        <n v="66677.66"/>
        <n v="15857.4"/>
        <n v="94112.07999999999"/>
        <n v="204588.75"/>
        <n v="117897.0"/>
        <n v="220772.37"/>
        <n v="3994.3232941176475"/>
        <n v="12735.699999999999"/>
        <n v="117446.84"/>
        <n v="7456.679999999999"/>
        <n v="11990.55"/>
        <n v="114473.2"/>
        <n v="14297.36"/>
        <n v="184403.25"/>
        <n v="220534.8"/>
        <n v="176646.6"/>
        <n v="3335.93"/>
        <n v="70992.0"/>
        <n v="2065.35"/>
        <n v="160557.0"/>
        <n v="168475.03"/>
        <n v="108854.34999999999"/>
        <n v="65238.6"/>
        <n v="5865.34"/>
        <n v="208351.44"/>
        <n v="17497.079999999998"/>
        <n v="176654.66"/>
        <n v="95098.08"/>
        <n v="7293.599999999999"/>
        <n v="91361.20000000001"/>
        <n v="64339.200000000004"/>
        <n v="93183.3"/>
        <n v="50940.42"/>
        <n v="23847.6"/>
        <n v="73651.11"/>
        <n v="82123.47"/>
        <n v="41736.14"/>
        <n v="50622.08"/>
        <n v="105970.29000000001"/>
        <n v="1140.18"/>
        <n v="9163.6"/>
        <n v="41361.84"/>
        <n v="11630.88"/>
        <n v="77699.52"/>
        <n v="87441.12"/>
        <n v="106926.77"/>
        <n v="116615.1"/>
        <n v="190533.15000000002"/>
        <n v="46212.55"/>
        <n v="104359.77844117647"/>
        <n v="1767.3"/>
        <n v="24570.0"/>
        <n v="125666.64"/>
        <n v="46408.799999999996"/>
        <n v="108913.92"/>
        <n v="18619.530000000002"/>
        <n v="75056.15999999999"/>
        <n v="58453.2"/>
        <n v="161626.5"/>
        <n v="121510.62"/>
        <n v="163183.68"/>
        <n v="58062.48"/>
        <n v="30074.29"/>
        <n v="15668.92"/>
        <n v="205828.36000000002"/>
        <n v="7897.68"/>
        <n v="33026.939999999995"/>
        <n v="46575.86"/>
        <n v="41658.4"/>
        <n v="33330.99"/>
        <n v="25325.7"/>
        <n v="89760.51"/>
        <n v="5542.53"/>
        <n v="95286.09999999999"/>
        <n v="130242.0"/>
        <n v="58257.990000000005"/>
        <n v="10532.16"/>
        <n v="12633.928205882352"/>
        <n v="24855.870000000003"/>
        <n v="89095.04999999999"/>
        <n v="235447.36000000002"/>
        <n v="63520.380000000005"/>
        <n v="26890.26"/>
        <n v="20988.0"/>
        <n v="7316.97"/>
        <n v="35278.32"/>
        <n v="3469.32"/>
        <n v="27662.28"/>
        <n v="23466.66"/>
        <n v="20111.52"/>
        <n v="181878.84"/>
        <n v="77020.12"/>
        <n v="21972.559999999998"/>
        <n v="178645.6"/>
        <n v="36079.1"/>
        <n v="8765.460000000001"/>
        <n v="19691.75"/>
        <n v="2430.36"/>
        <n v="127036.8"/>
        <n v="107384.12999999999"/>
        <n v="76463.79882352942"/>
        <n v="9549.599999999999"/>
        <n v="52661.34"/>
        <n v="21138.81"/>
        <n v="39469.700000000004"/>
        <n v="210386.88"/>
        <n v="70399.94805882353"/>
        <n v="109691.14000000001"/>
        <n v="32227.3"/>
        <n v="53927.48"/>
        <n v="59165.91379411765"/>
        <n v="7673.94"/>
        <n v="59038.0"/>
        <n v="178922.52000000002"/>
        <n v="174173.97"/>
        <n v="25944.8"/>
        <n v="47911.549999999996"/>
        <n v="10171.980000000001"/>
        <n v="47968.799999999996"/>
        <n v="153653.84"/>
        <n v="19365.48"/>
        <n v="109080.0"/>
        <n v="6813.09"/>
        <n v="34147.979999999996"/>
        <n v="25935.46"/>
        <n v="8671.86"/>
        <n v="91745.94"/>
        <n v="37401.28"/>
        <n v="154792.95"/>
        <n v="11166.259999999998"/>
        <n v="26087.460000000003"/>
        <n v="52837.5"/>
        <n v="31256.160000000003"/>
        <n v="59419.5"/>
        <n v="9189.74"/>
        <n v="4513.4"/>
        <n v="112728.4"/>
        <n v="56419.81652941177"/>
        <n v="44486.16729411765"/>
        <n v="45538.86"/>
        <n v="131758.06"/>
        <n v="68943.93000000001"/>
        <n v="125091.48000000001"/>
        <n v="99149.59455882353"/>
        <n v="25590.56"/>
        <n v="31468.74"/>
        <n v="14994.999999999998"/>
        <n v="83471.9"/>
        <n v="15864.4"/>
        <n v="67573.16"/>
        <n v="17076.95"/>
        <n v="37854.310000000005"/>
        <n v="196715.44"/>
        <n v="29944.05"/>
        <n v="12638.779999999999"/>
        <n v="30578.6"/>
        <n v="14061.22"/>
        <n v="39194.29732352942"/>
        <n v="58083.9"/>
        <n v="25163.86"/>
        <n v="100087.95"/>
        <n v="42164.25"/>
        <n v="7758.41"/>
        <n v="49222.93073529412"/>
        <n v="2031.26"/>
        <n v="116475.84"/>
        <n v="57818.710529411765"/>
        <n v="41169.04"/>
        <n v="137399.8"/>
        <n v="20701.62"/>
        <n v="204914.52"/>
        <n v="27460.66"/>
        <n v="47330.0"/>
        <n v="14570.57"/>
        <n v="86191.35"/>
        <n v="23993.76"/>
        <n v="83593.37000000001"/>
        <n v="1435.6155"/>
        <n v="56642.56"/>
        <n v="48580.29"/>
        <n v="43932.81"/>
        <n v="25459.85"/>
        <n v="9776.64"/>
        <n v="239220.11"/>
        <n v="1714.65"/>
        <n v="142041.59999999998"/>
        <n v="168446.02"/>
        <n v="39441.54"/>
        <n v="124507.98000000001"/>
        <n v="23868.0"/>
        <n v="43110.240000000005"/>
        <n v="181704.6"/>
        <n v="57158.64"/>
        <n v="122173.79999999999"/>
        <n v="4606.0199999999995"/>
        <n v="22726.06"/>
        <n v="2971.6800000000003"/>
        <n v="23272.32"/>
        <n v="27269.280000000002"/>
        <n v="74005.25"/>
      </sharedItems>
    </cacheField>
    <cacheField name="Total Cost" numFmtId="165">
      <sharedItems containsSemiMixedTypes="0" containsString="0" containsNumber="1">
        <n v="36096.0"/>
        <n v="47685.44"/>
        <n v="17388.06"/>
        <n v="3687.66"/>
        <n v="155977.12"/>
        <n v="5552.679999999999"/>
        <n v="12820.38"/>
        <n v="94389.29999999999"/>
        <n v="26817.519999999997"/>
        <n v="142352.88"/>
        <n v="54212.15"/>
        <n v="109427.5"/>
        <n v="20966.12"/>
        <n v="95089.12000000001"/>
        <n v="7523.76"/>
        <n v="73064.97"/>
        <n v="65499.2"/>
        <n v="107607.26"/>
        <n v="39577.05"/>
        <n v="28623.87"/>
        <n v="23932.53"/>
        <n v="39989.310000000005"/>
        <n v="15081.560000000001"/>
        <n v="42370.25"/>
        <n v="2055.35"/>
        <n v="29708.7"/>
        <n v="26663.0"/>
        <n v="176950.62"/>
        <n v="108132.9"/>
        <n v="33590.700000000004"/>
        <n v="28403.16"/>
        <n v="9446.22"/>
        <n v="39326.6"/>
        <n v="56698.22"/>
        <n v="18769.8"/>
        <n v="128704.58"/>
        <n v="41176.68"/>
        <n v="25034.1"/>
        <n v="97552.76020588235"/>
        <n v="21477.95"/>
        <n v="13092.31"/>
        <n v="18316.98"/>
        <n v="9424.66"/>
        <n v="72421.08"/>
        <n v="44443.200000000004"/>
        <n v="8322.18"/>
        <n v="92719.72"/>
        <n v="13704.47"/>
        <n v="53669.25"/>
        <n v="58454.759999999995"/>
        <n v="120988.05"/>
        <n v="19921.35"/>
        <n v="34428.88"/>
        <n v="771.06"/>
        <n v="614.7199999999999"/>
        <n v="16443.76"/>
        <n v="46070.47"/>
        <n v="27734.18"/>
        <n v="63008.700000000004"/>
        <n v="29138.76"/>
        <n v="4659.12"/>
        <n v="68983.98"/>
        <n v="57416.1"/>
        <n v="44492.24"/>
        <n v="43927.75"/>
        <n v="34654.0"/>
        <n v="11466.880000000001"/>
        <n v="13662.699999999999"/>
        <n v="61761.47"/>
        <n v="1721.92"/>
        <n v="10330.5"/>
        <n v="67651.44"/>
        <n v="13390.92"/>
        <n v="82045.23"/>
        <n v="24019.8"/>
        <n v="3783.6000000000004"/>
        <n v="2876.16"/>
        <n v="30950.250000000004"/>
        <n v="105980.94"/>
        <n v="57377.189999999995"/>
        <n v="107984.15999999999"/>
        <n v="141493.5"/>
        <n v="27239.370000000003"/>
        <n v="12591.36"/>
        <n v="60627.76"/>
        <n v="19214.65"/>
        <n v="70696.85"/>
        <n v="19330.800000000003"/>
        <n v="33552.9"/>
        <n v="33161.6"/>
        <n v="49051.98"/>
        <n v="1160.25"/>
        <n v="51254.4"/>
        <n v="145296.45"/>
        <n v="54449.77"/>
        <n v="6006.66"/>
        <n v="4262.5"/>
        <n v="40727.76"/>
        <n v="15951.5"/>
        <n v="80840.1"/>
        <n v="6563.96"/>
        <n v="29940.66"/>
        <n v="6431.04"/>
        <n v="6886.11"/>
        <n v="29514.539999999997"/>
        <n v="49269.17"/>
        <n v="91476.42"/>
        <n v="75073.01999999999"/>
        <n v="18555.36"/>
        <n v="20569.0"/>
        <n v="25051.88"/>
        <n v="146412.99"/>
        <n v="45889.600000000006"/>
        <n v="21694.54"/>
        <n v="78565.29999999999"/>
        <n v="57411.200000000004"/>
        <n v="168958.01"/>
        <n v="51879.759999999995"/>
        <n v="161066.18"/>
        <n v="3794.31"/>
        <n v="14675.039999999999"/>
        <n v="61020.96000000001"/>
        <n v="17353.5"/>
        <n v="157434.84"/>
        <n v="9301.669999999998"/>
        <n v="23203.95"/>
        <n v="153747.50999999998"/>
        <n v="37081.92"/>
        <n v="154264.63"/>
        <n v="82930.4"/>
        <n v="50973.306852941176"/>
        <n v="35515.560000000005"/>
        <n v="36411.15"/>
        <n v="2400.58"/>
        <n v="7475.58"/>
        <n v="75260.25"/>
        <n v="144820.2"/>
        <n v="17760.21"/>
        <n v="151411.38999999998"/>
        <n v="36040.84"/>
        <n v="652.24"/>
        <n v="8273.789999999999"/>
        <n v="38569.71"/>
        <n v="57881.700000000004"/>
        <n v="101193.75"/>
        <n v="12259.26"/>
        <n v="3248.16"/>
        <n v="37611.44"/>
        <n v="45940.439999999995"/>
        <n v="39586.049999999996"/>
        <n v="68620.45"/>
        <n v="100973.6"/>
        <n v="88981.44"/>
        <n v="139716.65000000002"/>
        <n v="55859.7"/>
        <n v="77868.07"/>
        <n v="3532.0"/>
        <n v="12636.9"/>
        <n v="11857.400000000001"/>
        <n v="7176.54"/>
        <n v="4987.84"/>
        <n v="77768.08"/>
        <n v="31658.879999999997"/>
        <n v="133207.75"/>
        <n v="41149.920000000006"/>
        <n v="182725.92"/>
        <n v="17929.870000000003"/>
        <n v="2952.0"/>
        <n v="3627.75"/>
        <n v="51928.16"/>
        <n v="12976.84"/>
        <n v="90242.34999999999"/>
        <n v="56550.9"/>
        <n v="4660.889999999999"/>
        <n v="61733.76"/>
        <n v="5598.72"/>
        <n v="77460.73999999999"/>
        <n v="23580.3"/>
        <n v="9380.64"/>
        <n v="103118.4"/>
        <n v="80359.68000000001"/>
        <n v="72726.78"/>
        <n v="10680.44"/>
        <n v="1630.44"/>
        <n v="17564.100000000002"/>
        <n v="71345.34"/>
        <n v="5533.59"/>
        <n v="27903.600000000002"/>
        <n v="104062.74"/>
        <n v="14571.24"/>
        <n v="2081.65"/>
        <n v="51933.96"/>
        <n v="13372.920000000002"/>
        <n v="55292.16"/>
        <n v="69002.78"/>
        <n v="2760.46"/>
        <n v="97260.1"/>
        <n v="120888.76000000001"/>
        <n v="12942.14"/>
        <n v="90065.04014705883"/>
        <n v="3145.8"/>
        <n v="68178.24"/>
        <n v="120690.68"/>
        <n v="32932.68"/>
        <n v="176912.8"/>
        <n v="27879.539999999997"/>
        <n v="60706.71"/>
        <n v="11525.279999999999"/>
        <n v="10548.0"/>
        <n v="59773.56"/>
        <n v="119500.92"/>
        <n v="29044.54"/>
        <n v="14521.58"/>
        <n v="113479.08000000002"/>
        <n v="19377.760000000002"/>
        <n v="6594.0"/>
        <n v="6593.76"/>
        <n v="175298.48"/>
        <n v="33777.36"/>
        <n v="20388.13"/>
        <n v="40098.3"/>
        <n v="48130.06"/>
        <n v="6378.96"/>
        <n v="84300.04"/>
        <n v="68754.0"/>
        <n v="9582.72"/>
        <n v="2243.52"/>
        <n v="10062.103647058824"/>
        <n v="15987.99"/>
        <n v="154132.90000000002"/>
        <n v="84181.3"/>
        <n v="10167.08"/>
        <n v="22858.2"/>
        <n v="103375.43999999999"/>
        <n v="5052.4"/>
        <n v="31048.16"/>
        <n v="4053.96"/>
        <n v="14491.77"/>
        <n v="20778.030000000002"/>
        <n v="54851.67999999999"/>
        <n v="49797.0"/>
        <n v="106487.09999999999"/>
        <n v="149173.94"/>
        <n v="107834.12"/>
        <n v="52398.2"/>
        <n v="4994.55"/>
        <n v="70330.0"/>
        <n v="81509.94"/>
        <n v="134449.91999999998"/>
        <n v="138896.03"/>
        <n v="85320.59961764707"/>
        <n v="153.35999999999999"/>
        <n v="48651.84"/>
        <n v="70212.45"/>
        <n v="58477.85"/>
        <n v="140587.36000000002"/>
        <n v="95062.20000000001"/>
        <n v="73973.29"/>
        <n v="49445.9"/>
        <n v="18022.36"/>
        <n v="36825.06"/>
        <n v="4645.08"/>
        <n v="54705.00000000001"/>
        <n v="39006.450000000004"/>
        <n v="25753.05"/>
        <n v="87211.92"/>
        <n v="613.25"/>
        <n v="9196.74"/>
        <n v="5360.150000000001"/>
        <n v="24152.260000000002"/>
        <n v="6007.77"/>
        <n v="63141.159999999996"/>
        <n v="11835.49"/>
        <n v="74891.44"/>
        <n v="44694.36"/>
        <n v="23483.52"/>
        <n v="12426.7"/>
        <n v="25956.76"/>
        <n v="137221.99"/>
        <n v="7573.58"/>
        <n v="67897.48999999999"/>
        <n v="90206.25"/>
        <n v="25131.600000000002"/>
        <n v="1947.7500000000002"/>
        <n v="5338.2"/>
        <n v="5106.4"/>
        <n v="19003.0"/>
        <n v="63004.27999999999"/>
        <n v="76484.27105882353"/>
        <n v="43603.02"/>
        <n v="37115.68"/>
        <n v="132490.4"/>
        <n v="57706.08"/>
        <n v="38549.219058823524"/>
        <n v="9533.48"/>
        <n v="28588.81"/>
        <n v="4793.5"/>
        <n v="61430.3"/>
        <n v="2285.65"/>
        <n v="123882.84"/>
        <n v="16890.5"/>
        <n v="49682.62"/>
        <n v="57196.96000000001"/>
        <n v="6323.45"/>
        <n v="81584.25"/>
        <n v="18949.65"/>
        <n v="7366.94"/>
        <n v="43173.43"/>
        <n v="67399.90000000001"/>
        <n v="63171.28999999999"/>
        <n v="128388.83"/>
        <n v="161593.5"/>
        <n v="20775.27"/>
        <n v="58112.998911764706"/>
        <n v="4310.9"/>
        <n v="15862.86"/>
        <n v="71831.95558823529"/>
        <n v="56906.3"/>
        <n v="110647.4"/>
        <n v="118300.41"/>
        <n v="158467.74"/>
        <n v="26958.420000000002"/>
        <n v="3042.5"/>
        <n v="55646.57"/>
        <n v="38084.549999999996"/>
        <n v="17025.12"/>
        <n v="37711.310000000005"/>
        <n v="49491.62882352941"/>
        <n v="64473.6"/>
        <n v="37131.93"/>
        <n v="51789.0"/>
        <n v="33170.51"/>
        <n v="3319.68"/>
        <n v="177624.16"/>
        <n v="41853.1"/>
        <n v="120007.68"/>
        <n v="2097.6"/>
        <n v="7787.2"/>
        <n v="33815.16"/>
        <n v="25403.04"/>
        <n v="52401.240000000005"/>
        <n v="169832.0"/>
        <n v="25064.16"/>
        <n v="2924.67"/>
        <n v="2061.54"/>
        <n v="5352.25"/>
        <n v="1348.0800000000002"/>
        <n v="41120.32"/>
        <n v="25912.079999999998"/>
        <n v="133994.0"/>
      </sharedItems>
    </cacheField>
    <cacheField name="Total Profit" numFmtId="165">
      <sharedItems containsSemiMixedTypes="0" containsString="0" containsNumber="1">
        <n v="-159.8000000000029"/>
        <n v="111875.28"/>
        <n v="67447.2"/>
        <n v="1973.8799999999992"/>
        <n v="29419.76000000001"/>
        <n v="9542.75"/>
        <n v="-4497.859999999999"/>
        <n v="-4719.599999999991"/>
        <n v="85793.44"/>
        <n v="-6413.880000000005"/>
        <n v="38142.85"/>
        <n v="7479.550000000003"/>
        <n v="-17618.51"/>
        <n v="-54412.16"/>
        <n v="2915.41"/>
        <n v="49532.26000000001"/>
        <n v="12155.0"/>
        <n v="22498.940000000002"/>
        <n v="5237.3499999999985"/>
        <n v="2045.3400000000038"/>
        <n v="45057.93000000001"/>
        <n v="70084.31"/>
        <n v="2095.7599999999984"/>
        <n v="99511.75"/>
        <n v="38581.75"/>
        <n v="-17202.0"/>
        <n v="-1749.2099999999991"/>
        <n v="-61614.53488235292"/>
        <n v="46201.0"/>
        <n v="-18335.700000000004"/>
        <n v="5241.029999999995"/>
        <n v="2763.1100000000006"/>
        <n v="-25265.0"/>
        <n v="-9024.089999999997"/>
        <n v="18567.06"/>
        <n v="-52769.2"/>
        <n v="-10220.674470588234"/>
        <n v="57064.799999999996"/>
        <n v="-74206.73488235295"/>
        <n v="9760.399999999998"/>
        <n v="-2759.6799999999985"/>
        <n v="135555.09"/>
        <n v="6071.1"/>
        <n v="58942.92"/>
        <n v="72890.04676470588"/>
        <n v="54383.22"/>
        <n v="-11088.580000000002"/>
        <n v="56601.06"/>
        <n v="12951.0"/>
        <n v="-55404.95999999999"/>
        <n v="-51718.95"/>
        <n v="34074.270000000004"/>
        <n v="-4041.0099999999984"/>
        <n v="143127.56"/>
        <n v="21772.92"/>
        <n v="17291.720000000005"/>
        <n v="-525.8400000000038"/>
        <n v="4800.66"/>
        <n v="-8798.700000000004"/>
        <n v="58497.000000000015"/>
        <n v="17957.16"/>
        <n v="-25895.1"/>
        <n v="16516.700000000004"/>
        <n v="-7684.470000000001"/>
        <n v="66638.05"/>
        <n v="28968.0"/>
        <n v="19620.96"/>
        <n v="97854.24"/>
        <n v="-20499.820000000007"/>
        <n v="-1094.4"/>
        <n v="21108.3"/>
        <n v="-54668.200000000004"/>
        <n v="-2294.459999999999"/>
        <n v="14367.040000000008"/>
        <n v="51267.17999999999"/>
        <n v="9536.4"/>
        <n v="-1207.36"/>
        <n v="111642.75"/>
        <n v="-41698.41"/>
        <n v="-15187.150205882346"/>
        <n v="51864.240000000005"/>
        <n v="-137269.88"/>
        <n v="22236.049999999996"/>
        <n v="1873.92"/>
        <n v="24744.639999999992"/>
        <n v="-8082.620000000001"/>
        <n v="-26473.450000000004"/>
        <n v="98800.68"/>
        <n v="14564.099999999999"/>
        <n v="-18645.66"/>
        <n v="61338.05999999999"/>
        <n v="4082.2993235294125"/>
        <n v="-27800.8"/>
        <n v="-40887.720000000016"/>
        <n v="14518.230000000003"/>
        <n v="4433.4400000000005"/>
        <n v="2887.5"/>
        <n v="-10743.64"/>
        <n v="7567.66"/>
        <n v="-7093.020000000004"/>
        <n v="-1842.88"/>
        <n v="69353.54999999999"/>
        <n v="84510.64000000001"/>
        <n v="121677.6"/>
        <n v="14997.609999999997"/>
        <n v="148515.86"/>
        <n v="7815.419999999998"/>
        <n v="26748.48000000001"/>
        <n v="-14785.12"/>
        <n v="144723.35"/>
        <n v="6302.240000000002"/>
        <n v="-95902.56"/>
        <n v="-31695.840000000004"/>
        <n v="5014.860000000001"/>
        <n v="-50437.639999999985"/>
        <n v="-35483.57000000001"/>
        <n v="-144977.57"/>
        <n v="-33465.84"/>
        <n v="-37119.56999999998"/>
        <n v="20056.23"/>
        <n v="54709.76"/>
        <n v="-4991.9100000000035"/>
        <n v="-1504.199999999999"/>
        <n v="-150825.24"/>
        <n v="38038.979999999996"/>
        <n v="76565.45"/>
        <n v="-33085.429999999964"/>
        <n v="10151.32"/>
        <n v="-24477.45000000001"/>
        <n v="-39103.28999999999"/>
        <n v="17726.396735294118"/>
        <n v="-20184.840000000004"/>
        <n v="-22202.460000000003"/>
        <n v="-423.28"/>
        <n v="2398.83"/>
        <n v="77368.44999999998"/>
        <n v="-109814.40000000002"/>
        <n v="21826.480000000003"/>
        <n v="-10942.309999999998"/>
        <n v="-19416.239999999998"/>
        <n v="3102.17"/>
        <n v="224464.59"/>
        <n v="-21621.69"/>
        <n v="14937.989999999998"/>
        <n v="52973.55000000002"/>
        <n v="40828.86"/>
        <n v="-500.4899999999998"/>
        <n v="-14455.040000000005"/>
        <n v="76445.88"/>
        <n v="52638.69000000001"/>
        <n v="-1942.7899999999936"/>
        <n v="-85116.20000000001"/>
        <n v="5130.639999999985"/>
        <n v="64872.09999999998"/>
        <n v="62037.3"/>
        <n v="142904.3"/>
        <n v="462.3232941176475"/>
        <n v="98.79999999999927"/>
        <n v="105589.44"/>
        <n v="280.1399999999994"/>
        <n v="7002.709999999999"/>
        <n v="36705.119999999995"/>
        <n v="-17361.519999999997"/>
        <n v="51195.5"/>
        <n v="179384.87999999998"/>
        <n v="-6079.320000000007"/>
        <n v="-14593.940000000002"/>
        <n v="68040.0"/>
        <n v="-1562.4"/>
        <n v="108628.84"/>
        <n v="155498.19"/>
        <n v="18612.0"/>
        <n v="8687.699999999997"/>
        <n v="1204.4500000000007"/>
        <n v="146617.68"/>
        <n v="11898.359999999997"/>
        <n v="99193.92000000001"/>
        <n v="71517.78"/>
        <n v="-2087.04"/>
        <n v="-11757.199999999983"/>
        <n v="-16020.480000000003"/>
        <n v="20456.520000000004"/>
        <n v="40259.979999999996"/>
        <n v="22217.16"/>
        <n v="56087.009999999995"/>
        <n v="10778.130000000005"/>
        <n v="36202.55"/>
        <n v="22718.48"/>
        <n v="1907.550000000003"/>
        <n v="-13431.06"/>
        <n v="7081.950000000001"/>
        <n v="-10572.120000000003"/>
        <n v="-1742.0400000000027"/>
        <n v="22407.36"/>
        <n v="18438.339999999997"/>
        <n v="104166.31"/>
        <n v="19355.0"/>
        <n v="69644.39000000001"/>
        <n v="33270.41"/>
        <n v="14294.738294117647"/>
        <n v="-1378.5000000000002"/>
        <n v="-43608.240000000005"/>
        <n v="4975.960000000006"/>
        <n v="13476.119999999995"/>
        <n v="-67998.87999999999"/>
        <n v="-9260.009999999995"/>
        <n v="14349.44999999999"/>
        <n v="46927.92"/>
        <n v="151078.5"/>
        <n v="61737.06"/>
        <n v="43682.759999999995"/>
        <n v="29017.940000000002"/>
        <n v="15552.710000000001"/>
        <n v="-97810.16000000002"/>
        <n v="186450.6"/>
        <n v="1303.6800000000003"/>
        <n v="26433.179999999993"/>
        <n v="-128722.62000000001"/>
        <n v="7881.040000000001"/>
        <n v="12942.859999999997"/>
        <n v="-14772.600000000002"/>
        <n v="41630.45"/>
        <n v="-836.4300000000003"/>
        <n v="10986.059999999998"/>
        <n v="61488.0"/>
        <n v="48675.270000000004"/>
        <n v="8288.64"/>
        <n v="2571.8245588235277"/>
        <n v="8867.880000000003"/>
        <n v="-65037.850000000035"/>
        <n v="151266.06"/>
        <n v="53353.3"/>
        <n v="4032.0599999999977"/>
        <n v="-82387.43999999999"/>
        <n v="2264.5700000000006"/>
        <n v="4230.16"/>
        <n v="-584.6399999999999"/>
        <n v="13170.509999999998"/>
        <n v="2688.6299999999974"/>
        <n v="-34740.15999999999"/>
        <n v="132081.84"/>
        <n v="-29466.979999999996"/>
        <n v="-127201.38"/>
        <n v="70811.48000000001"/>
        <n v="-16319.099999999999"/>
        <n v="3770.9100000000008"/>
        <n v="-50638.25"/>
        <n v="-79079.58"/>
        <n v="-7413.119999999981"/>
        <n v="-31511.90000000001"/>
        <n v="-8856.800794117647"/>
        <n v="9396.239999999998"/>
        <n v="4009.5"/>
        <n v="-49073.64"/>
        <n v="-19008.149999999994"/>
        <n v="69799.51999999999"/>
        <n v="-24662.25194117648"/>
        <n v="35717.85000000002"/>
        <n v="-17218.600000000002"/>
        <n v="35905.12"/>
        <n v="22340.853794117655"/>
        <n v="3028.8599999999997"/>
        <n v="4332.999999999993"/>
        <n v="139916.07"/>
        <n v="148420.92"/>
        <n v="-61267.119999999995"/>
        <n v="47298.299999999996"/>
        <n v="975.2400000000016"/>
        <n v="42608.649999999994"/>
        <n v="129501.57999999999"/>
        <n v="13357.71"/>
        <n v="45938.840000000004"/>
        <n v="-5022.4"/>
        <n v="-40743.46000000001"/>
        <n v="-18758.9"/>
        <n v="-14811.66"/>
        <n v="79319.24"/>
        <n v="11444.52"/>
        <n v="17570.96000000002"/>
        <n v="3592.6799999999985"/>
        <n v="-41810.029999999984"/>
        <n v="-37368.75"/>
        <n v="6124.560000000001"/>
        <n v="57471.75"/>
        <n v="3851.54"/>
        <n v="-593.0"/>
        <n v="93725.4"/>
        <n v="-6584.46347058822"/>
        <n v="-31998.103764705884"/>
        <n v="1935.8400000000038"/>
        <n v="94642.38"/>
        <n v="-63546.46999999999"/>
        <n v="67385.40000000001"/>
        <n v="60600.37550000001"/>
        <n v="16057.080000000002"/>
        <n v="2879.9300000000003"/>
        <n v="10201.499999999998"/>
        <n v="22041.59999999999"/>
        <n v="13578.75"/>
        <n v="-56309.67999999999"/>
        <n v="186.45000000000073"/>
        <n v="-11828.309999999998"/>
        <n v="139518.47999999998"/>
        <n v="23620.6"/>
        <n v="-68945.47"/>
        <n v="11628.949999999997"/>
        <n v="6694.28"/>
        <n v="-3979.132676470581"/>
        <n v="-9316.000000000007"/>
        <n v="-38007.42999999999"/>
        <n v="-28300.880000000005"/>
        <n v="-119429.25"/>
        <n v="-13016.86"/>
        <n v="-8890.068176470588"/>
        <n v="-2279.6399999999994"/>
        <n v="100612.98"/>
        <n v="-14013.245058823522"/>
        <n v="-15737.260000000002"/>
        <n v="26752.399999999994"/>
        <n v="-97598.79000000001"/>
        <n v="46446.78"/>
        <n v="502.23999999999796"/>
        <n v="44287.5"/>
        <n v="-41076.0"/>
        <n v="48106.80000000001"/>
        <n v="6968.639999999999"/>
        <n v="45882.060000000005"/>
        <n v="-48056.01332352941"/>
        <n v="-7831.040000000001"/>
        <n v="11448.36"/>
        <n v="-7856.190000000002"/>
        <n v="-7710.6600000000035"/>
        <n v="6456.959999999999"/>
        <n v="61595.94999999998"/>
        <n v="-40138.45"/>
        <n v="22033.919999999984"/>
        <n v="166348.41999999998"/>
        <n v="31654.34"/>
        <n v="90692.82"/>
        <n v="-1535.0400000000009"/>
        <n v="-9291.0"/>
        <n v="11872.600000000006"/>
        <n v="32094.48"/>
        <n v="119249.12999999999"/>
        <n v="2544.4799999999996"/>
        <n v="17373.81"/>
        <n v="1623.6000000000001"/>
        <n v="-17848.0"/>
        <n v="1357.2000000000044"/>
        <n v="-59988.75"/>
      </sharedItems>
    </cacheField>
    <cacheField name="Profit Margin" numFmtId="167">
      <sharedItems containsSemiMixedTypes="0" containsString="0" containsNumber="1">
        <n v="-0.00444676955270738"/>
        <n v="0.7011454949564028"/>
        <n v="0.7950373464995569"/>
        <n v="0.3486471878676119"/>
        <n v="0.15868530257898628"/>
        <n v="0.6321615217320739"/>
        <n v="-0.5404444807582317"/>
        <n v="-0.05263316371081861"/>
        <n v="0.7618569276027839"/>
        <n v="-0.047182044887780585"/>
        <n v="0.41300254452926205"/>
        <n v="0.06397860522526232"/>
        <n v="-5.263011521652761"/>
        <n v="-1.337665351589696"/>
        <n v="0.27927603439737064"/>
        <n v="0.4040242997333627"/>
        <n v="0.15652727090099441"/>
        <n v="0.17292750076475988"/>
        <n v="0.11686756935270802"/>
        <n v="0.06669033861648226"/>
        <n v="0.6531037769569881"/>
        <n v="0.6367039623117691"/>
        <n v="0.1220073911413421"/>
        <n v="0.7013698002565513"/>
        <n v="0.9494218337430574"/>
        <n v="-1.3754227733934612"/>
        <n v="-0.07021051393625775"/>
        <n v="-0.5342173251285911"/>
        <n v="0.29935743216493593"/>
        <n v="-1.2019469026548675"/>
        <n v="0.15577815961686092"/>
        <n v="0.226311353694265"/>
        <n v="-1.79673721340388"/>
        <n v="-0.18928693612237907"/>
        <n v="0.4972849886144684"/>
        <n v="-0.6949224459007118"/>
        <n v="-0.3301677427624639"/>
        <n v="0.6950738682247875"/>
        <n v="-3.1785596843143704"/>
        <n v="0.31244928109199105"/>
        <n v="-0.26708398539384437"/>
        <n v="0.8809596829366109"/>
        <n v="0.3917910447761194"/>
        <n v="0.4486991869918699"/>
        <n v="0.6212224478103454"/>
        <n v="0.8672812867791291"/>
        <n v="-0.1358376227503377"/>
        <n v="0.8050726592915237"/>
        <n v="0.19440035124455401"/>
        <n v="-18.166751918158564"/>
        <n v="-0.7466381113656738"/>
        <n v="0.6310561856683932"/>
        <n v="-0.1329810217037258"/>
        <n v="0.9946416442353652"/>
        <n v="0.9725419919205418"/>
        <n v="0.5125677773074521"/>
        <n v="-0.011545598240670828"/>
        <n v="0.14755443702812124"/>
        <n v="-0.16230769230769237"/>
        <n v="0.6675014856948808"/>
        <n v="0.793992646005444"/>
        <n v="-0.6009694380545514"/>
        <n v="0.223401521381579"/>
        <n v="-0.20877303895346014"/>
        <n v="0.60270038293939"/>
        <n v="0.4553141994907422"/>
        <n v="0.6311458113526061"/>
        <n v="0.8774831877560486"/>
        <n v="-0.4968250179040346"/>
        <n v="-1.744008159102499"/>
        <n v="0.6714092140921409"/>
        <n v="-4.210674685209548"/>
        <n v="-0.20677405226531695"/>
        <n v="0.14901671747797254"/>
        <n v="0.6809567869504128"/>
        <n v="0.715945945945946"/>
        <n v="-0.723489932885906"/>
        <n v="0.7829469188529591"/>
        <n v="-0.6486740643219862"/>
        <n v="-0.35997003747789347"/>
        <n v="0.3244589248312777"/>
        <n v="-32.50052798310454"/>
        <n v="0.4494363059474785"/>
        <n v="0.12954605787098486"/>
        <n v="0.28984355599702005"/>
        <n v="-0.7260688302133573"/>
        <n v="-0.5986299108616706"/>
        <n v="0.8363619925865654"/>
        <n v="0.3026809651474531"/>
        <n v="-1.284495526986196"/>
        <n v="0.5556484987232543"/>
        <n v="0.778685916259746"/>
        <n v="-1.1853532080362927"/>
        <n v="-0.3916120807139405"/>
        <n v="0.2105067567567568"/>
        <n v="0.4246549362553999"/>
        <n v="0.40384615384615385"/>
        <n v="-0.3583109992889569"/>
        <n v="0.3217657433343708"/>
        <n v="-0.09618035046268957"/>
        <n v="-0.39035136028196943"/>
        <n v="0.6984651975175591"/>
        <n v="0.9292839103038344"/>
        <n v="0.9464381511703419"/>
        <n v="0.3369329497676477"/>
        <n v="0.7508953534046534"/>
        <n v="0.07871160409556313"/>
        <n v="0.26269972451790646"/>
        <n v="-3.9215328467153285"/>
        <n v="0.875559879207961"/>
        <n v="0.2010019735843328"/>
        <n v="-1.8986684532283729"/>
        <n v="-2.2330827067669174"/>
        <n v="0.18775637041640772"/>
        <n v="-1.7931687171986572"/>
        <n v="-1.6182127297842952"/>
        <n v="-6.045659295659295"/>
        <n v="-1.8174207338795865"/>
        <n v="-0.29948031656533386"/>
        <n v="0.8409130359312619"/>
        <n v="0.7884977689638076"/>
        <n v="-0.08909503195217487"/>
        <n v="-0.09490639965171956"/>
        <n v="-22.819117647058825"/>
        <n v="0.8035162170354653"/>
        <n v="0.7674241801594477"/>
        <n v="-0.27419906900328556"/>
        <n v="0.2149189850198716"/>
        <n v="-0.18859682443212045"/>
        <n v="-0.8922169406105033"/>
        <n v="0.25802726663190045"/>
        <n v="-1.3166270077334923"/>
        <n v="-1.5625972556231436"/>
        <n v="-0.2140696909927679"/>
        <n v="0.24293400820909805"/>
        <n v="0.5069063026809505"/>
        <n v="-3.1370344342937466"/>
        <n v="0.5513590552784282"/>
        <n v="-0.0778983531464718"/>
        <n v="-1.1679222357229648"/>
        <n v="0.8262736355379408"/>
        <n v="0.9644502552608641"/>
        <n v="-1.275764956614401"/>
        <n v="0.20513668761841747"/>
        <n v="0.3436108046258838"/>
        <n v="0.7690771494639478"/>
        <n v="-0.18215069495245054"/>
        <n v="-0.6242352006356776"/>
        <n v="0.624627654463342"/>
        <n v="0.5707653933207077"/>
        <n v="-0.02913704530122973"/>
        <n v="-5.36760124610592"/>
        <n v="0.05451627463764466"/>
        <n v="0.3170853724850461"/>
        <n v="0.5261991399272247"/>
        <n v="0.647292503133431"/>
        <n v="0.11574508623237906"/>
        <n v="0.007757720423690828"/>
        <n v="0.8990402806920987"/>
        <n v="0.037568998535541215"/>
        <n v="0.5840190816935003"/>
        <n v="0.32064378387255704"/>
        <n v="-1.2143164891980056"/>
        <n v="0.27762797022286756"/>
        <n v="0.8134084960740889"/>
        <n v="-0.034415154325076205"/>
        <n v="-4.374774051014261"/>
        <n v="0.9584178498985801"/>
        <n v="-0.7564819522114896"/>
        <n v="0.6765749235474006"/>
        <n v="0.9229746983870548"/>
        <n v="0.17098076466397533"/>
        <n v="0.13316809373591704"/>
        <n v="0.20535041446872657"/>
        <n v="0.7037037037037036"/>
        <n v="0.6800197518671686"/>
        <n v="0.5615131805750271"/>
        <n v="0.7520423125261835"/>
        <n v="-0.2861467588022376"/>
        <n v="-0.12868920285635457"/>
        <n v="-0.24900029841838262"/>
        <n v="0.21952989430509548"/>
        <n v="0.7903346694039821"/>
        <n v="0.9316308559351885"/>
        <n v="0.7615229424240856"/>
        <n v="0.131242993020144"/>
        <n v="0.8674149070805303"/>
        <n v="0.44878598429776095"/>
        <n v="0.018000800035557162"/>
        <n v="-11.779771615008155"/>
        <n v="0.7728349120433018"/>
        <n v="-0.2556008146639512"/>
        <n v="-0.14977714497957187"/>
        <n v="0.28838479311069104"/>
        <n v="0.21086578031022474"/>
        <n v="0.9741836398873733"/>
        <n v="0.16597336022521955"/>
        <n v="0.36552374219394373"/>
        <n v="0.719943175609223"/>
        <n v="0.13697555234055075"/>
        <n v="-0.7800033950093365"/>
        <n v="-1.7748571428571431"/>
        <n v="0.039596507076181925"/>
        <n v="0.290378548895899"/>
        <n v="-0.6243359893758299"/>
        <n v="-0.49732780580390556"/>
        <n v="0.19118284228769486"/>
        <n v="0.8028289298105151"/>
        <n v="0.9347384247013949"/>
        <n v="0.5080795407018744"/>
        <n v="0.26769073966220147"/>
        <n v="0.499770936411948"/>
        <n v="0.5171430480985586"/>
        <n v="-6.242303872889773"/>
        <n v="0.9058547617053354"/>
        <n v="0.16507126143373754"/>
        <n v="0.8003520762141451"/>
        <n v="-2.763719660785652"/>
        <n v="0.18918249380677127"/>
        <n v="0.38831309841081824"/>
        <n v="-0.5833047062864996"/>
        <n v="0.4637947132876139"/>
        <n v="-0.15091122646156183"/>
        <n v="0.11529551529551528"/>
        <n v="0.47210577233150597"/>
        <n v="0.8355123477483518"/>
        <n v="0.7869838665572874"/>
        <n v="0.2035649179663762"/>
        <n v="0.35677206229353475"/>
        <n v="-0.7299827543729988"/>
        <n v="0.6424623321323288"/>
        <n v="0.839939874415109"/>
        <n v="0.14994499867238167"/>
        <n v="-3.925454545454545"/>
        <n v="0.30949559722125425"/>
        <n v="0.11990820424555364"/>
        <n v="-0.16851717339420977"/>
        <n v="0.476118020640381"/>
        <n v="0.11457233368532196"/>
        <n v="-1.727376150584341"/>
        <n v="0.7262078425395719"/>
        <n v="-0.38258808217904616"/>
        <n v="-5.78910149750416"/>
        <n v="0.3963796477495108"/>
        <n v="-0.45231449786718625"/>
        <n v="0.4302010390783827"/>
        <n v="-2.57154645981185"/>
        <n v="-32.538216560509554"/>
        <n v="-0.058354114713216804"/>
        <n v="-0.2934502519133881"/>
        <n v="-0.11582998661311913"/>
        <n v="0.9839406886152299"/>
        <n v="0.07613744731903899"/>
        <n v="-2.321494918588132"/>
        <n v="-0.4815884083233466"/>
        <n v="0.33176745622160464"/>
        <n v="-0.35031633717356775"/>
        <n v="0.3256220146859629"/>
        <n v="-0.5342861487000153"/>
        <n v="0.6658037794460264"/>
        <n v="0.3775966998812551"/>
        <n v="0.3946942509323763"/>
        <n v="0.0733934076357599"/>
        <n v="0.7819925071477866"/>
        <n v="0.8521417982262218"/>
        <n v="-2.361441213653603"/>
        <n v="0.9872003723528043"/>
        <n v="0.09587513935340036"/>
        <n v="0.8882575757575757"/>
        <n v="0.8428138209887888"/>
        <n v="0.6897691149406057"/>
        <n v="0.42114814814814816"/>
        <n v="-0.7371691846137362"/>
        <n v="-1.1931440747007587"/>
        <n v="-0.7232915861141465"/>
        <n v="-1.7080141976461796"/>
        <n v="0.8645531344493282"/>
        <n v="0.30599273607748184"/>
        <n v="0.11351266320591487"/>
        <n v="0.32174425456688266"/>
        <n v="-1.602686884809789"/>
        <n v="-0.7072391767210788"/>
        <n v="0.1959472948692354"/>
        <n v="0.9672203569535254"/>
        <n v="0.41911305434103685"/>
        <n v="-0.13138653786502416"/>
        <n v="0.8314266857331427"/>
        <n v="-0.11670480117842505"/>
        <n v="-0.7192820984813622"/>
        <n v="0.04250962804075473"/>
        <n v="0.7183042919727264"/>
        <n v="-0.9217123247833418"/>
        <n v="0.5386889658672197"/>
        <n v="0.6112014453477869"/>
        <n v="0.6274610637672642"/>
        <n v="0.09151716910178165"/>
        <n v="0.6803267755918639"/>
        <n v="0.264060120831082"/>
        <n v="0.8559258465495071"/>
        <n v="-0.8333142922426595"/>
        <n v="0.010918226029823869"/>
        <n v="-0.312469306665476"/>
        <n v="0.7092401084531035"/>
        <n v="0.7888244910090653"/>
        <n v="-5.455073195355881"/>
        <n v="0.3802970050950664"/>
        <n v="0.47608102284154574"/>
        <n v="-0.10152325588655975"/>
        <n v="-0.16038867913483784"/>
        <n v="-1.5103974509475093"/>
        <n v="-0.28276011248107297"/>
        <n v="-2.832476564862413"/>
        <n v="-1.6777741831122615"/>
        <n v="-0.18060826618144007"/>
        <n v="-1.1222787826275313"/>
        <n v="0.863809868209579"/>
        <n v="-0.24236522970700175"/>
        <n v="-0.38225958147190225"/>
        <n v="0.1947047957857289"/>
        <n v="-4.714548426644872"/>
        <n v="0.22666417196790156"/>
        <n v="0.01828943659766364"/>
        <n v="0.9357173040354955"/>
        <n v="-2.8191072826938135"/>
        <n v="0.558139534883721"/>
        <n v="0.2904355132334407"/>
        <n v="0.5488719978629885"/>
        <n v="-33.474153297682705"/>
        <n v="-0.13825363825363826"/>
        <n v="0.2356585355912861"/>
        <n v="-0.17882284333736"/>
        <n v="-0.3028556727553385"/>
        <n v="0.6604477611940298"/>
        <n v="0.2574865047925945"/>
        <n v="-23.409121395036884"/>
        <n v="0.15512300621789665"/>
        <n v="0.9875473460281222"/>
        <n v="0.8025634901679802"/>
        <n v="0.7284096971133899"/>
        <n v="-0.06431372549019612"/>
        <n v="-0.21551724137931033"/>
        <n v="0.06534011797169695"/>
        <n v="0.5614983141656275"/>
        <n v="0.9760613977792293"/>
        <n v="0.5524248700613544"/>
        <n v="0.7644884331027904"/>
        <n v="0.5463576158940397"/>
        <n v="-0.7669196710942442"/>
        <n v="0.049770290964778106"/>
        <n v="-0.810601274909550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Margin_Analysis"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axis="axisRow" compact="0" outline="0" multipleItemSelectionAllowed="1" showAll="0" sortType="ascending">
      <items>
        <item x="4"/>
        <item x="0"/>
        <item x="1"/>
        <item x="3"/>
        <item x="2"/>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2"/>
  </rowFields>
  <dataFields>
    <dataField name="Average of Profits " fld="12" subtotal="average" baseField="0"/>
  </dataFields>
</pivotTableDefinition>
</file>

<file path=xl/pivotTables/pivotTable2.xml><?xml version="1.0" encoding="utf-8"?>
<pivotTableDefinition xmlns="http://schemas.openxmlformats.org/spreadsheetml/2006/main" name="Pivot_Analysis" cacheId="0"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x="0"/>
        <item x="2"/>
        <item x="4"/>
        <item x="3"/>
        <item x="1"/>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1"/>
  </rowFields>
  <dataFields>
    <dataField name="Average Profit by Region" fld="12" subtotal="average" baseField="0"/>
  </dataFields>
</pivotTableDefinition>
</file>

<file path=xl/pivotTables/pivotTable3.xml><?xml version="1.0" encoding="utf-8"?>
<pivotTableDefinition xmlns="http://schemas.openxmlformats.org/spreadsheetml/2006/main" name="Category &amp; region" cacheId="1" dataCaption="" compact="0" compactData="0">
  <location ref="A1:C31" firstHeaderRow="0" firstDataRow="2"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defaultSubtotal="0">
      <items>
        <item x="0"/>
        <item x="2"/>
        <item x="4"/>
        <item x="3"/>
        <item x="1"/>
      </items>
    </pivotField>
    <pivotField name="Country" compact="0" outline="0" multipleItemSelectionAllowed="1" showAll="0">
      <items>
        <item x="0"/>
        <item x="1"/>
        <item x="2"/>
        <item x="3"/>
        <item x="4"/>
        <item t="default"/>
      </items>
    </pivotField>
    <pivotField name="Category" axis="axisRow" compact="0" outline="0" multipleItemSelectionAllowed="1" showAll="0" sortType="ascending">
      <items>
        <item x="0"/>
        <item x="2"/>
        <item x="4"/>
        <item x="1"/>
        <item x="3"/>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1"/>
    <field x="3"/>
  </rowFields>
  <dataFields>
    <dataField name="TOTAL SALES" fld="11" baseField="0"/>
  </dataFields>
</pivotTableDefinition>
</file>

<file path=xl/pivotTables/pivotTable4.xml><?xml version="1.0" encoding="utf-8"?>
<pivotTableDefinition xmlns="http://schemas.openxmlformats.org/spreadsheetml/2006/main" name="Dashboard" cacheId="2" dataCaption="" compact="0" compactData="0">
  <location ref="A1:B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axis="axisRow" compact="0" outline="0" multipleItemSelectionAllowed="1" showAll="0" sortType="ascending">
      <items>
        <item x="0"/>
        <item x="2"/>
        <item x="4"/>
        <item x="3"/>
        <item x="1"/>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1"/>
  </rowFields>
  <dataFields>
    <dataField name="Total Profit" fld="12" baseField="0"/>
  </dataFields>
</pivotTableDefinition>
</file>

<file path=xl/pivotTables/pivotTable5.xml><?xml version="1.0" encoding="utf-8"?>
<pivotTableDefinition xmlns="http://schemas.openxmlformats.org/spreadsheetml/2006/main" name="Dashboard 2" cacheId="2" dataCaption="" compact="0" compactData="0">
  <location ref="C5:C6" firstHeaderRow="0" firstDataRow="0" firstDataCol="0"/>
  <pivotFields>
    <pivotField name="Ord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dataFields>
    <dataField name="Total no of orders" fld="0" subtotal="count" baseField="0"/>
  </dataFields>
</pivotTableDefinition>
</file>

<file path=xl/pivotTables/pivotTable6.xml><?xml version="1.0" encoding="utf-8"?>
<pivotTableDefinition xmlns="http://schemas.openxmlformats.org/spreadsheetml/2006/main" name="Dashboard 3" cacheId="2" dataCaption="" compact="0" compactData="0">
  <location ref="D5:F6"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compact="0" outline="0" multipleItemSelectionAllowed="1" showAll="0">
      <items>
        <item x="0"/>
        <item x="1"/>
        <item x="2"/>
        <item x="3"/>
        <item x="4"/>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colFields>
    <field x="-2"/>
  </colFields>
  <dataFields>
    <dataField name="Total Profit" fld="12" baseField="0"/>
    <dataField name="Total Revenue" fld="10" baseField="0"/>
    <dataField name=" Total Cost" fld="11" baseField="0"/>
  </dataFields>
</pivotTableDefinition>
</file>

<file path=xl/pivotTables/pivotTable7.xml><?xml version="1.0" encoding="utf-8"?>
<pivotTableDefinition xmlns="http://schemas.openxmlformats.org/spreadsheetml/2006/main" name="Dashboard 4" cacheId="2" dataCaption="" compact="0" compactData="0">
  <location ref="A11:B17"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axis="axisRow" compact="0" outline="0" multipleItemSelectionAllowed="1" showAll="0" sortType="ascending">
      <items>
        <item x="4"/>
        <item x="0"/>
        <item x="1"/>
        <item x="3"/>
        <item x="2"/>
        <item t="default"/>
      </items>
    </pivotField>
    <pivotField name="Category" compact="0" outline="0" multipleItemSelectionAllowed="1" showAll="0">
      <items>
        <item x="0"/>
        <item x="1"/>
        <item x="2"/>
        <item x="3"/>
        <item x="4"/>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2"/>
  </rowFields>
  <dataFields>
    <dataField name="Total Revenue" fld="10" baseField="0"/>
  </dataFields>
</pivotTableDefinition>
</file>

<file path=xl/pivotTables/pivotTable8.xml><?xml version="1.0" encoding="utf-8"?>
<pivotTableDefinition xmlns="http://schemas.openxmlformats.org/spreadsheetml/2006/main" name="Dashboard 5" cacheId="2" dataCaption="" compact="0" compactData="0">
  <location ref="G17:I24" firstHeaderRow="0" firstDataRow="2"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Region" compact="0" outline="0" multipleItemSelectionAllowed="1" showAll="0">
      <items>
        <item x="0"/>
        <item x="1"/>
        <item x="2"/>
        <item x="3"/>
        <item x="4"/>
        <item t="default"/>
      </items>
    </pivotField>
    <pivotField name="Country" compact="0" outline="0" multipleItemSelectionAllowed="1" showAll="0">
      <items>
        <item x="0"/>
        <item x="1"/>
        <item x="2"/>
        <item x="3"/>
        <item x="4"/>
        <item t="default"/>
      </items>
    </pivotField>
    <pivotField name="Category" axis="axisRow" compact="0" outline="0" multipleItemSelectionAllowed="1" showAll="0" sortType="ascending">
      <items>
        <item x="0"/>
        <item x="2"/>
        <item x="4"/>
        <item x="1"/>
        <item x="3"/>
        <item x="5"/>
        <item t="default"/>
      </items>
    </pivotField>
    <pivotField name="Sales Channel" compact="0" outline="0" multipleItemSelectionAllowed="1" showAll="0">
      <items>
        <item x="0"/>
        <item x="1"/>
        <item t="default"/>
      </items>
    </pivotField>
    <pivotField name="Order Priority" compact="0" outline="0" multipleItemSelectionAllowed="1" showAll="0">
      <items>
        <item x="0"/>
        <item x="1"/>
        <item x="2"/>
        <item t="default"/>
      </items>
    </pivotField>
    <pivotField name="Order Dat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t="default"/>
      </items>
    </pivotField>
    <pivotField name="Unit Pric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t="default"/>
      </items>
    </pivotField>
    <pivotField name="Unit Cos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t="default"/>
      </items>
    </pivotField>
    <pivotField name="Total Revenu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Cos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Total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name="Profit Marg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s>
  <rowFields>
    <field x="3"/>
  </rowFields>
  <colFields>
    <field x="-2"/>
  </colFields>
  <dataFields>
    <dataField name="Total cost" fld="11" baseField="0"/>
    <dataField name="Total Price"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8_Col_1" sourceName="Region">
  <x14:extLst>
    <ext uri="{2F2917AC-EB37-4324-AD4E-5DD8C200BD13}">
      <x15:tableSlicerCache tableId="8"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0_Col_1" sourceName="Region">
  <x14:extLst>
    <ext uri="{2F2917AC-EB37-4324-AD4E-5DD8C200BD13}">
      <x15:tableSlicerCache tableId="10"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2_Col_1" sourceName="Region">
  <x14:extLst>
    <ext uri="{2F2917AC-EB37-4324-AD4E-5DD8C200BD13}">
      <x15:tableSlicerCache tableId="12"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3_Col_1" sourceName="Country">
  <x14:extLst>
    <ext uri="{2F2917AC-EB37-4324-AD4E-5DD8C200BD13}">
      <x15:tableSlicerCache tableId="13"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8_Col_1" caption="Regi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2" cache="SlicerCache_Table_10_Col_1" caption="Region"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3" cache="SlicerCache_Table_12_Col_1" caption="Region" rowHeight="247650"/>
  <x14:slicer name="Country_4" cache="SlicerCache_Table_13_Col_1" caption="Country" rowHeight="247650"/>
  <x14:slicer name="Country_5" cache="SlicerCache_Table_13_Col_1" caption="Country" rowHeight="247650"/>
</x14:slicers>
</file>

<file path=xl/tables/table1.xml><?xml version="1.0" encoding="utf-8"?>
<table xmlns="http://schemas.openxmlformats.org/spreadsheetml/2006/main" ref="B3:O353" displayName="Table1" name="Table1" id="1">
  <tableColumns count="14">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 name="Total Cost" id="12"/>
    <tableColumn name="Total Profit" id="13"/>
    <tableColumn name="Profit Margin" id="14"/>
  </tableColumns>
  <tableStyleInfo name="Cleaned_Data-style" showColumnStripes="0" showFirstColumn="1" showLastColumn="1" showRowStripes="1"/>
</table>
</file>

<file path=xl/tables/table2.xml><?xml version="1.0" encoding="utf-8"?>
<table xmlns="http://schemas.openxmlformats.org/spreadsheetml/2006/main" ref="B4:L354" displayName="Table_1" name="Table_1" id="2">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summarized data-style" showColumnStripes="0" showFirstColumn="1" showLastColumn="1" showRowStripes="1"/>
</table>
</file>

<file path=xl/tables/table3.xml><?xml version="1.0" encoding="utf-8"?>
<table xmlns="http://schemas.openxmlformats.org/spreadsheetml/2006/main" ref="C13:P363" displayName="Table_2" name="Table_2" id="3">
  <tableColumns count="14">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 name="Total Cost" id="12"/>
    <tableColumn name="Total Profit" id="13"/>
    <tableColumn name="Profit Margin" id="14"/>
  </tableColumns>
  <tableStyleInfo name="Q2-style" showColumnStripes="0" showFirstColumn="1" showLastColumn="1" showRowStripes="1"/>
</table>
</file>

<file path=xl/tables/table4.xml><?xml version="1.0" encoding="utf-8"?>
<table xmlns="http://schemas.openxmlformats.org/spreadsheetml/2006/main" ref="C16:M366" displayName="Table_3" name="Table_3" id="4">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3-style" showColumnStripes="0" showFirstColumn="1" showLastColumn="1" showRowStripes="1"/>
</table>
</file>

<file path=xl/tables/table5.xml><?xml version="1.0" encoding="utf-8"?>
<table xmlns="http://schemas.openxmlformats.org/spreadsheetml/2006/main" ref="B4:L354" displayName="Table_4" name="Table_4" id="5">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4-style" showColumnStripes="0" showFirstColumn="1" showLastColumn="1" showRowStripes="1"/>
</table>
</file>

<file path=xl/tables/table6.xml><?xml version="1.0" encoding="utf-8"?>
<table xmlns="http://schemas.openxmlformats.org/spreadsheetml/2006/main" ref="C10:M360" displayName="Table_5" name="Table_5" id="6">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5-style" showColumnStripes="0" showFirstColumn="1" showLastColumn="1" showRowStripes="1"/>
</table>
</file>

<file path=xl/tables/table7.xml><?xml version="1.0" encoding="utf-8"?>
<table xmlns="http://schemas.openxmlformats.org/spreadsheetml/2006/main" ref="B6:L356" displayName="Table_6" name="Table_6" id="7">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6-style" showColumnStripes="0" showFirstColumn="1" showLastColumn="1" showRowStripes="1"/>
</table>
</file>

<file path=xl/tables/table8.xml><?xml version="1.0" encoding="utf-8"?>
<table xmlns="http://schemas.openxmlformats.org/spreadsheetml/2006/main" ref="A1:B7" displayName="Table_7" name="Table_7" id="8">
  <autoFilter ref="$A$1:$B$7"/>
  <tableColumns count="2">
    <tableColumn name="Region" id="1"/>
    <tableColumn name="Average Profit by Region" id="2"/>
  </tableColumns>
  <tableStyleInfo showColumnStripes="0" showFirstColumn="0" showLastColumn="0" showRowStripes="0"/>
</table>
</file>

<file path=xl/tables/table9.xml><?xml version="1.0" encoding="utf-8"?>
<table xmlns="http://schemas.openxmlformats.org/spreadsheetml/2006/main" ref="B4:O354" displayName="Table_8" name="Table_8" id="9">
  <tableColumns count="14">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 name="Total Cost" id="12"/>
    <tableColumn name="Total Profit" id="13"/>
    <tableColumn name="Profit Margin" id="14"/>
  </tableColumns>
  <tableStyleInfo name="Q7-style" showColumnStripes="0" showFirstColumn="1" showLastColumn="1" showRowStripes="1"/>
</table>
</file>

<file path=xl/tables/table10.xml><?xml version="1.0" encoding="utf-8"?>
<table xmlns="http://schemas.openxmlformats.org/spreadsheetml/2006/main" ref="A1:C31" displayName="Table_9" name="Table_9" id="10">
  <autoFilter ref="$A$1:$C$31"/>
  <tableColumns count="3">
    <tableColumn name="Region" id="1"/>
    <tableColumn name="Category" id="2"/>
    <tableColumn name="TOTAL SALES" id="3"/>
  </tableColumns>
  <tableStyleInfo showColumnStripes="0" showFirstColumn="0" showLastColumn="0" showRowStripes="0"/>
</table>
</file>

<file path=xl/tables/table11.xml><?xml version="1.0" encoding="utf-8"?>
<table xmlns="http://schemas.openxmlformats.org/spreadsheetml/2006/main" ref="B6:L356" displayName="Table_10" name="Table_10" id="11">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8-style" showColumnStripes="0" showFirstColumn="1" showLastColumn="1" showRowStripes="1"/>
</table>
</file>

<file path=xl/tables/table12.xml><?xml version="1.0" encoding="utf-8"?>
<table xmlns="http://schemas.openxmlformats.org/spreadsheetml/2006/main" ref="A1:B7" displayName="Table_11" name="Table_11" id="12">
  <autoFilter ref="$A$1:$B$7"/>
  <tableColumns count="2">
    <tableColumn name="Region" id="1"/>
    <tableColumn name="Total Profit" id="2"/>
  </tableColumns>
  <tableStyleInfo showColumnStripes="0" showFirstColumn="0" showLastColumn="0" showRowStripes="0"/>
</table>
</file>

<file path=xl/tables/table13.xml><?xml version="1.0" encoding="utf-8"?>
<table xmlns="http://schemas.openxmlformats.org/spreadsheetml/2006/main" ref="A11:B17" displayName="Table_12" name="Table_12" id="13">
  <autoFilter ref="$A$11:$B$17"/>
  <tableColumns count="2">
    <tableColumn name="Country" id="1"/>
    <tableColumn name="Total Revenue" id="2"/>
  </tableColumns>
  <tableStyleInfo showColumnStripes="0" showFirstColumn="0" showLastColumn="0" showRowStripes="0"/>
</table>
</file>

<file path=xl/tables/table14.xml><?xml version="1.0" encoding="utf-8"?>
<table xmlns="http://schemas.openxmlformats.org/spreadsheetml/2006/main" ref="B4:L354" displayName="Table_13" name="Table_13" id="14">
  <tableColumns count="11">
    <tableColumn name="Order ID" id="1"/>
    <tableColumn name="Region" id="2"/>
    <tableColumn name="Country" id="3"/>
    <tableColumn name="Category" id="4"/>
    <tableColumn name="Sales Channel" id="5"/>
    <tableColumn name="Order Priority" id="6"/>
    <tableColumn name="Order Date" id="7"/>
    <tableColumn name="Units Sold" id="8"/>
    <tableColumn name="Unit Price" id="9"/>
    <tableColumn name="Unit Cost" id="10"/>
    <tableColumn name="Total Revenue" id="11"/>
  </tableColumns>
  <tableStyleInfo name="Q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3.xml"/><Relationship Id="rId4" Type="http://schemas.openxmlformats.org/officeDocument/2006/relationships/table" Target="../tables/table8.xml"/><Relationship Id="rId5" Type="http://schemas.microsoft.com/office/2007/relationships/slicer" Target="../slicers/slicer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5.xml"/><Relationship Id="rId4" Type="http://schemas.openxmlformats.org/officeDocument/2006/relationships/table" Target="../tables/table10.xml"/><Relationship Id="rId5" Type="http://schemas.microsoft.com/office/2007/relationships/slicer" Target="../slicers/slicer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pivotTable" Target="../pivotTables/pivotTable6.xml"/><Relationship Id="rId4" Type="http://schemas.openxmlformats.org/officeDocument/2006/relationships/pivotTable" Target="../pivotTables/pivotTable7.xml"/><Relationship Id="rId11" Type="http://schemas.microsoft.com/office/2007/relationships/slicer" Target="../slicers/slicer3.xml"/><Relationship Id="rId10" Type="http://schemas.openxmlformats.org/officeDocument/2006/relationships/table" Target="../tables/table13.xml"/><Relationship Id="rId9" Type="http://schemas.openxmlformats.org/officeDocument/2006/relationships/table" Target="../tables/table12.xml"/><Relationship Id="rId5" Type="http://schemas.openxmlformats.org/officeDocument/2006/relationships/pivotTable" Target="../pivotTables/pivotTable8.xml"/><Relationship Id="rId6"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63"/>
    <col customWidth="1" min="5" max="5" width="19.75"/>
    <col customWidth="1" min="6" max="7" width="8.63"/>
    <col customWidth="1" min="8" max="8" width="14.5"/>
    <col customWidth="1" min="9" max="9" width="8.63"/>
    <col customWidth="1" min="10" max="10" width="14.5"/>
    <col customWidth="1" min="11" max="11" width="18.75"/>
    <col customWidth="1" min="15" max="15" width="15.38"/>
  </cols>
  <sheetData>
    <row r="1" ht="14.25" customHeight="1"/>
    <row r="2" ht="14.25" customHeight="1"/>
    <row r="3" ht="14.25" customHeight="1">
      <c r="B3" s="1" t="s">
        <v>0</v>
      </c>
      <c r="C3" s="2" t="s">
        <v>1</v>
      </c>
      <c r="D3" s="2" t="s">
        <v>2</v>
      </c>
      <c r="E3" s="2" t="s">
        <v>3</v>
      </c>
      <c r="F3" s="2" t="s">
        <v>4</v>
      </c>
      <c r="G3" s="2" t="s">
        <v>5</v>
      </c>
      <c r="H3" s="2" t="s">
        <v>6</v>
      </c>
      <c r="I3" s="2" t="s">
        <v>7</v>
      </c>
      <c r="J3" s="3" t="s">
        <v>8</v>
      </c>
      <c r="K3" s="4" t="s">
        <v>9</v>
      </c>
      <c r="L3" s="5" t="s">
        <v>10</v>
      </c>
      <c r="M3" s="5" t="s">
        <v>11</v>
      </c>
      <c r="N3" s="5" t="s">
        <v>12</v>
      </c>
      <c r="O3" s="5" t="str">
        <f t="shared" ref="O3:O353" si="1">IF(ROW()=3, "Profit Margin", IFERROR(N3/L3, 0))</f>
        <v>Profit Margin</v>
      </c>
    </row>
    <row r="4" ht="14.25" customHeight="1">
      <c r="B4" s="6" t="s">
        <v>13</v>
      </c>
      <c r="C4" s="6" t="s">
        <v>14</v>
      </c>
      <c r="D4" s="6" t="s">
        <v>15</v>
      </c>
      <c r="E4" s="6" t="s">
        <v>16</v>
      </c>
      <c r="F4" s="6" t="s">
        <v>17</v>
      </c>
      <c r="G4" s="6" t="s">
        <v>18</v>
      </c>
      <c r="H4" s="7">
        <v>44927.0</v>
      </c>
      <c r="I4" s="8">
        <v>235.0</v>
      </c>
      <c r="J4" s="8">
        <v>152.92</v>
      </c>
      <c r="K4" s="9">
        <v>153.6</v>
      </c>
      <c r="L4" s="10">
        <f t="shared" ref="L4:L353" si="2">I4*J4</f>
        <v>35936.2</v>
      </c>
      <c r="M4" s="10">
        <f t="shared" ref="M4:M353" si="3">I4*K4</f>
        <v>36096</v>
      </c>
      <c r="N4" s="10">
        <f t="shared" ref="N4:N353" si="4">L4-M4</f>
        <v>-159.8</v>
      </c>
      <c r="O4" s="11">
        <f t="shared" si="1"/>
        <v>-0.004446769553</v>
      </c>
    </row>
    <row r="5" ht="14.25" customHeight="1">
      <c r="B5" s="6" t="s">
        <v>19</v>
      </c>
      <c r="C5" s="6" t="s">
        <v>20</v>
      </c>
      <c r="D5" s="6" t="s">
        <v>21</v>
      </c>
      <c r="E5" s="6" t="s">
        <v>22</v>
      </c>
      <c r="F5" s="6" t="s">
        <v>17</v>
      </c>
      <c r="G5" s="6" t="s">
        <v>23</v>
      </c>
      <c r="H5" s="7">
        <v>44928.0</v>
      </c>
      <c r="I5" s="8">
        <v>341.0</v>
      </c>
      <c r="J5" s="8">
        <v>467.92</v>
      </c>
      <c r="K5" s="8">
        <v>139.84</v>
      </c>
      <c r="L5" s="10">
        <f t="shared" si="2"/>
        <v>159560.72</v>
      </c>
      <c r="M5" s="10">
        <f t="shared" si="3"/>
        <v>47685.44</v>
      </c>
      <c r="N5" s="10">
        <f t="shared" si="4"/>
        <v>111875.28</v>
      </c>
      <c r="O5" s="11">
        <f t="shared" si="1"/>
        <v>0.701145495</v>
      </c>
    </row>
    <row r="6" ht="14.25" customHeight="1">
      <c r="B6" s="6" t="s">
        <v>24</v>
      </c>
      <c r="C6" s="6" t="s">
        <v>25</v>
      </c>
      <c r="D6" s="6" t="s">
        <v>21</v>
      </c>
      <c r="E6" s="6" t="s">
        <v>26</v>
      </c>
      <c r="F6" s="6" t="s">
        <v>27</v>
      </c>
      <c r="G6" s="6" t="s">
        <v>18</v>
      </c>
      <c r="H6" s="7">
        <v>44929.0</v>
      </c>
      <c r="I6" s="8">
        <v>179.0</v>
      </c>
      <c r="J6" s="8">
        <v>473.94</v>
      </c>
      <c r="K6" s="8">
        <v>97.14</v>
      </c>
      <c r="L6" s="10">
        <f t="shared" si="2"/>
        <v>84835.26</v>
      </c>
      <c r="M6" s="10">
        <f t="shared" si="3"/>
        <v>17388.06</v>
      </c>
      <c r="N6" s="10">
        <f t="shared" si="4"/>
        <v>67447.2</v>
      </c>
      <c r="O6" s="11">
        <f t="shared" si="1"/>
        <v>0.7950373465</v>
      </c>
    </row>
    <row r="7" ht="14.25" customHeight="1">
      <c r="B7" s="6" t="s">
        <v>28</v>
      </c>
      <c r="C7" s="6" t="s">
        <v>14</v>
      </c>
      <c r="D7" s="6" t="s">
        <v>29</v>
      </c>
      <c r="E7" s="6" t="s">
        <v>30</v>
      </c>
      <c r="F7" s="6" t="s">
        <v>27</v>
      </c>
      <c r="G7" s="6" t="s">
        <v>31</v>
      </c>
      <c r="H7" s="7">
        <v>44930.0</v>
      </c>
      <c r="I7" s="8">
        <v>18.0</v>
      </c>
      <c r="J7" s="8">
        <v>314.53</v>
      </c>
      <c r="K7" s="8">
        <v>204.87</v>
      </c>
      <c r="L7" s="10">
        <f t="shared" si="2"/>
        <v>5661.54</v>
      </c>
      <c r="M7" s="10">
        <f t="shared" si="3"/>
        <v>3687.66</v>
      </c>
      <c r="N7" s="10">
        <f t="shared" si="4"/>
        <v>1973.88</v>
      </c>
      <c r="O7" s="11">
        <f t="shared" si="1"/>
        <v>0.3486471879</v>
      </c>
    </row>
    <row r="8" ht="14.25" customHeight="1">
      <c r="B8" s="6" t="s">
        <v>32</v>
      </c>
      <c r="C8" s="6" t="s">
        <v>14</v>
      </c>
      <c r="D8" s="6" t="s">
        <v>21</v>
      </c>
      <c r="E8" s="6" t="s">
        <v>30</v>
      </c>
      <c r="F8" s="6" t="s">
        <v>27</v>
      </c>
      <c r="G8" s="6" t="s">
        <v>31</v>
      </c>
      <c r="H8" s="7">
        <v>44931.0</v>
      </c>
      <c r="I8" s="8">
        <v>472.0</v>
      </c>
      <c r="J8" s="8">
        <v>392.79</v>
      </c>
      <c r="K8" s="8">
        <v>330.46</v>
      </c>
      <c r="L8" s="10">
        <f t="shared" si="2"/>
        <v>185396.88</v>
      </c>
      <c r="M8" s="10">
        <f t="shared" si="3"/>
        <v>155977.12</v>
      </c>
      <c r="N8" s="10">
        <f t="shared" si="4"/>
        <v>29419.76</v>
      </c>
      <c r="O8" s="11">
        <f t="shared" si="1"/>
        <v>0.1586853026</v>
      </c>
    </row>
    <row r="9" ht="14.25" customHeight="1">
      <c r="B9" s="6" t="s">
        <v>33</v>
      </c>
      <c r="C9" s="6" t="s">
        <v>20</v>
      </c>
      <c r="D9" s="6" t="s">
        <v>34</v>
      </c>
      <c r="E9" s="6" t="s">
        <v>26</v>
      </c>
      <c r="F9" s="6" t="s">
        <v>17</v>
      </c>
      <c r="G9" s="6" t="s">
        <v>18</v>
      </c>
      <c r="H9" s="7">
        <v>44932.0</v>
      </c>
      <c r="I9" s="8">
        <v>49.0</v>
      </c>
      <c r="J9" s="8">
        <v>308.07</v>
      </c>
      <c r="K9" s="8">
        <v>113.32</v>
      </c>
      <c r="L9" s="10">
        <f t="shared" si="2"/>
        <v>15095.43</v>
      </c>
      <c r="M9" s="10">
        <f t="shared" si="3"/>
        <v>5552.68</v>
      </c>
      <c r="N9" s="10">
        <f t="shared" si="4"/>
        <v>9542.75</v>
      </c>
      <c r="O9" s="11">
        <f t="shared" si="1"/>
        <v>0.6321615217</v>
      </c>
    </row>
    <row r="10" ht="14.25" customHeight="1">
      <c r="B10" s="6" t="s">
        <v>35</v>
      </c>
      <c r="C10" s="6" t="s">
        <v>25</v>
      </c>
      <c r="D10" s="6" t="s">
        <v>15</v>
      </c>
      <c r="E10" s="6" t="s">
        <v>26</v>
      </c>
      <c r="F10" s="6" t="s">
        <v>17</v>
      </c>
      <c r="G10" s="6" t="s">
        <v>23</v>
      </c>
      <c r="H10" s="7">
        <v>44933.0</v>
      </c>
      <c r="I10" s="8">
        <v>34.0</v>
      </c>
      <c r="J10" s="8">
        <v>244.78</v>
      </c>
      <c r="K10" s="8">
        <v>377.07</v>
      </c>
      <c r="L10" s="10">
        <f t="shared" si="2"/>
        <v>8322.52</v>
      </c>
      <c r="M10" s="10">
        <f t="shared" si="3"/>
        <v>12820.38</v>
      </c>
      <c r="N10" s="10">
        <f t="shared" si="4"/>
        <v>-4497.86</v>
      </c>
      <c r="O10" s="11">
        <f t="shared" si="1"/>
        <v>-0.5404444808</v>
      </c>
    </row>
    <row r="11" ht="14.25" customHeight="1">
      <c r="B11" s="6" t="s">
        <v>36</v>
      </c>
      <c r="C11" s="6" t="s">
        <v>25</v>
      </c>
      <c r="D11" s="6" t="s">
        <v>21</v>
      </c>
      <c r="E11" s="6" t="s">
        <v>16</v>
      </c>
      <c r="F11" s="6" t="s">
        <v>17</v>
      </c>
      <c r="G11" s="6" t="s">
        <v>18</v>
      </c>
      <c r="H11" s="7">
        <v>44934.0</v>
      </c>
      <c r="I11" s="8">
        <v>270.0</v>
      </c>
      <c r="J11" s="8">
        <v>332.11</v>
      </c>
      <c r="K11" s="8">
        <v>349.59</v>
      </c>
      <c r="L11" s="10">
        <f t="shared" si="2"/>
        <v>89669.7</v>
      </c>
      <c r="M11" s="10">
        <f t="shared" si="3"/>
        <v>94389.3</v>
      </c>
      <c r="N11" s="10">
        <f t="shared" si="4"/>
        <v>-4719.6</v>
      </c>
      <c r="O11" s="11">
        <f t="shared" si="1"/>
        <v>-0.05263316371</v>
      </c>
    </row>
    <row r="12" ht="14.25" customHeight="1">
      <c r="B12" s="6" t="s">
        <v>37</v>
      </c>
      <c r="C12" s="6" t="s">
        <v>14</v>
      </c>
      <c r="D12" s="6" t="s">
        <v>21</v>
      </c>
      <c r="E12" s="6" t="s">
        <v>16</v>
      </c>
      <c r="F12" s="6" t="s">
        <v>17</v>
      </c>
      <c r="G12" s="6" t="s">
        <v>23</v>
      </c>
      <c r="H12" s="7">
        <v>44935.0</v>
      </c>
      <c r="I12" s="8">
        <v>404.0</v>
      </c>
      <c r="J12" s="8">
        <v>278.74</v>
      </c>
      <c r="K12" s="8">
        <v>66.38</v>
      </c>
      <c r="L12" s="10">
        <f t="shared" si="2"/>
        <v>112610.96</v>
      </c>
      <c r="M12" s="10">
        <f t="shared" si="3"/>
        <v>26817.52</v>
      </c>
      <c r="N12" s="10">
        <f t="shared" si="4"/>
        <v>85793.44</v>
      </c>
      <c r="O12" s="11">
        <f t="shared" si="1"/>
        <v>0.7618569276</v>
      </c>
    </row>
    <row r="13" ht="14.25" customHeight="1">
      <c r="B13" s="6" t="s">
        <v>38</v>
      </c>
      <c r="C13" s="6" t="s">
        <v>39</v>
      </c>
      <c r="D13" s="6" t="s">
        <v>29</v>
      </c>
      <c r="E13" s="6" t="s">
        <v>30</v>
      </c>
      <c r="F13" s="6" t="s">
        <v>17</v>
      </c>
      <c r="G13" s="6" t="s">
        <v>31</v>
      </c>
      <c r="H13" s="7">
        <v>44936.0</v>
      </c>
      <c r="I13" s="8">
        <v>452.0</v>
      </c>
      <c r="J13" s="8">
        <v>300.75</v>
      </c>
      <c r="K13" s="8">
        <v>314.94</v>
      </c>
      <c r="L13" s="10">
        <f t="shared" si="2"/>
        <v>135939</v>
      </c>
      <c r="M13" s="10">
        <f t="shared" si="3"/>
        <v>142352.88</v>
      </c>
      <c r="N13" s="10">
        <f t="shared" si="4"/>
        <v>-6413.88</v>
      </c>
      <c r="O13" s="11">
        <f t="shared" si="1"/>
        <v>-0.04718204489</v>
      </c>
    </row>
    <row r="14" ht="14.25" customHeight="1">
      <c r="B14" s="6" t="s">
        <v>40</v>
      </c>
      <c r="C14" s="6" t="s">
        <v>14</v>
      </c>
      <c r="D14" s="6" t="s">
        <v>29</v>
      </c>
      <c r="E14" s="6" t="s">
        <v>22</v>
      </c>
      <c r="F14" s="6" t="s">
        <v>17</v>
      </c>
      <c r="G14" s="6" t="s">
        <v>23</v>
      </c>
      <c r="H14" s="7">
        <v>44937.0</v>
      </c>
      <c r="I14" s="8">
        <v>235.0</v>
      </c>
      <c r="J14" s="8">
        <v>393.0</v>
      </c>
      <c r="K14" s="8">
        <v>230.69</v>
      </c>
      <c r="L14" s="10">
        <f t="shared" si="2"/>
        <v>92355</v>
      </c>
      <c r="M14" s="10">
        <f t="shared" si="3"/>
        <v>54212.15</v>
      </c>
      <c r="N14" s="10">
        <f t="shared" si="4"/>
        <v>38142.85</v>
      </c>
      <c r="O14" s="11">
        <f t="shared" si="1"/>
        <v>0.4130025445</v>
      </c>
    </row>
    <row r="15" ht="14.25" customHeight="1">
      <c r="B15" s="6" t="s">
        <v>41</v>
      </c>
      <c r="C15" s="6" t="s">
        <v>14</v>
      </c>
      <c r="D15" s="6" t="s">
        <v>34</v>
      </c>
      <c r="E15" s="6" t="s">
        <v>30</v>
      </c>
      <c r="F15" s="6" t="s">
        <v>27</v>
      </c>
      <c r="G15" s="6" t="s">
        <v>31</v>
      </c>
      <c r="H15" s="7">
        <v>44938.0</v>
      </c>
      <c r="I15" s="8">
        <v>481.0</v>
      </c>
      <c r="J15" s="8">
        <v>243.05</v>
      </c>
      <c r="K15" s="8">
        <v>227.5</v>
      </c>
      <c r="L15" s="10">
        <f t="shared" si="2"/>
        <v>116907.05</v>
      </c>
      <c r="M15" s="10">
        <f t="shared" si="3"/>
        <v>109427.5</v>
      </c>
      <c r="N15" s="10">
        <f t="shared" si="4"/>
        <v>7479.55</v>
      </c>
      <c r="O15" s="11">
        <f t="shared" si="1"/>
        <v>0.06397860523</v>
      </c>
    </row>
    <row r="16" ht="14.25" customHeight="1">
      <c r="B16" s="6" t="s">
        <v>42</v>
      </c>
      <c r="C16" s="6" t="s">
        <v>14</v>
      </c>
      <c r="D16" s="6" t="s">
        <v>15</v>
      </c>
      <c r="E16" s="6" t="s">
        <v>22</v>
      </c>
      <c r="F16" s="6" t="s">
        <v>27</v>
      </c>
      <c r="G16" s="6" t="s">
        <v>23</v>
      </c>
      <c r="H16" s="7">
        <v>44939.0</v>
      </c>
      <c r="I16" s="8">
        <v>133.0</v>
      </c>
      <c r="J16" s="8">
        <v>25.17</v>
      </c>
      <c r="K16" s="8">
        <v>157.64</v>
      </c>
      <c r="L16" s="10">
        <f t="shared" si="2"/>
        <v>3347.61</v>
      </c>
      <c r="M16" s="10">
        <f t="shared" si="3"/>
        <v>20966.12</v>
      </c>
      <c r="N16" s="10">
        <f t="shared" si="4"/>
        <v>-17618.51</v>
      </c>
      <c r="O16" s="11">
        <f t="shared" si="1"/>
        <v>-5.263011522</v>
      </c>
    </row>
    <row r="17" ht="14.25" customHeight="1">
      <c r="B17" s="6" t="s">
        <v>43</v>
      </c>
      <c r="C17" s="6" t="s">
        <v>14</v>
      </c>
      <c r="D17" s="6" t="s">
        <v>29</v>
      </c>
      <c r="E17" s="6" t="s">
        <v>22</v>
      </c>
      <c r="F17" s="6" t="s">
        <v>27</v>
      </c>
      <c r="G17" s="6" t="s">
        <v>23</v>
      </c>
      <c r="H17" s="7">
        <v>44940.0</v>
      </c>
      <c r="I17" s="8">
        <v>472.0</v>
      </c>
      <c r="J17" s="8">
        <v>86.18</v>
      </c>
      <c r="K17" s="8">
        <v>201.46</v>
      </c>
      <c r="L17" s="10">
        <f t="shared" si="2"/>
        <v>40676.96</v>
      </c>
      <c r="M17" s="10">
        <f t="shared" si="3"/>
        <v>95089.12</v>
      </c>
      <c r="N17" s="10">
        <f t="shared" si="4"/>
        <v>-54412.16</v>
      </c>
      <c r="O17" s="11">
        <f t="shared" si="1"/>
        <v>-1.337665352</v>
      </c>
    </row>
    <row r="18" ht="14.25" customHeight="1">
      <c r="B18" s="6" t="s">
        <v>44</v>
      </c>
      <c r="C18" s="6" t="s">
        <v>20</v>
      </c>
      <c r="D18" s="6" t="s">
        <v>21</v>
      </c>
      <c r="E18" s="6" t="s">
        <v>16</v>
      </c>
      <c r="F18" s="6" t="s">
        <v>27</v>
      </c>
      <c r="G18" s="6" t="s">
        <v>23</v>
      </c>
      <c r="H18" s="7">
        <v>44941.0</v>
      </c>
      <c r="I18" s="8">
        <v>47.0</v>
      </c>
      <c r="J18" s="8">
        <v>222.11</v>
      </c>
      <c r="K18" s="8">
        <v>160.08</v>
      </c>
      <c r="L18" s="10">
        <f t="shared" si="2"/>
        <v>10439.17</v>
      </c>
      <c r="M18" s="10">
        <f t="shared" si="3"/>
        <v>7523.76</v>
      </c>
      <c r="N18" s="10">
        <f t="shared" si="4"/>
        <v>2915.41</v>
      </c>
      <c r="O18" s="11">
        <f t="shared" si="1"/>
        <v>0.2792760344</v>
      </c>
    </row>
    <row r="19" ht="14.25" customHeight="1">
      <c r="B19" s="6" t="s">
        <v>45</v>
      </c>
      <c r="C19" s="6" t="s">
        <v>25</v>
      </c>
      <c r="D19" s="6" t="s">
        <v>15</v>
      </c>
      <c r="E19" s="6" t="s">
        <v>46</v>
      </c>
      <c r="F19" s="6" t="s">
        <v>17</v>
      </c>
      <c r="G19" s="6" t="s">
        <v>18</v>
      </c>
      <c r="H19" s="7">
        <v>44942.0</v>
      </c>
      <c r="I19" s="8">
        <v>337.0</v>
      </c>
      <c r="J19" s="8">
        <v>363.79</v>
      </c>
      <c r="K19" s="8">
        <v>216.81</v>
      </c>
      <c r="L19" s="10">
        <f t="shared" si="2"/>
        <v>122597.23</v>
      </c>
      <c r="M19" s="10">
        <f t="shared" si="3"/>
        <v>73064.97</v>
      </c>
      <c r="N19" s="10">
        <f t="shared" si="4"/>
        <v>49532.26</v>
      </c>
      <c r="O19" s="11">
        <f t="shared" si="1"/>
        <v>0.4040242997</v>
      </c>
    </row>
    <row r="20" ht="14.25" customHeight="1">
      <c r="B20" s="6" t="s">
        <v>47</v>
      </c>
      <c r="C20" s="6" t="s">
        <v>20</v>
      </c>
      <c r="D20" s="6" t="s">
        <v>15</v>
      </c>
      <c r="E20" s="6" t="s">
        <v>46</v>
      </c>
      <c r="F20" s="6" t="s">
        <v>17</v>
      </c>
      <c r="G20" s="6" t="s">
        <v>18</v>
      </c>
      <c r="H20" s="7">
        <v>44943.0</v>
      </c>
      <c r="I20" s="8">
        <v>260.0</v>
      </c>
      <c r="J20" s="8">
        <v>298.67</v>
      </c>
      <c r="K20" s="8">
        <v>251.92</v>
      </c>
      <c r="L20" s="10">
        <f t="shared" si="2"/>
        <v>77654.2</v>
      </c>
      <c r="M20" s="10">
        <f t="shared" si="3"/>
        <v>65499.2</v>
      </c>
      <c r="N20" s="10">
        <f t="shared" si="4"/>
        <v>12155</v>
      </c>
      <c r="O20" s="11">
        <f t="shared" si="1"/>
        <v>0.1565272709</v>
      </c>
    </row>
    <row r="21" ht="14.25" customHeight="1">
      <c r="B21" s="6" t="s">
        <v>48</v>
      </c>
      <c r="C21" s="6" t="s">
        <v>39</v>
      </c>
      <c r="D21" s="6" t="s">
        <v>21</v>
      </c>
      <c r="E21" s="6" t="s">
        <v>26</v>
      </c>
      <c r="F21" s="6" t="s">
        <v>27</v>
      </c>
      <c r="G21" s="6" t="s">
        <v>31</v>
      </c>
      <c r="H21" s="7">
        <v>44944.0</v>
      </c>
      <c r="I21" s="8">
        <v>398.0</v>
      </c>
      <c r="J21" s="8">
        <v>326.9</v>
      </c>
      <c r="K21" s="8">
        <v>270.37</v>
      </c>
      <c r="L21" s="10">
        <f t="shared" si="2"/>
        <v>130106.2</v>
      </c>
      <c r="M21" s="10">
        <f t="shared" si="3"/>
        <v>107607.26</v>
      </c>
      <c r="N21" s="10">
        <f t="shared" si="4"/>
        <v>22498.94</v>
      </c>
      <c r="O21" s="11">
        <f t="shared" si="1"/>
        <v>0.1729275008</v>
      </c>
    </row>
    <row r="22" ht="14.25" customHeight="1">
      <c r="B22" s="6" t="s">
        <v>49</v>
      </c>
      <c r="C22" s="6" t="s">
        <v>20</v>
      </c>
      <c r="D22" s="6" t="s">
        <v>29</v>
      </c>
      <c r="E22" s="6" t="s">
        <v>16</v>
      </c>
      <c r="F22" s="6" t="s">
        <v>17</v>
      </c>
      <c r="G22" s="6" t="s">
        <v>31</v>
      </c>
      <c r="H22" s="7">
        <v>44945.0</v>
      </c>
      <c r="I22" s="8">
        <v>185.0</v>
      </c>
      <c r="J22" s="8">
        <v>242.24</v>
      </c>
      <c r="K22" s="8">
        <v>213.93</v>
      </c>
      <c r="L22" s="10">
        <f t="shared" si="2"/>
        <v>44814.4</v>
      </c>
      <c r="M22" s="10">
        <f t="shared" si="3"/>
        <v>39577.05</v>
      </c>
      <c r="N22" s="10">
        <f t="shared" si="4"/>
        <v>5237.35</v>
      </c>
      <c r="O22" s="11">
        <f t="shared" si="1"/>
        <v>0.1168675694</v>
      </c>
    </row>
    <row r="23" ht="14.25" customHeight="1">
      <c r="B23" s="6" t="s">
        <v>50</v>
      </c>
      <c r="C23" s="6" t="s">
        <v>14</v>
      </c>
      <c r="D23" s="6" t="s">
        <v>21</v>
      </c>
      <c r="E23" s="6" t="s">
        <v>22</v>
      </c>
      <c r="F23" s="6" t="s">
        <v>27</v>
      </c>
      <c r="G23" s="6" t="s">
        <v>18</v>
      </c>
      <c r="H23" s="7">
        <v>44946.0</v>
      </c>
      <c r="I23" s="8">
        <v>99.0</v>
      </c>
      <c r="J23" s="8">
        <v>309.79</v>
      </c>
      <c r="K23" s="8">
        <v>289.13</v>
      </c>
      <c r="L23" s="10">
        <f t="shared" si="2"/>
        <v>30669.21</v>
      </c>
      <c r="M23" s="10">
        <f t="shared" si="3"/>
        <v>28623.87</v>
      </c>
      <c r="N23" s="10">
        <f t="shared" si="4"/>
        <v>2045.34</v>
      </c>
      <c r="O23" s="11">
        <f t="shared" si="1"/>
        <v>0.06669033862</v>
      </c>
    </row>
    <row r="24" ht="14.25" customHeight="1">
      <c r="B24" s="6" t="s">
        <v>51</v>
      </c>
      <c r="C24" s="6" t="s">
        <v>52</v>
      </c>
      <c r="D24" s="6" t="s">
        <v>15</v>
      </c>
      <c r="E24" s="6" t="s">
        <v>46</v>
      </c>
      <c r="F24" s="6" t="s">
        <v>27</v>
      </c>
      <c r="G24" s="6" t="s">
        <v>31</v>
      </c>
      <c r="H24" s="7">
        <v>44947.0</v>
      </c>
      <c r="I24" s="8">
        <v>411.0</v>
      </c>
      <c r="J24" s="8">
        <v>167.86</v>
      </c>
      <c r="K24" s="8">
        <v>58.23</v>
      </c>
      <c r="L24" s="10">
        <f t="shared" si="2"/>
        <v>68990.46</v>
      </c>
      <c r="M24" s="10">
        <f t="shared" si="3"/>
        <v>23932.53</v>
      </c>
      <c r="N24" s="10">
        <f t="shared" si="4"/>
        <v>45057.93</v>
      </c>
      <c r="O24" s="11">
        <f t="shared" si="1"/>
        <v>0.653103777</v>
      </c>
    </row>
    <row r="25" ht="14.25" customHeight="1">
      <c r="B25" s="6" t="s">
        <v>53</v>
      </c>
      <c r="C25" s="6" t="s">
        <v>25</v>
      </c>
      <c r="D25" s="6" t="s">
        <v>54</v>
      </c>
      <c r="E25" s="6" t="s">
        <v>22</v>
      </c>
      <c r="F25" s="6" t="s">
        <v>27</v>
      </c>
      <c r="G25" s="6" t="s">
        <v>18</v>
      </c>
      <c r="H25" s="7">
        <v>44948.0</v>
      </c>
      <c r="I25" s="8">
        <v>463.0</v>
      </c>
      <c r="J25" s="8">
        <v>237.74</v>
      </c>
      <c r="K25" s="8">
        <v>86.37</v>
      </c>
      <c r="L25" s="10">
        <f t="shared" si="2"/>
        <v>110073.62</v>
      </c>
      <c r="M25" s="10">
        <f t="shared" si="3"/>
        <v>39989.31</v>
      </c>
      <c r="N25" s="10">
        <f t="shared" si="4"/>
        <v>70084.31</v>
      </c>
      <c r="O25" s="11">
        <f t="shared" si="1"/>
        <v>0.6367039623</v>
      </c>
    </row>
    <row r="26" ht="14.25" customHeight="1">
      <c r="B26" s="6" t="s">
        <v>55</v>
      </c>
      <c r="C26" s="6" t="s">
        <v>52</v>
      </c>
      <c r="D26" s="6" t="s">
        <v>54</v>
      </c>
      <c r="E26" s="6" t="s">
        <v>46</v>
      </c>
      <c r="F26" s="6" t="s">
        <v>17</v>
      </c>
      <c r="G26" s="6" t="s">
        <v>23</v>
      </c>
      <c r="H26" s="7">
        <v>44949.0</v>
      </c>
      <c r="I26" s="8">
        <v>46.0</v>
      </c>
      <c r="J26" s="8">
        <v>373.42</v>
      </c>
      <c r="K26" s="8">
        <v>327.86</v>
      </c>
      <c r="L26" s="10">
        <f t="shared" si="2"/>
        <v>17177.32</v>
      </c>
      <c r="M26" s="10">
        <f t="shared" si="3"/>
        <v>15081.56</v>
      </c>
      <c r="N26" s="10">
        <f t="shared" si="4"/>
        <v>2095.76</v>
      </c>
      <c r="O26" s="11">
        <f t="shared" si="1"/>
        <v>0.1220073911</v>
      </c>
    </row>
    <row r="27" ht="14.25" customHeight="1">
      <c r="B27" s="6" t="s">
        <v>56</v>
      </c>
      <c r="C27" s="6" t="s">
        <v>20</v>
      </c>
      <c r="D27" s="6" t="s">
        <v>34</v>
      </c>
      <c r="E27" s="6" t="s">
        <v>46</v>
      </c>
      <c r="F27" s="6" t="s">
        <v>27</v>
      </c>
      <c r="G27" s="6" t="s">
        <v>31</v>
      </c>
      <c r="H27" s="7">
        <v>44950.0</v>
      </c>
      <c r="I27" s="8">
        <v>325.0</v>
      </c>
      <c r="J27" s="8">
        <v>436.56</v>
      </c>
      <c r="K27" s="8">
        <v>130.37</v>
      </c>
      <c r="L27" s="10">
        <f t="shared" si="2"/>
        <v>141882</v>
      </c>
      <c r="M27" s="10">
        <f t="shared" si="3"/>
        <v>42370.25</v>
      </c>
      <c r="N27" s="10">
        <f t="shared" si="4"/>
        <v>99511.75</v>
      </c>
      <c r="O27" s="11">
        <f t="shared" si="1"/>
        <v>0.7013698003</v>
      </c>
    </row>
    <row r="28" ht="14.25" customHeight="1">
      <c r="B28" s="6" t="s">
        <v>57</v>
      </c>
      <c r="C28" s="6" t="s">
        <v>20</v>
      </c>
      <c r="D28" s="6" t="s">
        <v>21</v>
      </c>
      <c r="E28" s="6" t="s">
        <v>39</v>
      </c>
      <c r="F28" s="6" t="s">
        <v>27</v>
      </c>
      <c r="G28" s="6" t="s">
        <v>31</v>
      </c>
      <c r="H28" s="7">
        <v>44951.0</v>
      </c>
      <c r="I28" s="8">
        <v>185.0</v>
      </c>
      <c r="J28" s="8">
        <v>219.66</v>
      </c>
      <c r="K28" s="8">
        <v>11.11</v>
      </c>
      <c r="L28" s="10">
        <f t="shared" si="2"/>
        <v>40637.1</v>
      </c>
      <c r="M28" s="10">
        <f t="shared" si="3"/>
        <v>2055.35</v>
      </c>
      <c r="N28" s="10">
        <f t="shared" si="4"/>
        <v>38581.75</v>
      </c>
      <c r="O28" s="11">
        <f t="shared" si="1"/>
        <v>0.9494218337</v>
      </c>
    </row>
    <row r="29" ht="14.25" customHeight="1">
      <c r="B29" s="6" t="s">
        <v>58</v>
      </c>
      <c r="C29" s="6" t="s">
        <v>52</v>
      </c>
      <c r="D29" s="6" t="s">
        <v>21</v>
      </c>
      <c r="E29" s="6" t="s">
        <v>16</v>
      </c>
      <c r="F29" s="6" t="s">
        <v>27</v>
      </c>
      <c r="G29" s="6" t="s">
        <v>18</v>
      </c>
      <c r="H29" s="7">
        <v>44952.0</v>
      </c>
      <c r="I29" s="8">
        <v>470.0</v>
      </c>
      <c r="J29" s="8">
        <v>26.61</v>
      </c>
      <c r="K29" s="8">
        <v>63.21</v>
      </c>
      <c r="L29" s="10">
        <f t="shared" si="2"/>
        <v>12506.7</v>
      </c>
      <c r="M29" s="10">
        <f t="shared" si="3"/>
        <v>29708.7</v>
      </c>
      <c r="N29" s="10">
        <f t="shared" si="4"/>
        <v>-17202</v>
      </c>
      <c r="O29" s="11">
        <f t="shared" si="1"/>
        <v>-1.375422773</v>
      </c>
    </row>
    <row r="30" ht="14.25" customHeight="1">
      <c r="B30" s="6" t="s">
        <v>59</v>
      </c>
      <c r="C30" s="6" t="s">
        <v>52</v>
      </c>
      <c r="D30" s="6" t="s">
        <v>34</v>
      </c>
      <c r="E30" s="6" t="s">
        <v>30</v>
      </c>
      <c r="F30" s="6" t="s">
        <v>17</v>
      </c>
      <c r="G30" s="6" t="s">
        <v>31</v>
      </c>
      <c r="H30" s="7">
        <v>44953.0</v>
      </c>
      <c r="I30" s="8">
        <v>293.0</v>
      </c>
      <c r="J30" s="8">
        <v>85.03</v>
      </c>
      <c r="K30" s="8">
        <v>91.0</v>
      </c>
      <c r="L30" s="10">
        <f t="shared" si="2"/>
        <v>24913.79</v>
      </c>
      <c r="M30" s="10">
        <f t="shared" si="3"/>
        <v>26663</v>
      </c>
      <c r="N30" s="10">
        <f t="shared" si="4"/>
        <v>-1749.21</v>
      </c>
      <c r="O30" s="11">
        <f t="shared" si="1"/>
        <v>-0.07021051394</v>
      </c>
    </row>
    <row r="31" ht="14.25" customHeight="1">
      <c r="B31" s="6" t="s">
        <v>60</v>
      </c>
      <c r="C31" s="6" t="s">
        <v>52</v>
      </c>
      <c r="D31" s="6" t="s">
        <v>34</v>
      </c>
      <c r="E31" s="6" t="s">
        <v>22</v>
      </c>
      <c r="F31" s="6" t="s">
        <v>17</v>
      </c>
      <c r="G31" s="6" t="s">
        <v>31</v>
      </c>
      <c r="H31" s="7">
        <v>44954.0</v>
      </c>
      <c r="I31" s="8">
        <v>462.0</v>
      </c>
      <c r="J31" s="6">
        <v>249.64520588235297</v>
      </c>
      <c r="K31" s="8">
        <v>383.01</v>
      </c>
      <c r="L31" s="10">
        <f t="shared" si="2"/>
        <v>115336.0851</v>
      </c>
      <c r="M31" s="10">
        <f t="shared" si="3"/>
        <v>176950.62</v>
      </c>
      <c r="N31" s="10">
        <f t="shared" si="4"/>
        <v>-61614.53488</v>
      </c>
      <c r="O31" s="11">
        <f t="shared" si="1"/>
        <v>-0.5342173251</v>
      </c>
    </row>
    <row r="32" ht="14.25" customHeight="1">
      <c r="B32" s="6" t="s">
        <v>61</v>
      </c>
      <c r="C32" s="6" t="s">
        <v>20</v>
      </c>
      <c r="D32" s="6" t="s">
        <v>34</v>
      </c>
      <c r="E32" s="6" t="s">
        <v>16</v>
      </c>
      <c r="F32" s="6" t="s">
        <v>27</v>
      </c>
      <c r="G32" s="6" t="s">
        <v>23</v>
      </c>
      <c r="H32" s="7">
        <v>44955.0</v>
      </c>
      <c r="I32" s="8">
        <v>470.0</v>
      </c>
      <c r="J32" s="8">
        <v>328.37</v>
      </c>
      <c r="K32" s="8">
        <v>230.07</v>
      </c>
      <c r="L32" s="10">
        <f t="shared" si="2"/>
        <v>154333.9</v>
      </c>
      <c r="M32" s="10">
        <f t="shared" si="3"/>
        <v>108132.9</v>
      </c>
      <c r="N32" s="10">
        <f t="shared" si="4"/>
        <v>46201</v>
      </c>
      <c r="O32" s="11">
        <f t="shared" si="1"/>
        <v>0.2993574322</v>
      </c>
    </row>
    <row r="33" ht="14.25" customHeight="1">
      <c r="B33" s="6" t="s">
        <v>62</v>
      </c>
      <c r="C33" s="6" t="s">
        <v>20</v>
      </c>
      <c r="D33" s="6" t="s">
        <v>15</v>
      </c>
      <c r="E33" s="6" t="s">
        <v>16</v>
      </c>
      <c r="F33" s="6" t="s">
        <v>17</v>
      </c>
      <c r="G33" s="6" t="s">
        <v>31</v>
      </c>
      <c r="H33" s="7">
        <v>44956.0</v>
      </c>
      <c r="I33" s="8">
        <v>90.0</v>
      </c>
      <c r="J33" s="8">
        <v>169.5</v>
      </c>
      <c r="K33" s="8">
        <v>373.23</v>
      </c>
      <c r="L33" s="10">
        <f t="shared" si="2"/>
        <v>15255</v>
      </c>
      <c r="M33" s="10">
        <f t="shared" si="3"/>
        <v>33590.7</v>
      </c>
      <c r="N33" s="10">
        <f t="shared" si="4"/>
        <v>-18335.7</v>
      </c>
      <c r="O33" s="11">
        <f t="shared" si="1"/>
        <v>-1.201946903</v>
      </c>
    </row>
    <row r="34" ht="14.25" customHeight="1">
      <c r="B34" s="6" t="s">
        <v>63</v>
      </c>
      <c r="C34" s="6" t="s">
        <v>39</v>
      </c>
      <c r="D34" s="6" t="s">
        <v>21</v>
      </c>
      <c r="E34" s="6" t="s">
        <v>16</v>
      </c>
      <c r="F34" s="6" t="s">
        <v>17</v>
      </c>
      <c r="G34" s="6" t="s">
        <v>23</v>
      </c>
      <c r="H34" s="7">
        <v>44957.0</v>
      </c>
      <c r="I34" s="8">
        <v>123.0</v>
      </c>
      <c r="J34" s="8">
        <v>273.53</v>
      </c>
      <c r="K34" s="8">
        <v>230.92</v>
      </c>
      <c r="L34" s="10">
        <f t="shared" si="2"/>
        <v>33644.19</v>
      </c>
      <c r="M34" s="10">
        <f t="shared" si="3"/>
        <v>28403.16</v>
      </c>
      <c r="N34" s="10">
        <f t="shared" si="4"/>
        <v>5241.03</v>
      </c>
      <c r="O34" s="11">
        <f t="shared" si="1"/>
        <v>0.1557781596</v>
      </c>
    </row>
    <row r="35" ht="14.25" customHeight="1">
      <c r="B35" s="6" t="s">
        <v>64</v>
      </c>
      <c r="C35" s="6" t="s">
        <v>25</v>
      </c>
      <c r="D35" s="6" t="s">
        <v>15</v>
      </c>
      <c r="E35" s="6" t="s">
        <v>16</v>
      </c>
      <c r="F35" s="6" t="s">
        <v>17</v>
      </c>
      <c r="G35" s="6" t="s">
        <v>18</v>
      </c>
      <c r="H35" s="7">
        <v>44958.0</v>
      </c>
      <c r="I35" s="8">
        <v>49.0</v>
      </c>
      <c r="J35" s="8">
        <v>249.17</v>
      </c>
      <c r="K35" s="8">
        <v>192.78</v>
      </c>
      <c r="L35" s="10">
        <f t="shared" si="2"/>
        <v>12209.33</v>
      </c>
      <c r="M35" s="10">
        <f t="shared" si="3"/>
        <v>9446.22</v>
      </c>
      <c r="N35" s="10">
        <f t="shared" si="4"/>
        <v>2763.11</v>
      </c>
      <c r="O35" s="11">
        <f t="shared" si="1"/>
        <v>0.2263113537</v>
      </c>
    </row>
    <row r="36" ht="14.25" customHeight="1">
      <c r="B36" s="6" t="s">
        <v>65</v>
      </c>
      <c r="C36" s="6" t="s">
        <v>20</v>
      </c>
      <c r="D36" s="6" t="s">
        <v>34</v>
      </c>
      <c r="E36" s="6" t="s">
        <v>16</v>
      </c>
      <c r="F36" s="6" t="s">
        <v>17</v>
      </c>
      <c r="G36" s="6" t="s">
        <v>31</v>
      </c>
      <c r="H36" s="7">
        <v>44959.0</v>
      </c>
      <c r="I36" s="8">
        <v>310.0</v>
      </c>
      <c r="J36" s="8">
        <v>45.36</v>
      </c>
      <c r="K36" s="8">
        <v>126.86</v>
      </c>
      <c r="L36" s="10">
        <f t="shared" si="2"/>
        <v>14061.6</v>
      </c>
      <c r="M36" s="10">
        <f t="shared" si="3"/>
        <v>39326.6</v>
      </c>
      <c r="N36" s="10">
        <f t="shared" si="4"/>
        <v>-25265</v>
      </c>
      <c r="O36" s="11">
        <f t="shared" si="1"/>
        <v>-1.796737213</v>
      </c>
    </row>
    <row r="37" ht="14.25" customHeight="1">
      <c r="B37" s="6" t="s">
        <v>66</v>
      </c>
      <c r="C37" s="6" t="s">
        <v>52</v>
      </c>
      <c r="D37" s="6" t="s">
        <v>21</v>
      </c>
      <c r="E37" s="6" t="s">
        <v>26</v>
      </c>
      <c r="F37" s="6" t="s">
        <v>17</v>
      </c>
      <c r="G37" s="6" t="s">
        <v>23</v>
      </c>
      <c r="H37" s="7">
        <v>44960.0</v>
      </c>
      <c r="I37" s="8">
        <v>233.0</v>
      </c>
      <c r="J37" s="8">
        <v>204.61</v>
      </c>
      <c r="K37" s="8">
        <v>243.34</v>
      </c>
      <c r="L37" s="10">
        <f t="shared" si="2"/>
        <v>47674.13</v>
      </c>
      <c r="M37" s="10">
        <f t="shared" si="3"/>
        <v>56698.22</v>
      </c>
      <c r="N37" s="10">
        <f t="shared" si="4"/>
        <v>-9024.09</v>
      </c>
      <c r="O37" s="11">
        <f t="shared" si="1"/>
        <v>-0.1892869361</v>
      </c>
    </row>
    <row r="38" ht="14.25" customHeight="1">
      <c r="B38" s="6" t="s">
        <v>67</v>
      </c>
      <c r="C38" s="6" t="s">
        <v>52</v>
      </c>
      <c r="D38" s="6" t="s">
        <v>15</v>
      </c>
      <c r="E38" s="6" t="s">
        <v>22</v>
      </c>
      <c r="F38" s="6" t="s">
        <v>17</v>
      </c>
      <c r="G38" s="6" t="s">
        <v>18</v>
      </c>
      <c r="H38" s="7">
        <v>44961.0</v>
      </c>
      <c r="I38" s="8">
        <v>327.0</v>
      </c>
      <c r="J38" s="8">
        <v>114.18</v>
      </c>
      <c r="K38" s="8">
        <v>57.4</v>
      </c>
      <c r="L38" s="10">
        <f t="shared" si="2"/>
        <v>37336.86</v>
      </c>
      <c r="M38" s="10">
        <f t="shared" si="3"/>
        <v>18769.8</v>
      </c>
      <c r="N38" s="10">
        <f t="shared" si="4"/>
        <v>18567.06</v>
      </c>
      <c r="O38" s="11">
        <f t="shared" si="1"/>
        <v>0.4972849886</v>
      </c>
    </row>
    <row r="39" ht="14.25" customHeight="1">
      <c r="B39" s="6" t="s">
        <v>68</v>
      </c>
      <c r="C39" s="6" t="s">
        <v>25</v>
      </c>
      <c r="D39" s="6" t="s">
        <v>15</v>
      </c>
      <c r="E39" s="6" t="s">
        <v>16</v>
      </c>
      <c r="F39" s="6" t="s">
        <v>17</v>
      </c>
      <c r="G39" s="6" t="s">
        <v>31</v>
      </c>
      <c r="H39" s="7">
        <v>44962.0</v>
      </c>
      <c r="I39" s="8">
        <v>358.0</v>
      </c>
      <c r="J39" s="8">
        <v>212.11</v>
      </c>
      <c r="K39" s="8">
        <v>359.51</v>
      </c>
      <c r="L39" s="10">
        <f t="shared" si="2"/>
        <v>75935.38</v>
      </c>
      <c r="M39" s="10">
        <f t="shared" si="3"/>
        <v>128704.58</v>
      </c>
      <c r="N39" s="10">
        <f t="shared" si="4"/>
        <v>-52769.2</v>
      </c>
      <c r="O39" s="11">
        <f t="shared" si="1"/>
        <v>-0.6949224459</v>
      </c>
    </row>
    <row r="40" ht="14.25" customHeight="1">
      <c r="B40" s="6" t="s">
        <v>69</v>
      </c>
      <c r="C40" s="6" t="s">
        <v>20</v>
      </c>
      <c r="D40" s="6" t="s">
        <v>34</v>
      </c>
      <c r="E40" s="6" t="s">
        <v>22</v>
      </c>
      <c r="F40" s="6" t="s">
        <v>17</v>
      </c>
      <c r="G40" s="6" t="s">
        <v>18</v>
      </c>
      <c r="H40" s="7">
        <v>44963.0</v>
      </c>
      <c r="I40" s="8">
        <v>124.0</v>
      </c>
      <c r="J40" s="6">
        <v>249.64520588235297</v>
      </c>
      <c r="K40" s="8">
        <v>332.07</v>
      </c>
      <c r="L40" s="10">
        <f t="shared" si="2"/>
        <v>30956.00553</v>
      </c>
      <c r="M40" s="10">
        <f t="shared" si="3"/>
        <v>41176.68</v>
      </c>
      <c r="N40" s="10">
        <f t="shared" si="4"/>
        <v>-10220.67447</v>
      </c>
      <c r="O40" s="11">
        <f t="shared" si="1"/>
        <v>-0.3301677428</v>
      </c>
    </row>
    <row r="41" ht="14.25" customHeight="1">
      <c r="B41" s="6" t="s">
        <v>70</v>
      </c>
      <c r="C41" s="6" t="s">
        <v>25</v>
      </c>
      <c r="D41" s="6" t="s">
        <v>21</v>
      </c>
      <c r="E41" s="6" t="s">
        <v>26</v>
      </c>
      <c r="F41" s="6" t="s">
        <v>17</v>
      </c>
      <c r="G41" s="6" t="s">
        <v>31</v>
      </c>
      <c r="H41" s="7">
        <v>44964.0</v>
      </c>
      <c r="I41" s="8">
        <v>195.0</v>
      </c>
      <c r="J41" s="8">
        <v>421.02</v>
      </c>
      <c r="K41" s="8">
        <v>128.38</v>
      </c>
      <c r="L41" s="10">
        <f t="shared" si="2"/>
        <v>82098.9</v>
      </c>
      <c r="M41" s="10">
        <f t="shared" si="3"/>
        <v>25034.1</v>
      </c>
      <c r="N41" s="10">
        <f t="shared" si="4"/>
        <v>57064.8</v>
      </c>
      <c r="O41" s="11">
        <f t="shared" si="1"/>
        <v>0.6950738682</v>
      </c>
    </row>
    <row r="42" ht="14.25" customHeight="1">
      <c r="B42" s="6" t="s">
        <v>71</v>
      </c>
      <c r="C42" s="6" t="s">
        <v>25</v>
      </c>
      <c r="D42" s="6" t="s">
        <v>34</v>
      </c>
      <c r="E42" s="6" t="s">
        <v>26</v>
      </c>
      <c r="F42" s="6" t="s">
        <v>17</v>
      </c>
      <c r="G42" s="6" t="s">
        <v>18</v>
      </c>
      <c r="H42" s="7">
        <v>44965.0</v>
      </c>
      <c r="I42" s="6">
        <v>255.9029411764706</v>
      </c>
      <c r="J42" s="8">
        <v>91.23</v>
      </c>
      <c r="K42" s="8">
        <v>381.21</v>
      </c>
      <c r="L42" s="10">
        <f t="shared" si="2"/>
        <v>23346.02532</v>
      </c>
      <c r="M42" s="10">
        <f t="shared" si="3"/>
        <v>97552.76021</v>
      </c>
      <c r="N42" s="10">
        <f t="shared" si="4"/>
        <v>-74206.73488</v>
      </c>
      <c r="O42" s="11">
        <f t="shared" si="1"/>
        <v>-3.178559684</v>
      </c>
    </row>
    <row r="43" ht="14.25" customHeight="1">
      <c r="B43" s="6" t="s">
        <v>72</v>
      </c>
      <c r="C43" s="6" t="s">
        <v>14</v>
      </c>
      <c r="D43" s="6" t="s">
        <v>21</v>
      </c>
      <c r="E43" s="6" t="s">
        <v>22</v>
      </c>
      <c r="F43" s="6" t="s">
        <v>27</v>
      </c>
      <c r="G43" s="6" t="s">
        <v>18</v>
      </c>
      <c r="H43" s="7">
        <v>44966.0</v>
      </c>
      <c r="I43" s="8">
        <v>65.0</v>
      </c>
      <c r="J43" s="8">
        <v>480.59</v>
      </c>
      <c r="K43" s="8">
        <v>330.43</v>
      </c>
      <c r="L43" s="10">
        <f t="shared" si="2"/>
        <v>31238.35</v>
      </c>
      <c r="M43" s="10">
        <f t="shared" si="3"/>
        <v>21477.95</v>
      </c>
      <c r="N43" s="10">
        <f t="shared" si="4"/>
        <v>9760.4</v>
      </c>
      <c r="O43" s="11">
        <f t="shared" si="1"/>
        <v>0.3124492811</v>
      </c>
    </row>
    <row r="44" ht="14.25" customHeight="1">
      <c r="B44" s="6" t="s">
        <v>73</v>
      </c>
      <c r="C44" s="6" t="s">
        <v>14</v>
      </c>
      <c r="D44" s="6" t="s">
        <v>54</v>
      </c>
      <c r="E44" s="6" t="s">
        <v>46</v>
      </c>
      <c r="F44" s="6" t="s">
        <v>27</v>
      </c>
      <c r="G44" s="6" t="s">
        <v>23</v>
      </c>
      <c r="H44" s="7">
        <v>44967.0</v>
      </c>
      <c r="I44" s="8">
        <v>49.0</v>
      </c>
      <c r="J44" s="8">
        <v>210.87</v>
      </c>
      <c r="K44" s="8">
        <v>267.19</v>
      </c>
      <c r="L44" s="10">
        <f t="shared" si="2"/>
        <v>10332.63</v>
      </c>
      <c r="M44" s="10">
        <f t="shared" si="3"/>
        <v>13092.31</v>
      </c>
      <c r="N44" s="10">
        <f t="shared" si="4"/>
        <v>-2759.68</v>
      </c>
      <c r="O44" s="11">
        <f t="shared" si="1"/>
        <v>-0.2670839854</v>
      </c>
    </row>
    <row r="45" ht="14.25" customHeight="1">
      <c r="B45" s="6" t="s">
        <v>74</v>
      </c>
      <c r="C45" s="6" t="s">
        <v>14</v>
      </c>
      <c r="D45" s="6" t="s">
        <v>29</v>
      </c>
      <c r="E45" s="6" t="s">
        <v>30</v>
      </c>
      <c r="F45" s="6" t="s">
        <v>17</v>
      </c>
      <c r="G45" s="6" t="s">
        <v>18</v>
      </c>
      <c r="H45" s="7">
        <v>44968.0</v>
      </c>
      <c r="I45" s="8">
        <v>363.0</v>
      </c>
      <c r="J45" s="8">
        <v>423.89</v>
      </c>
      <c r="K45" s="8">
        <v>50.46</v>
      </c>
      <c r="L45" s="10">
        <f t="shared" si="2"/>
        <v>153872.07</v>
      </c>
      <c r="M45" s="10">
        <f t="shared" si="3"/>
        <v>18316.98</v>
      </c>
      <c r="N45" s="10">
        <f t="shared" si="4"/>
        <v>135555.09</v>
      </c>
      <c r="O45" s="11">
        <f t="shared" si="1"/>
        <v>0.8809596829</v>
      </c>
    </row>
    <row r="46" ht="14.25" customHeight="1">
      <c r="B46" s="6" t="s">
        <v>75</v>
      </c>
      <c r="C46" s="6" t="s">
        <v>52</v>
      </c>
      <c r="D46" s="6" t="s">
        <v>29</v>
      </c>
      <c r="E46" s="6" t="s">
        <v>46</v>
      </c>
      <c r="F46" s="6" t="s">
        <v>27</v>
      </c>
      <c r="G46" s="6" t="s">
        <v>31</v>
      </c>
      <c r="H46" s="7">
        <v>44969.0</v>
      </c>
      <c r="I46" s="8">
        <v>49.0</v>
      </c>
      <c r="J46" s="8">
        <v>316.24</v>
      </c>
      <c r="K46" s="8">
        <v>192.34</v>
      </c>
      <c r="L46" s="10">
        <f t="shared" si="2"/>
        <v>15495.76</v>
      </c>
      <c r="M46" s="10">
        <f t="shared" si="3"/>
        <v>9424.66</v>
      </c>
      <c r="N46" s="10">
        <f t="shared" si="4"/>
        <v>6071.1</v>
      </c>
      <c r="O46" s="11">
        <f t="shared" si="1"/>
        <v>0.3917910448</v>
      </c>
    </row>
    <row r="47" ht="14.25" customHeight="1">
      <c r="B47" s="6" t="s">
        <v>76</v>
      </c>
      <c r="C47" s="6" t="s">
        <v>20</v>
      </c>
      <c r="D47" s="6" t="s">
        <v>29</v>
      </c>
      <c r="E47" s="6" t="s">
        <v>46</v>
      </c>
      <c r="F47" s="6" t="s">
        <v>27</v>
      </c>
      <c r="G47" s="6" t="s">
        <v>31</v>
      </c>
      <c r="H47" s="7">
        <v>44970.0</v>
      </c>
      <c r="I47" s="8">
        <v>356.0</v>
      </c>
      <c r="J47" s="8">
        <v>369.0</v>
      </c>
      <c r="K47" s="8">
        <v>203.43</v>
      </c>
      <c r="L47" s="10">
        <f t="shared" si="2"/>
        <v>131364</v>
      </c>
      <c r="M47" s="10">
        <f t="shared" si="3"/>
        <v>72421.08</v>
      </c>
      <c r="N47" s="10">
        <f t="shared" si="4"/>
        <v>58942.92</v>
      </c>
      <c r="O47" s="11">
        <f t="shared" si="1"/>
        <v>0.448699187</v>
      </c>
    </row>
    <row r="48" ht="14.25" customHeight="1">
      <c r="B48" s="6" t="s">
        <v>77</v>
      </c>
      <c r="C48" s="6" t="s">
        <v>20</v>
      </c>
      <c r="D48" s="6" t="s">
        <v>34</v>
      </c>
      <c r="E48" s="6" t="s">
        <v>46</v>
      </c>
      <c r="F48" s="6" t="s">
        <v>17</v>
      </c>
      <c r="G48" s="6" t="s">
        <v>23</v>
      </c>
      <c r="H48" s="7">
        <v>44971.0</v>
      </c>
      <c r="I48" s="8">
        <v>470.0</v>
      </c>
      <c r="J48" s="6">
        <v>249.64520588235297</v>
      </c>
      <c r="K48" s="8">
        <v>94.56</v>
      </c>
      <c r="L48" s="10">
        <f t="shared" si="2"/>
        <v>117333.2468</v>
      </c>
      <c r="M48" s="10">
        <f t="shared" si="3"/>
        <v>44443.2</v>
      </c>
      <c r="N48" s="10">
        <f t="shared" si="4"/>
        <v>72890.04676</v>
      </c>
      <c r="O48" s="11">
        <f t="shared" si="1"/>
        <v>0.6212224478</v>
      </c>
    </row>
    <row r="49" ht="14.25" customHeight="1">
      <c r="B49" s="6" t="s">
        <v>78</v>
      </c>
      <c r="C49" s="6" t="s">
        <v>20</v>
      </c>
      <c r="D49" s="6" t="s">
        <v>54</v>
      </c>
      <c r="E49" s="6" t="s">
        <v>16</v>
      </c>
      <c r="F49" s="6" t="s">
        <v>17</v>
      </c>
      <c r="G49" s="6" t="s">
        <v>31</v>
      </c>
      <c r="H49" s="7">
        <v>44972.0</v>
      </c>
      <c r="I49" s="8">
        <v>246.0</v>
      </c>
      <c r="J49" s="8">
        <v>254.9</v>
      </c>
      <c r="K49" s="8">
        <v>33.83</v>
      </c>
      <c r="L49" s="10">
        <f t="shared" si="2"/>
        <v>62705.4</v>
      </c>
      <c r="M49" s="10">
        <f t="shared" si="3"/>
        <v>8322.18</v>
      </c>
      <c r="N49" s="10">
        <f t="shared" si="4"/>
        <v>54383.22</v>
      </c>
      <c r="O49" s="11">
        <f t="shared" si="1"/>
        <v>0.8672812868</v>
      </c>
    </row>
    <row r="50" ht="14.25" customHeight="1">
      <c r="B50" s="6" t="s">
        <v>79</v>
      </c>
      <c r="C50" s="6" t="s">
        <v>20</v>
      </c>
      <c r="D50" s="6" t="s">
        <v>21</v>
      </c>
      <c r="E50" s="6" t="s">
        <v>26</v>
      </c>
      <c r="F50" s="6" t="s">
        <v>17</v>
      </c>
      <c r="G50" s="6" t="s">
        <v>31</v>
      </c>
      <c r="H50" s="7">
        <v>44973.0</v>
      </c>
      <c r="I50" s="8">
        <v>298.0</v>
      </c>
      <c r="J50" s="8">
        <v>273.93</v>
      </c>
      <c r="K50" s="8">
        <v>311.14</v>
      </c>
      <c r="L50" s="10">
        <f t="shared" si="2"/>
        <v>81631.14</v>
      </c>
      <c r="M50" s="10">
        <f t="shared" si="3"/>
        <v>92719.72</v>
      </c>
      <c r="N50" s="10">
        <f t="shared" si="4"/>
        <v>-11088.58</v>
      </c>
      <c r="O50" s="11">
        <f t="shared" si="1"/>
        <v>-0.1358376228</v>
      </c>
    </row>
    <row r="51" ht="14.25" customHeight="1">
      <c r="B51" s="6" t="s">
        <v>80</v>
      </c>
      <c r="C51" s="6" t="s">
        <v>14</v>
      </c>
      <c r="D51" s="6" t="s">
        <v>15</v>
      </c>
      <c r="E51" s="6" t="s">
        <v>46</v>
      </c>
      <c r="F51" s="6" t="s">
        <v>27</v>
      </c>
      <c r="G51" s="6" t="s">
        <v>31</v>
      </c>
      <c r="H51" s="7">
        <v>44974.0</v>
      </c>
      <c r="I51" s="8">
        <v>271.0</v>
      </c>
      <c r="J51" s="8">
        <v>259.43</v>
      </c>
      <c r="K51" s="8">
        <v>50.57</v>
      </c>
      <c r="L51" s="10">
        <f t="shared" si="2"/>
        <v>70305.53</v>
      </c>
      <c r="M51" s="10">
        <f t="shared" si="3"/>
        <v>13704.47</v>
      </c>
      <c r="N51" s="10">
        <f t="shared" si="4"/>
        <v>56601.06</v>
      </c>
      <c r="O51" s="11">
        <f t="shared" si="1"/>
        <v>0.8050726593</v>
      </c>
    </row>
    <row r="52" ht="14.25" customHeight="1">
      <c r="B52" s="6" t="s">
        <v>81</v>
      </c>
      <c r="C52" s="6" t="s">
        <v>52</v>
      </c>
      <c r="D52" s="6" t="s">
        <v>21</v>
      </c>
      <c r="E52" s="6" t="s">
        <v>26</v>
      </c>
      <c r="F52" s="6" t="s">
        <v>27</v>
      </c>
      <c r="G52" s="6" t="s">
        <v>18</v>
      </c>
      <c r="H52" s="7">
        <v>44975.0</v>
      </c>
      <c r="I52" s="8">
        <v>225.0</v>
      </c>
      <c r="J52" s="8">
        <v>296.09</v>
      </c>
      <c r="K52" s="8">
        <v>238.53</v>
      </c>
      <c r="L52" s="10">
        <f t="shared" si="2"/>
        <v>66620.25</v>
      </c>
      <c r="M52" s="10">
        <f t="shared" si="3"/>
        <v>53669.25</v>
      </c>
      <c r="N52" s="10">
        <f t="shared" si="4"/>
        <v>12951</v>
      </c>
      <c r="O52" s="11">
        <f t="shared" si="1"/>
        <v>0.1944003512</v>
      </c>
    </row>
    <row r="53" ht="14.25" customHeight="1">
      <c r="B53" s="6" t="s">
        <v>82</v>
      </c>
      <c r="C53" s="6" t="s">
        <v>39</v>
      </c>
      <c r="D53" s="6" t="s">
        <v>15</v>
      </c>
      <c r="E53" s="6" t="s">
        <v>22</v>
      </c>
      <c r="F53" s="6" t="s">
        <v>17</v>
      </c>
      <c r="G53" s="6" t="s">
        <v>18</v>
      </c>
      <c r="H53" s="7">
        <v>44976.0</v>
      </c>
      <c r="I53" s="8">
        <v>156.0</v>
      </c>
      <c r="J53" s="8">
        <v>19.55</v>
      </c>
      <c r="K53" s="8">
        <v>374.71</v>
      </c>
      <c r="L53" s="10">
        <f t="shared" si="2"/>
        <v>3049.8</v>
      </c>
      <c r="M53" s="10">
        <f t="shared" si="3"/>
        <v>58454.76</v>
      </c>
      <c r="N53" s="10">
        <f t="shared" si="4"/>
        <v>-55404.96</v>
      </c>
      <c r="O53" s="11">
        <f t="shared" si="1"/>
        <v>-18.16675192</v>
      </c>
    </row>
    <row r="54" ht="14.25" customHeight="1">
      <c r="B54" s="6" t="s">
        <v>83</v>
      </c>
      <c r="C54" s="6" t="s">
        <v>14</v>
      </c>
      <c r="D54" s="6" t="s">
        <v>21</v>
      </c>
      <c r="E54" s="6" t="s">
        <v>30</v>
      </c>
      <c r="F54" s="6" t="s">
        <v>17</v>
      </c>
      <c r="G54" s="6" t="s">
        <v>31</v>
      </c>
      <c r="H54" s="7">
        <v>44977.0</v>
      </c>
      <c r="I54" s="8">
        <v>345.0</v>
      </c>
      <c r="J54" s="8">
        <v>200.78</v>
      </c>
      <c r="K54" s="8">
        <v>350.69</v>
      </c>
      <c r="L54" s="10">
        <f t="shared" si="2"/>
        <v>69269.1</v>
      </c>
      <c r="M54" s="10">
        <f t="shared" si="3"/>
        <v>120988.05</v>
      </c>
      <c r="N54" s="10">
        <f t="shared" si="4"/>
        <v>-51718.95</v>
      </c>
      <c r="O54" s="11">
        <f t="shared" si="1"/>
        <v>-0.7466381114</v>
      </c>
    </row>
    <row r="55" ht="14.25" customHeight="1">
      <c r="B55" s="6" t="s">
        <v>84</v>
      </c>
      <c r="C55" s="6" t="s">
        <v>52</v>
      </c>
      <c r="D55" s="6" t="s">
        <v>54</v>
      </c>
      <c r="E55" s="6" t="s">
        <v>22</v>
      </c>
      <c r="F55" s="6" t="s">
        <v>17</v>
      </c>
      <c r="G55" s="6" t="s">
        <v>23</v>
      </c>
      <c r="H55" s="7">
        <v>44978.0</v>
      </c>
      <c r="I55" s="8">
        <v>177.0</v>
      </c>
      <c r="J55" s="8">
        <v>305.06</v>
      </c>
      <c r="K55" s="8">
        <v>112.55</v>
      </c>
      <c r="L55" s="10">
        <f t="shared" si="2"/>
        <v>53995.62</v>
      </c>
      <c r="M55" s="10">
        <f t="shared" si="3"/>
        <v>19921.35</v>
      </c>
      <c r="N55" s="10">
        <f t="shared" si="4"/>
        <v>34074.27</v>
      </c>
      <c r="O55" s="11">
        <f t="shared" si="1"/>
        <v>0.6310561857</v>
      </c>
    </row>
    <row r="56" ht="14.25" customHeight="1">
      <c r="B56" s="6" t="s">
        <v>85</v>
      </c>
      <c r="C56" s="6" t="s">
        <v>14</v>
      </c>
      <c r="D56" s="6" t="s">
        <v>15</v>
      </c>
      <c r="E56" s="6" t="s">
        <v>22</v>
      </c>
      <c r="F56" s="6" t="s">
        <v>27</v>
      </c>
      <c r="G56" s="6" t="s">
        <v>18</v>
      </c>
      <c r="H56" s="7">
        <v>44979.0</v>
      </c>
      <c r="I56" s="8">
        <v>101.0</v>
      </c>
      <c r="J56" s="8">
        <v>300.87</v>
      </c>
      <c r="K56" s="8">
        <v>340.88</v>
      </c>
      <c r="L56" s="10">
        <f t="shared" si="2"/>
        <v>30387.87</v>
      </c>
      <c r="M56" s="10">
        <f t="shared" si="3"/>
        <v>34428.88</v>
      </c>
      <c r="N56" s="10">
        <f t="shared" si="4"/>
        <v>-4041.01</v>
      </c>
      <c r="O56" s="11">
        <f t="shared" si="1"/>
        <v>-0.1329810217</v>
      </c>
    </row>
    <row r="57" ht="14.25" customHeight="1">
      <c r="B57" s="6" t="s">
        <v>86</v>
      </c>
      <c r="C57" s="6" t="s">
        <v>20</v>
      </c>
      <c r="D57" s="6" t="s">
        <v>34</v>
      </c>
      <c r="E57" s="6" t="s">
        <v>16</v>
      </c>
      <c r="F57" s="6" t="s">
        <v>27</v>
      </c>
      <c r="G57" s="6" t="s">
        <v>23</v>
      </c>
      <c r="H57" s="7">
        <v>44980.0</v>
      </c>
      <c r="I57" s="8">
        <v>362.0</v>
      </c>
      <c r="J57" s="8">
        <v>397.51</v>
      </c>
      <c r="K57" s="8">
        <v>2.13</v>
      </c>
      <c r="L57" s="10">
        <f t="shared" si="2"/>
        <v>143898.62</v>
      </c>
      <c r="M57" s="10">
        <f t="shared" si="3"/>
        <v>771.06</v>
      </c>
      <c r="N57" s="10">
        <f t="shared" si="4"/>
        <v>143127.56</v>
      </c>
      <c r="O57" s="11">
        <f t="shared" si="1"/>
        <v>0.9946416442</v>
      </c>
    </row>
    <row r="58" ht="14.25" customHeight="1">
      <c r="B58" s="6" t="s">
        <v>87</v>
      </c>
      <c r="C58" s="6" t="s">
        <v>14</v>
      </c>
      <c r="D58" s="6" t="s">
        <v>21</v>
      </c>
      <c r="E58" s="6" t="s">
        <v>30</v>
      </c>
      <c r="F58" s="6" t="s">
        <v>27</v>
      </c>
      <c r="G58" s="6" t="s">
        <v>31</v>
      </c>
      <c r="H58" s="7">
        <v>44981.0</v>
      </c>
      <c r="I58" s="8">
        <v>68.0</v>
      </c>
      <c r="J58" s="8">
        <v>329.23</v>
      </c>
      <c r="K58" s="8">
        <v>9.04</v>
      </c>
      <c r="L58" s="10">
        <f t="shared" si="2"/>
        <v>22387.64</v>
      </c>
      <c r="M58" s="10">
        <f t="shared" si="3"/>
        <v>614.72</v>
      </c>
      <c r="N58" s="10">
        <f t="shared" si="4"/>
        <v>21772.92</v>
      </c>
      <c r="O58" s="11">
        <f t="shared" si="1"/>
        <v>0.9725419919</v>
      </c>
    </row>
    <row r="59" ht="14.25" customHeight="1">
      <c r="B59" s="6" t="s">
        <v>88</v>
      </c>
      <c r="C59" s="6" t="s">
        <v>20</v>
      </c>
      <c r="D59" s="6" t="s">
        <v>21</v>
      </c>
      <c r="E59" s="6" t="s">
        <v>22</v>
      </c>
      <c r="F59" s="6" t="s">
        <v>27</v>
      </c>
      <c r="G59" s="6" t="s">
        <v>31</v>
      </c>
      <c r="H59" s="7">
        <v>44982.0</v>
      </c>
      <c r="I59" s="8">
        <v>68.0</v>
      </c>
      <c r="J59" s="8">
        <v>496.11</v>
      </c>
      <c r="K59" s="8">
        <v>241.82</v>
      </c>
      <c r="L59" s="10">
        <f t="shared" si="2"/>
        <v>33735.48</v>
      </c>
      <c r="M59" s="10">
        <f t="shared" si="3"/>
        <v>16443.76</v>
      </c>
      <c r="N59" s="10">
        <f t="shared" si="4"/>
        <v>17291.72</v>
      </c>
      <c r="O59" s="11">
        <f t="shared" si="1"/>
        <v>0.5125677773</v>
      </c>
    </row>
    <row r="60" ht="14.25" customHeight="1">
      <c r="B60" s="6" t="s">
        <v>89</v>
      </c>
      <c r="C60" s="6" t="s">
        <v>20</v>
      </c>
      <c r="D60" s="6" t="s">
        <v>15</v>
      </c>
      <c r="E60" s="6" t="s">
        <v>22</v>
      </c>
      <c r="F60" s="6" t="s">
        <v>17</v>
      </c>
      <c r="G60" s="6" t="s">
        <v>18</v>
      </c>
      <c r="H60" s="7">
        <v>44983.0</v>
      </c>
      <c r="I60" s="8">
        <v>313.0</v>
      </c>
      <c r="J60" s="8">
        <v>145.51</v>
      </c>
      <c r="K60" s="8">
        <v>147.19</v>
      </c>
      <c r="L60" s="10">
        <f t="shared" si="2"/>
        <v>45544.63</v>
      </c>
      <c r="M60" s="10">
        <f t="shared" si="3"/>
        <v>46070.47</v>
      </c>
      <c r="N60" s="10">
        <f t="shared" si="4"/>
        <v>-525.84</v>
      </c>
      <c r="O60" s="11">
        <f t="shared" si="1"/>
        <v>-0.01154559824</v>
      </c>
    </row>
    <row r="61" ht="14.25" customHeight="1">
      <c r="B61" s="6" t="s">
        <v>90</v>
      </c>
      <c r="C61" s="6" t="s">
        <v>25</v>
      </c>
      <c r="D61" s="6" t="s">
        <v>34</v>
      </c>
      <c r="E61" s="6" t="s">
        <v>30</v>
      </c>
      <c r="F61" s="6" t="s">
        <v>17</v>
      </c>
      <c r="G61" s="6" t="s">
        <v>31</v>
      </c>
      <c r="H61" s="7">
        <v>44984.0</v>
      </c>
      <c r="I61" s="8">
        <v>178.0</v>
      </c>
      <c r="J61" s="8">
        <v>182.78</v>
      </c>
      <c r="K61" s="8">
        <v>155.81</v>
      </c>
      <c r="L61" s="10">
        <f t="shared" si="2"/>
        <v>32534.84</v>
      </c>
      <c r="M61" s="10">
        <f t="shared" si="3"/>
        <v>27734.18</v>
      </c>
      <c r="N61" s="10">
        <f t="shared" si="4"/>
        <v>4800.66</v>
      </c>
      <c r="O61" s="11">
        <f t="shared" si="1"/>
        <v>0.147554437</v>
      </c>
    </row>
    <row r="62" ht="14.25" customHeight="1">
      <c r="B62" s="6" t="s">
        <v>91</v>
      </c>
      <c r="C62" s="6" t="s">
        <v>14</v>
      </c>
      <c r="D62" s="6" t="s">
        <v>34</v>
      </c>
      <c r="E62" s="6" t="s">
        <v>30</v>
      </c>
      <c r="F62" s="6" t="s">
        <v>17</v>
      </c>
      <c r="G62" s="6" t="s">
        <v>18</v>
      </c>
      <c r="H62" s="7">
        <v>44985.0</v>
      </c>
      <c r="I62" s="8">
        <v>278.0</v>
      </c>
      <c r="J62" s="8">
        <v>195.0</v>
      </c>
      <c r="K62" s="8">
        <v>226.65</v>
      </c>
      <c r="L62" s="10">
        <f t="shared" si="2"/>
        <v>54210</v>
      </c>
      <c r="M62" s="10">
        <f t="shared" si="3"/>
        <v>63008.7</v>
      </c>
      <c r="N62" s="10">
        <f t="shared" si="4"/>
        <v>-8798.7</v>
      </c>
      <c r="O62" s="11">
        <f t="shared" si="1"/>
        <v>-0.1623076923</v>
      </c>
    </row>
    <row r="63" ht="14.25" customHeight="1">
      <c r="B63" s="6" t="s">
        <v>92</v>
      </c>
      <c r="C63" s="6" t="s">
        <v>25</v>
      </c>
      <c r="D63" s="6" t="s">
        <v>54</v>
      </c>
      <c r="E63" s="6" t="s">
        <v>22</v>
      </c>
      <c r="F63" s="6" t="s">
        <v>17</v>
      </c>
      <c r="G63" s="6" t="s">
        <v>31</v>
      </c>
      <c r="H63" s="7">
        <v>44986.0</v>
      </c>
      <c r="I63" s="8">
        <v>372.0</v>
      </c>
      <c r="J63" s="8">
        <v>235.58</v>
      </c>
      <c r="K63" s="8">
        <v>78.33</v>
      </c>
      <c r="L63" s="10">
        <f t="shared" si="2"/>
        <v>87635.76</v>
      </c>
      <c r="M63" s="10">
        <f t="shared" si="3"/>
        <v>29138.76</v>
      </c>
      <c r="N63" s="10">
        <f t="shared" si="4"/>
        <v>58497</v>
      </c>
      <c r="O63" s="11">
        <f t="shared" si="1"/>
        <v>0.6675014857</v>
      </c>
    </row>
    <row r="64" ht="14.25" customHeight="1">
      <c r="B64" s="6" t="s">
        <v>93</v>
      </c>
      <c r="C64" s="6" t="s">
        <v>14</v>
      </c>
      <c r="D64" s="6" t="s">
        <v>34</v>
      </c>
      <c r="E64" s="6" t="s">
        <v>30</v>
      </c>
      <c r="F64" s="6" t="s">
        <v>27</v>
      </c>
      <c r="G64" s="6" t="s">
        <v>31</v>
      </c>
      <c r="H64" s="7">
        <v>44987.0</v>
      </c>
      <c r="I64" s="8">
        <v>54.0</v>
      </c>
      <c r="J64" s="8">
        <v>418.82</v>
      </c>
      <c r="K64" s="8">
        <v>86.28</v>
      </c>
      <c r="L64" s="10">
        <f t="shared" si="2"/>
        <v>22616.28</v>
      </c>
      <c r="M64" s="10">
        <f t="shared" si="3"/>
        <v>4659.12</v>
      </c>
      <c r="N64" s="10">
        <f t="shared" si="4"/>
        <v>17957.16</v>
      </c>
      <c r="O64" s="11">
        <f t="shared" si="1"/>
        <v>0.793992646</v>
      </c>
    </row>
    <row r="65" ht="14.25" customHeight="1">
      <c r="B65" s="6" t="s">
        <v>94</v>
      </c>
      <c r="C65" s="6" t="s">
        <v>14</v>
      </c>
      <c r="D65" s="6" t="s">
        <v>34</v>
      </c>
      <c r="E65" s="6" t="s">
        <v>22</v>
      </c>
      <c r="F65" s="6" t="s">
        <v>27</v>
      </c>
      <c r="G65" s="6" t="s">
        <v>18</v>
      </c>
      <c r="H65" s="7">
        <v>44988.0</v>
      </c>
      <c r="I65" s="8">
        <v>354.0</v>
      </c>
      <c r="J65" s="8">
        <v>121.72</v>
      </c>
      <c r="K65" s="8">
        <v>194.87</v>
      </c>
      <c r="L65" s="10">
        <f t="shared" si="2"/>
        <v>43088.88</v>
      </c>
      <c r="M65" s="10">
        <f t="shared" si="3"/>
        <v>68983.98</v>
      </c>
      <c r="N65" s="10">
        <f t="shared" si="4"/>
        <v>-25895.1</v>
      </c>
      <c r="O65" s="11">
        <f t="shared" si="1"/>
        <v>-0.6009694381</v>
      </c>
    </row>
    <row r="66" ht="14.25" customHeight="1">
      <c r="B66" s="6" t="s">
        <v>95</v>
      </c>
      <c r="C66" s="6" t="s">
        <v>25</v>
      </c>
      <c r="D66" s="6" t="s">
        <v>34</v>
      </c>
      <c r="E66" s="6" t="s">
        <v>22</v>
      </c>
      <c r="F66" s="6" t="s">
        <v>17</v>
      </c>
      <c r="G66" s="6" t="s">
        <v>18</v>
      </c>
      <c r="H66" s="7">
        <v>44989.0</v>
      </c>
      <c r="I66" s="8">
        <v>190.0</v>
      </c>
      <c r="J66" s="8">
        <v>389.12</v>
      </c>
      <c r="K66" s="8">
        <v>302.19</v>
      </c>
      <c r="L66" s="10">
        <f t="shared" si="2"/>
        <v>73932.8</v>
      </c>
      <c r="M66" s="10">
        <f t="shared" si="3"/>
        <v>57416.1</v>
      </c>
      <c r="N66" s="10">
        <f t="shared" si="4"/>
        <v>16516.7</v>
      </c>
      <c r="O66" s="11">
        <f t="shared" si="1"/>
        <v>0.2234015214</v>
      </c>
    </row>
    <row r="67" ht="14.25" customHeight="1">
      <c r="B67" s="6" t="s">
        <v>96</v>
      </c>
      <c r="C67" s="6" t="s">
        <v>39</v>
      </c>
      <c r="D67" s="6" t="s">
        <v>29</v>
      </c>
      <c r="E67" s="6" t="s">
        <v>16</v>
      </c>
      <c r="F67" s="6" t="s">
        <v>17</v>
      </c>
      <c r="G67" s="6" t="s">
        <v>18</v>
      </c>
      <c r="H67" s="7">
        <v>44990.0</v>
      </c>
      <c r="I67" s="8">
        <v>179.0</v>
      </c>
      <c r="J67" s="8">
        <v>205.63</v>
      </c>
      <c r="K67" s="8">
        <v>248.56</v>
      </c>
      <c r="L67" s="10">
        <f t="shared" si="2"/>
        <v>36807.77</v>
      </c>
      <c r="M67" s="10">
        <f t="shared" si="3"/>
        <v>44492.24</v>
      </c>
      <c r="N67" s="10">
        <f t="shared" si="4"/>
        <v>-7684.47</v>
      </c>
      <c r="O67" s="11">
        <f t="shared" si="1"/>
        <v>-0.208773039</v>
      </c>
    </row>
    <row r="68" ht="14.25" customHeight="1">
      <c r="B68" s="6" t="s">
        <v>97</v>
      </c>
      <c r="C68" s="6" t="s">
        <v>14</v>
      </c>
      <c r="D68" s="6" t="s">
        <v>54</v>
      </c>
      <c r="E68" s="6" t="s">
        <v>46</v>
      </c>
      <c r="F68" s="6" t="s">
        <v>27</v>
      </c>
      <c r="G68" s="6" t="s">
        <v>31</v>
      </c>
      <c r="H68" s="7">
        <v>44991.0</v>
      </c>
      <c r="I68" s="8">
        <v>365.0</v>
      </c>
      <c r="J68" s="8">
        <v>302.92</v>
      </c>
      <c r="K68" s="8">
        <v>120.35</v>
      </c>
      <c r="L68" s="10">
        <f t="shared" si="2"/>
        <v>110565.8</v>
      </c>
      <c r="M68" s="10">
        <f t="shared" si="3"/>
        <v>43927.75</v>
      </c>
      <c r="N68" s="10">
        <f t="shared" si="4"/>
        <v>66638.05</v>
      </c>
      <c r="O68" s="11">
        <f t="shared" si="1"/>
        <v>0.6027003829</v>
      </c>
    </row>
    <row r="69" ht="14.25" customHeight="1">
      <c r="B69" s="6" t="s">
        <v>98</v>
      </c>
      <c r="C69" s="6" t="s">
        <v>52</v>
      </c>
      <c r="D69" s="6" t="s">
        <v>21</v>
      </c>
      <c r="E69" s="6" t="s">
        <v>22</v>
      </c>
      <c r="F69" s="6" t="s">
        <v>17</v>
      </c>
      <c r="G69" s="6" t="s">
        <v>31</v>
      </c>
      <c r="H69" s="7">
        <v>44992.0</v>
      </c>
      <c r="I69" s="8">
        <v>200.0</v>
      </c>
      <c r="J69" s="8">
        <v>318.11</v>
      </c>
      <c r="K69" s="8">
        <v>173.27</v>
      </c>
      <c r="L69" s="10">
        <f t="shared" si="2"/>
        <v>63622</v>
      </c>
      <c r="M69" s="10">
        <f t="shared" si="3"/>
        <v>34654</v>
      </c>
      <c r="N69" s="10">
        <f t="shared" si="4"/>
        <v>28968</v>
      </c>
      <c r="O69" s="11">
        <f t="shared" si="1"/>
        <v>0.4553141995</v>
      </c>
    </row>
    <row r="70" ht="14.25" customHeight="1">
      <c r="B70" s="6" t="s">
        <v>99</v>
      </c>
      <c r="C70" s="6" t="s">
        <v>20</v>
      </c>
      <c r="D70" s="6" t="s">
        <v>15</v>
      </c>
      <c r="E70" s="6" t="s">
        <v>26</v>
      </c>
      <c r="F70" s="6" t="s">
        <v>27</v>
      </c>
      <c r="G70" s="6" t="s">
        <v>23</v>
      </c>
      <c r="H70" s="7">
        <v>44993.0</v>
      </c>
      <c r="I70" s="8">
        <v>164.0</v>
      </c>
      <c r="J70" s="8">
        <v>189.56</v>
      </c>
      <c r="K70" s="8">
        <v>69.92</v>
      </c>
      <c r="L70" s="10">
        <f t="shared" si="2"/>
        <v>31087.84</v>
      </c>
      <c r="M70" s="10">
        <f t="shared" si="3"/>
        <v>11466.88</v>
      </c>
      <c r="N70" s="10">
        <f t="shared" si="4"/>
        <v>19620.96</v>
      </c>
      <c r="O70" s="11">
        <f t="shared" si="1"/>
        <v>0.6311458114</v>
      </c>
    </row>
    <row r="71" ht="14.25" customHeight="1">
      <c r="B71" s="6" t="s">
        <v>100</v>
      </c>
      <c r="C71" s="6" t="s">
        <v>25</v>
      </c>
      <c r="D71" s="6" t="s">
        <v>21</v>
      </c>
      <c r="E71" s="6" t="s">
        <v>46</v>
      </c>
      <c r="F71" s="6" t="s">
        <v>17</v>
      </c>
      <c r="G71" s="6" t="s">
        <v>18</v>
      </c>
      <c r="H71" s="7">
        <v>44994.0</v>
      </c>
      <c r="I71" s="8">
        <v>431.0</v>
      </c>
      <c r="J71" s="8">
        <v>258.74</v>
      </c>
      <c r="K71" s="8">
        <v>31.7</v>
      </c>
      <c r="L71" s="10">
        <f t="shared" si="2"/>
        <v>111516.94</v>
      </c>
      <c r="M71" s="10">
        <f t="shared" si="3"/>
        <v>13662.7</v>
      </c>
      <c r="N71" s="10">
        <f t="shared" si="4"/>
        <v>97854.24</v>
      </c>
      <c r="O71" s="11">
        <f t="shared" si="1"/>
        <v>0.8774831878</v>
      </c>
    </row>
    <row r="72" ht="14.25" customHeight="1">
      <c r="B72" s="6" t="s">
        <v>101</v>
      </c>
      <c r="C72" s="6" t="s">
        <v>20</v>
      </c>
      <c r="D72" s="6" t="s">
        <v>54</v>
      </c>
      <c r="E72" s="6" t="s">
        <v>46</v>
      </c>
      <c r="F72" s="6" t="s">
        <v>17</v>
      </c>
      <c r="G72" s="6" t="s">
        <v>31</v>
      </c>
      <c r="H72" s="7">
        <v>44995.0</v>
      </c>
      <c r="I72" s="8">
        <v>197.0</v>
      </c>
      <c r="J72" s="8">
        <v>209.45</v>
      </c>
      <c r="K72" s="8">
        <v>313.51</v>
      </c>
      <c r="L72" s="10">
        <f t="shared" si="2"/>
        <v>41261.65</v>
      </c>
      <c r="M72" s="10">
        <f t="shared" si="3"/>
        <v>61761.47</v>
      </c>
      <c r="N72" s="10">
        <f t="shared" si="4"/>
        <v>-20499.82</v>
      </c>
      <c r="O72" s="11">
        <f t="shared" si="1"/>
        <v>-0.4968250179</v>
      </c>
    </row>
    <row r="73" ht="14.25" customHeight="1">
      <c r="B73" s="6" t="s">
        <v>102</v>
      </c>
      <c r="C73" s="6" t="s">
        <v>52</v>
      </c>
      <c r="D73" s="6" t="s">
        <v>15</v>
      </c>
      <c r="E73" s="6" t="s">
        <v>46</v>
      </c>
      <c r="F73" s="6" t="s">
        <v>17</v>
      </c>
      <c r="G73" s="6" t="s">
        <v>31</v>
      </c>
      <c r="H73" s="7">
        <v>44996.0</v>
      </c>
      <c r="I73" s="8">
        <v>16.0</v>
      </c>
      <c r="J73" s="8">
        <v>39.22</v>
      </c>
      <c r="K73" s="8">
        <v>107.62</v>
      </c>
      <c r="L73" s="10">
        <f t="shared" si="2"/>
        <v>627.52</v>
      </c>
      <c r="M73" s="10">
        <f t="shared" si="3"/>
        <v>1721.92</v>
      </c>
      <c r="N73" s="10">
        <f t="shared" si="4"/>
        <v>-1094.4</v>
      </c>
      <c r="O73" s="11">
        <f t="shared" si="1"/>
        <v>-1.744008159</v>
      </c>
    </row>
    <row r="74" ht="14.25" customHeight="1">
      <c r="B74" s="6" t="s">
        <v>103</v>
      </c>
      <c r="C74" s="6" t="s">
        <v>52</v>
      </c>
      <c r="D74" s="6" t="s">
        <v>54</v>
      </c>
      <c r="E74" s="6" t="s">
        <v>16</v>
      </c>
      <c r="F74" s="6" t="s">
        <v>17</v>
      </c>
      <c r="G74" s="6" t="s">
        <v>18</v>
      </c>
      <c r="H74" s="7">
        <v>44997.0</v>
      </c>
      <c r="I74" s="8">
        <v>142.0</v>
      </c>
      <c r="J74" s="8">
        <v>221.4</v>
      </c>
      <c r="K74" s="8">
        <v>72.75</v>
      </c>
      <c r="L74" s="10">
        <f t="shared" si="2"/>
        <v>31438.8</v>
      </c>
      <c r="M74" s="10">
        <f t="shared" si="3"/>
        <v>10330.5</v>
      </c>
      <c r="N74" s="10">
        <f t="shared" si="4"/>
        <v>21108.3</v>
      </c>
      <c r="O74" s="11">
        <f t="shared" si="1"/>
        <v>0.6714092141</v>
      </c>
    </row>
    <row r="75" ht="14.25" customHeight="1">
      <c r="B75" s="6" t="s">
        <v>104</v>
      </c>
      <c r="C75" s="6" t="s">
        <v>52</v>
      </c>
      <c r="D75" s="6" t="s">
        <v>34</v>
      </c>
      <c r="E75" s="6" t="s">
        <v>22</v>
      </c>
      <c r="F75" s="6" t="s">
        <v>17</v>
      </c>
      <c r="G75" s="6" t="s">
        <v>23</v>
      </c>
      <c r="H75" s="7">
        <v>44998.0</v>
      </c>
      <c r="I75" s="8">
        <v>244.0</v>
      </c>
      <c r="J75" s="8">
        <v>53.21</v>
      </c>
      <c r="K75" s="8">
        <v>277.26</v>
      </c>
      <c r="L75" s="10">
        <f t="shared" si="2"/>
        <v>12983.24</v>
      </c>
      <c r="M75" s="10">
        <f t="shared" si="3"/>
        <v>67651.44</v>
      </c>
      <c r="N75" s="10">
        <f t="shared" si="4"/>
        <v>-54668.2</v>
      </c>
      <c r="O75" s="11">
        <f t="shared" si="1"/>
        <v>-4.210674685</v>
      </c>
    </row>
    <row r="76" ht="14.25" customHeight="1">
      <c r="B76" s="6" t="s">
        <v>105</v>
      </c>
      <c r="C76" s="6" t="s">
        <v>25</v>
      </c>
      <c r="D76" s="6" t="s">
        <v>15</v>
      </c>
      <c r="E76" s="6" t="s">
        <v>16</v>
      </c>
      <c r="F76" s="6" t="s">
        <v>17</v>
      </c>
      <c r="G76" s="6" t="s">
        <v>18</v>
      </c>
      <c r="H76" s="7">
        <v>44999.0</v>
      </c>
      <c r="I76" s="8">
        <v>54.0</v>
      </c>
      <c r="J76" s="8">
        <v>205.49</v>
      </c>
      <c r="K76" s="8">
        <v>247.98</v>
      </c>
      <c r="L76" s="10">
        <f t="shared" si="2"/>
        <v>11096.46</v>
      </c>
      <c r="M76" s="10">
        <f t="shared" si="3"/>
        <v>13390.92</v>
      </c>
      <c r="N76" s="10">
        <f t="shared" si="4"/>
        <v>-2294.46</v>
      </c>
      <c r="O76" s="11">
        <f t="shared" si="1"/>
        <v>-0.2067740523</v>
      </c>
    </row>
    <row r="77" ht="14.25" customHeight="1">
      <c r="B77" s="6" t="s">
        <v>106</v>
      </c>
      <c r="C77" s="6" t="s">
        <v>52</v>
      </c>
      <c r="D77" s="6" t="s">
        <v>34</v>
      </c>
      <c r="E77" s="6" t="s">
        <v>22</v>
      </c>
      <c r="F77" s="6" t="s">
        <v>17</v>
      </c>
      <c r="G77" s="6" t="s">
        <v>23</v>
      </c>
      <c r="H77" s="7">
        <v>45000.0</v>
      </c>
      <c r="I77" s="8">
        <v>323.0</v>
      </c>
      <c r="J77" s="8">
        <v>298.49</v>
      </c>
      <c r="K77" s="8">
        <v>254.01</v>
      </c>
      <c r="L77" s="10">
        <f t="shared" si="2"/>
        <v>96412.27</v>
      </c>
      <c r="M77" s="10">
        <f t="shared" si="3"/>
        <v>82045.23</v>
      </c>
      <c r="N77" s="10">
        <f t="shared" si="4"/>
        <v>14367.04</v>
      </c>
      <c r="O77" s="11">
        <f t="shared" si="1"/>
        <v>0.1490167175</v>
      </c>
    </row>
    <row r="78" ht="14.25" customHeight="1">
      <c r="B78" s="6" t="s">
        <v>107</v>
      </c>
      <c r="C78" s="6" t="s">
        <v>25</v>
      </c>
      <c r="D78" s="6" t="s">
        <v>21</v>
      </c>
      <c r="E78" s="6" t="s">
        <v>16</v>
      </c>
      <c r="F78" s="6" t="s">
        <v>27</v>
      </c>
      <c r="G78" s="6" t="s">
        <v>31</v>
      </c>
      <c r="H78" s="7">
        <v>45001.0</v>
      </c>
      <c r="I78" s="8">
        <v>258.0</v>
      </c>
      <c r="J78" s="8">
        <v>291.81</v>
      </c>
      <c r="K78" s="8">
        <v>93.1</v>
      </c>
      <c r="L78" s="10">
        <f t="shared" si="2"/>
        <v>75286.98</v>
      </c>
      <c r="M78" s="10">
        <f t="shared" si="3"/>
        <v>24019.8</v>
      </c>
      <c r="N78" s="10">
        <f t="shared" si="4"/>
        <v>51267.18</v>
      </c>
      <c r="O78" s="11">
        <f t="shared" si="1"/>
        <v>0.680956787</v>
      </c>
    </row>
    <row r="79" ht="14.25" customHeight="1">
      <c r="B79" s="6" t="s">
        <v>108</v>
      </c>
      <c r="C79" s="6" t="s">
        <v>52</v>
      </c>
      <c r="D79" s="6" t="s">
        <v>21</v>
      </c>
      <c r="E79" s="6" t="s">
        <v>16</v>
      </c>
      <c r="F79" s="6" t="s">
        <v>27</v>
      </c>
      <c r="G79" s="6" t="s">
        <v>23</v>
      </c>
      <c r="H79" s="7">
        <v>45002.0</v>
      </c>
      <c r="I79" s="8">
        <v>40.0</v>
      </c>
      <c r="J79" s="8">
        <v>333.0</v>
      </c>
      <c r="K79" s="8">
        <v>94.59</v>
      </c>
      <c r="L79" s="10">
        <f t="shared" si="2"/>
        <v>13320</v>
      </c>
      <c r="M79" s="10">
        <f t="shared" si="3"/>
        <v>3783.6</v>
      </c>
      <c r="N79" s="10">
        <f t="shared" si="4"/>
        <v>9536.4</v>
      </c>
      <c r="O79" s="11">
        <f t="shared" si="1"/>
        <v>0.7159459459</v>
      </c>
    </row>
    <row r="80" ht="14.25" customHeight="1">
      <c r="B80" s="6" t="s">
        <v>109</v>
      </c>
      <c r="C80" s="6" t="s">
        <v>20</v>
      </c>
      <c r="D80" s="6" t="s">
        <v>15</v>
      </c>
      <c r="E80" s="6" t="s">
        <v>26</v>
      </c>
      <c r="F80" s="6" t="s">
        <v>27</v>
      </c>
      <c r="G80" s="6" t="s">
        <v>31</v>
      </c>
      <c r="H80" s="7">
        <v>45003.0</v>
      </c>
      <c r="I80" s="8">
        <v>32.0</v>
      </c>
      <c r="J80" s="8">
        <v>52.15</v>
      </c>
      <c r="K80" s="8">
        <v>89.88</v>
      </c>
      <c r="L80" s="10">
        <f t="shared" si="2"/>
        <v>1668.8</v>
      </c>
      <c r="M80" s="10">
        <f t="shared" si="3"/>
        <v>2876.16</v>
      </c>
      <c r="N80" s="10">
        <f t="shared" si="4"/>
        <v>-1207.36</v>
      </c>
      <c r="O80" s="11">
        <f t="shared" si="1"/>
        <v>-0.7234899329</v>
      </c>
    </row>
    <row r="81" ht="14.25" customHeight="1">
      <c r="B81" s="6" t="s">
        <v>110</v>
      </c>
      <c r="C81" s="6" t="s">
        <v>20</v>
      </c>
      <c r="D81" s="6" t="s">
        <v>15</v>
      </c>
      <c r="E81" s="6" t="s">
        <v>16</v>
      </c>
      <c r="F81" s="6" t="s">
        <v>27</v>
      </c>
      <c r="G81" s="6" t="s">
        <v>18</v>
      </c>
      <c r="H81" s="7">
        <v>45004.0</v>
      </c>
      <c r="I81" s="8">
        <v>435.0</v>
      </c>
      <c r="J81" s="8">
        <v>327.8</v>
      </c>
      <c r="K81" s="8">
        <v>71.15</v>
      </c>
      <c r="L81" s="10">
        <f t="shared" si="2"/>
        <v>142593</v>
      </c>
      <c r="M81" s="10">
        <f t="shared" si="3"/>
        <v>30950.25</v>
      </c>
      <c r="N81" s="10">
        <f t="shared" si="4"/>
        <v>111642.75</v>
      </c>
      <c r="O81" s="11">
        <f t="shared" si="1"/>
        <v>0.7829469189</v>
      </c>
    </row>
    <row r="82" ht="14.25" customHeight="1">
      <c r="B82" s="6" t="s">
        <v>111</v>
      </c>
      <c r="C82" s="6" t="s">
        <v>14</v>
      </c>
      <c r="D82" s="6" t="s">
        <v>54</v>
      </c>
      <c r="E82" s="6" t="s">
        <v>30</v>
      </c>
      <c r="F82" s="6" t="s">
        <v>27</v>
      </c>
      <c r="G82" s="6" t="s">
        <v>18</v>
      </c>
      <c r="H82" s="7">
        <v>45005.0</v>
      </c>
      <c r="I82" s="8">
        <v>403.0</v>
      </c>
      <c r="J82" s="8">
        <v>159.51</v>
      </c>
      <c r="K82" s="8">
        <v>262.98</v>
      </c>
      <c r="L82" s="10">
        <f t="shared" si="2"/>
        <v>64282.53</v>
      </c>
      <c r="M82" s="10">
        <f t="shared" si="3"/>
        <v>105980.94</v>
      </c>
      <c r="N82" s="10">
        <f t="shared" si="4"/>
        <v>-41698.41</v>
      </c>
      <c r="O82" s="11">
        <f t="shared" si="1"/>
        <v>-0.6486740643</v>
      </c>
    </row>
    <row r="83" ht="14.25" customHeight="1">
      <c r="B83" s="6" t="s">
        <v>112</v>
      </c>
      <c r="C83" s="6" t="s">
        <v>20</v>
      </c>
      <c r="D83" s="6" t="s">
        <v>54</v>
      </c>
      <c r="E83" s="6" t="s">
        <v>26</v>
      </c>
      <c r="F83" s="6" t="s">
        <v>17</v>
      </c>
      <c r="G83" s="6" t="s">
        <v>18</v>
      </c>
      <c r="H83" s="7">
        <v>45006.0</v>
      </c>
      <c r="I83" s="8">
        <v>169.0</v>
      </c>
      <c r="J83" s="6">
        <v>249.64520588235297</v>
      </c>
      <c r="K83" s="8">
        <v>339.51</v>
      </c>
      <c r="L83" s="10">
        <f t="shared" si="2"/>
        <v>42190.03979</v>
      </c>
      <c r="M83" s="10">
        <f t="shared" si="3"/>
        <v>57377.19</v>
      </c>
      <c r="N83" s="10">
        <f t="shared" si="4"/>
        <v>-15187.15021</v>
      </c>
      <c r="O83" s="11">
        <f t="shared" si="1"/>
        <v>-0.3599700375</v>
      </c>
    </row>
    <row r="84" ht="14.25" customHeight="1">
      <c r="B84" s="6" t="s">
        <v>113</v>
      </c>
      <c r="C84" s="6" t="s">
        <v>14</v>
      </c>
      <c r="D84" s="6" t="s">
        <v>34</v>
      </c>
      <c r="E84" s="6" t="s">
        <v>16</v>
      </c>
      <c r="F84" s="6" t="s">
        <v>17</v>
      </c>
      <c r="G84" s="6" t="s">
        <v>23</v>
      </c>
      <c r="H84" s="7">
        <v>45007.0</v>
      </c>
      <c r="I84" s="8">
        <v>372.0</v>
      </c>
      <c r="J84" s="8">
        <v>429.7</v>
      </c>
      <c r="K84" s="8">
        <v>290.28</v>
      </c>
      <c r="L84" s="10">
        <f t="shared" si="2"/>
        <v>159848.4</v>
      </c>
      <c r="M84" s="10">
        <f t="shared" si="3"/>
        <v>107984.16</v>
      </c>
      <c r="N84" s="10">
        <f t="shared" si="4"/>
        <v>51864.24</v>
      </c>
      <c r="O84" s="11">
        <f t="shared" si="1"/>
        <v>0.3244589248</v>
      </c>
    </row>
    <row r="85" ht="14.25" customHeight="1">
      <c r="B85" s="6" t="s">
        <v>114</v>
      </c>
      <c r="C85" s="6" t="s">
        <v>20</v>
      </c>
      <c r="D85" s="6" t="s">
        <v>15</v>
      </c>
      <c r="E85" s="6" t="s">
        <v>46</v>
      </c>
      <c r="F85" s="6" t="s">
        <v>27</v>
      </c>
      <c r="G85" s="6" t="s">
        <v>31</v>
      </c>
      <c r="H85" s="7">
        <v>45008.0</v>
      </c>
      <c r="I85" s="8">
        <v>446.0</v>
      </c>
      <c r="J85" s="8">
        <v>9.47</v>
      </c>
      <c r="K85" s="8">
        <v>317.25</v>
      </c>
      <c r="L85" s="10">
        <f t="shared" si="2"/>
        <v>4223.62</v>
      </c>
      <c r="M85" s="10">
        <f t="shared" si="3"/>
        <v>141493.5</v>
      </c>
      <c r="N85" s="10">
        <f t="shared" si="4"/>
        <v>-137269.88</v>
      </c>
      <c r="O85" s="11">
        <f t="shared" si="1"/>
        <v>-32.50052798</v>
      </c>
    </row>
    <row r="86" ht="14.25" customHeight="1">
      <c r="B86" s="6" t="s">
        <v>115</v>
      </c>
      <c r="C86" s="6" t="s">
        <v>25</v>
      </c>
      <c r="D86" s="6" t="s">
        <v>21</v>
      </c>
      <c r="E86" s="6" t="s">
        <v>30</v>
      </c>
      <c r="F86" s="6" t="s">
        <v>17</v>
      </c>
      <c r="G86" s="6" t="s">
        <v>18</v>
      </c>
      <c r="H86" s="7">
        <v>45009.0</v>
      </c>
      <c r="I86" s="8">
        <v>167.0</v>
      </c>
      <c r="J86" s="8">
        <v>296.26</v>
      </c>
      <c r="K86" s="8">
        <v>163.11</v>
      </c>
      <c r="L86" s="10">
        <f t="shared" si="2"/>
        <v>49475.42</v>
      </c>
      <c r="M86" s="10">
        <f t="shared" si="3"/>
        <v>27239.37</v>
      </c>
      <c r="N86" s="10">
        <f t="shared" si="4"/>
        <v>22236.05</v>
      </c>
      <c r="O86" s="11">
        <f t="shared" si="1"/>
        <v>0.4494363059</v>
      </c>
    </row>
    <row r="87" ht="14.25" customHeight="1">
      <c r="B87" s="6" t="s">
        <v>116</v>
      </c>
      <c r="C87" s="6" t="s">
        <v>20</v>
      </c>
      <c r="D87" s="6" t="s">
        <v>54</v>
      </c>
      <c r="E87" s="6" t="s">
        <v>30</v>
      </c>
      <c r="F87" s="6" t="s">
        <v>27</v>
      </c>
      <c r="G87" s="6" t="s">
        <v>18</v>
      </c>
      <c r="H87" s="7">
        <v>45010.0</v>
      </c>
      <c r="I87" s="8">
        <v>48.0</v>
      </c>
      <c r="J87" s="8">
        <v>301.36</v>
      </c>
      <c r="K87" s="8">
        <v>262.32</v>
      </c>
      <c r="L87" s="10">
        <f t="shared" si="2"/>
        <v>14465.28</v>
      </c>
      <c r="M87" s="10">
        <f t="shared" si="3"/>
        <v>12591.36</v>
      </c>
      <c r="N87" s="10">
        <f t="shared" si="4"/>
        <v>1873.92</v>
      </c>
      <c r="O87" s="11">
        <f t="shared" si="1"/>
        <v>0.1295460579</v>
      </c>
    </row>
    <row r="88" ht="14.25" customHeight="1">
      <c r="B88" s="6" t="s">
        <v>117</v>
      </c>
      <c r="C88" s="6" t="s">
        <v>14</v>
      </c>
      <c r="D88" s="6" t="s">
        <v>54</v>
      </c>
      <c r="E88" s="6" t="s">
        <v>30</v>
      </c>
      <c r="F88" s="6" t="s">
        <v>27</v>
      </c>
      <c r="G88" s="6" t="s">
        <v>31</v>
      </c>
      <c r="H88" s="7">
        <v>45011.0</v>
      </c>
      <c r="I88" s="8">
        <v>424.0</v>
      </c>
      <c r="J88" s="8">
        <v>201.35</v>
      </c>
      <c r="K88" s="8">
        <v>142.99</v>
      </c>
      <c r="L88" s="10">
        <f t="shared" si="2"/>
        <v>85372.4</v>
      </c>
      <c r="M88" s="10">
        <f t="shared" si="3"/>
        <v>60627.76</v>
      </c>
      <c r="N88" s="10">
        <f t="shared" si="4"/>
        <v>24744.64</v>
      </c>
      <c r="O88" s="11">
        <f t="shared" si="1"/>
        <v>0.289843556</v>
      </c>
    </row>
    <row r="89" ht="14.25" customHeight="1">
      <c r="B89" s="6" t="s">
        <v>118</v>
      </c>
      <c r="C89" s="6" t="s">
        <v>14</v>
      </c>
      <c r="D89" s="6" t="s">
        <v>21</v>
      </c>
      <c r="E89" s="6" t="s">
        <v>26</v>
      </c>
      <c r="F89" s="6" t="s">
        <v>17</v>
      </c>
      <c r="G89" s="6" t="s">
        <v>18</v>
      </c>
      <c r="H89" s="7">
        <v>45012.0</v>
      </c>
      <c r="I89" s="8">
        <v>91.0</v>
      </c>
      <c r="J89" s="8">
        <v>122.33</v>
      </c>
      <c r="K89" s="8">
        <v>211.15</v>
      </c>
      <c r="L89" s="10">
        <f t="shared" si="2"/>
        <v>11132.03</v>
      </c>
      <c r="M89" s="10">
        <f t="shared" si="3"/>
        <v>19214.65</v>
      </c>
      <c r="N89" s="10">
        <f t="shared" si="4"/>
        <v>-8082.62</v>
      </c>
      <c r="O89" s="11">
        <f t="shared" si="1"/>
        <v>-0.7260688302</v>
      </c>
    </row>
    <row r="90" ht="14.25" customHeight="1">
      <c r="B90" s="6" t="s">
        <v>119</v>
      </c>
      <c r="C90" s="6" t="s">
        <v>52</v>
      </c>
      <c r="D90" s="6" t="s">
        <v>54</v>
      </c>
      <c r="E90" s="6" t="s">
        <v>16</v>
      </c>
      <c r="F90" s="6" t="s">
        <v>17</v>
      </c>
      <c r="G90" s="6" t="s">
        <v>31</v>
      </c>
      <c r="H90" s="7">
        <v>45013.0</v>
      </c>
      <c r="I90" s="8">
        <v>365.0</v>
      </c>
      <c r="J90" s="8">
        <v>121.16</v>
      </c>
      <c r="K90" s="8">
        <v>193.69</v>
      </c>
      <c r="L90" s="10">
        <f t="shared" si="2"/>
        <v>44223.4</v>
      </c>
      <c r="M90" s="10">
        <f t="shared" si="3"/>
        <v>70696.85</v>
      </c>
      <c r="N90" s="10">
        <f t="shared" si="4"/>
        <v>-26473.45</v>
      </c>
      <c r="O90" s="11">
        <f t="shared" si="1"/>
        <v>-0.5986299109</v>
      </c>
    </row>
    <row r="91" ht="14.25" customHeight="1">
      <c r="B91" s="6" t="s">
        <v>120</v>
      </c>
      <c r="C91" s="6" t="s">
        <v>25</v>
      </c>
      <c r="D91" s="6" t="s">
        <v>34</v>
      </c>
      <c r="E91" s="6" t="s">
        <v>16</v>
      </c>
      <c r="F91" s="6" t="s">
        <v>17</v>
      </c>
      <c r="G91" s="6" t="s">
        <v>31</v>
      </c>
      <c r="H91" s="7">
        <v>45014.0</v>
      </c>
      <c r="I91" s="8">
        <v>267.0</v>
      </c>
      <c r="J91" s="8">
        <v>442.44</v>
      </c>
      <c r="K91" s="8">
        <v>72.4</v>
      </c>
      <c r="L91" s="10">
        <f t="shared" si="2"/>
        <v>118131.48</v>
      </c>
      <c r="M91" s="10">
        <f t="shared" si="3"/>
        <v>19330.8</v>
      </c>
      <c r="N91" s="10">
        <f t="shared" si="4"/>
        <v>98800.68</v>
      </c>
      <c r="O91" s="11">
        <f t="shared" si="1"/>
        <v>0.8363619926</v>
      </c>
    </row>
    <row r="92" ht="14.25" customHeight="1">
      <c r="B92" s="6" t="s">
        <v>121</v>
      </c>
      <c r="C92" s="6" t="s">
        <v>20</v>
      </c>
      <c r="D92" s="6" t="s">
        <v>15</v>
      </c>
      <c r="E92" s="6" t="s">
        <v>46</v>
      </c>
      <c r="F92" s="6" t="s">
        <v>27</v>
      </c>
      <c r="G92" s="6" t="s">
        <v>31</v>
      </c>
      <c r="H92" s="7">
        <v>45015.0</v>
      </c>
      <c r="I92" s="8">
        <v>215.0</v>
      </c>
      <c r="J92" s="8">
        <v>223.8</v>
      </c>
      <c r="K92" s="8">
        <v>156.06</v>
      </c>
      <c r="L92" s="10">
        <f t="shared" si="2"/>
        <v>48117</v>
      </c>
      <c r="M92" s="10">
        <f t="shared" si="3"/>
        <v>33552.9</v>
      </c>
      <c r="N92" s="10">
        <f t="shared" si="4"/>
        <v>14564.1</v>
      </c>
      <c r="O92" s="11">
        <f t="shared" si="1"/>
        <v>0.3026809651</v>
      </c>
    </row>
    <row r="93" ht="14.25" customHeight="1">
      <c r="B93" s="6" t="s">
        <v>122</v>
      </c>
      <c r="C93" s="6" t="s">
        <v>52</v>
      </c>
      <c r="D93" s="6" t="s">
        <v>21</v>
      </c>
      <c r="E93" s="6" t="s">
        <v>46</v>
      </c>
      <c r="F93" s="6" t="s">
        <v>17</v>
      </c>
      <c r="G93" s="6" t="s">
        <v>31</v>
      </c>
      <c r="H93" s="7">
        <v>45016.0</v>
      </c>
      <c r="I93" s="8">
        <v>86.0</v>
      </c>
      <c r="J93" s="8">
        <v>168.79</v>
      </c>
      <c r="K93" s="8">
        <v>385.6</v>
      </c>
      <c r="L93" s="10">
        <f t="shared" si="2"/>
        <v>14515.94</v>
      </c>
      <c r="M93" s="10">
        <f t="shared" si="3"/>
        <v>33161.6</v>
      </c>
      <c r="N93" s="10">
        <f t="shared" si="4"/>
        <v>-18645.66</v>
      </c>
      <c r="O93" s="11">
        <f t="shared" si="1"/>
        <v>-1.284495527</v>
      </c>
    </row>
    <row r="94" ht="14.25" customHeight="1">
      <c r="B94" s="6" t="s">
        <v>123</v>
      </c>
      <c r="C94" s="6" t="s">
        <v>20</v>
      </c>
      <c r="D94" s="6" t="s">
        <v>15</v>
      </c>
      <c r="E94" s="6" t="s">
        <v>30</v>
      </c>
      <c r="F94" s="6" t="s">
        <v>27</v>
      </c>
      <c r="G94" s="6" t="s">
        <v>31</v>
      </c>
      <c r="H94" s="7">
        <v>45017.0</v>
      </c>
      <c r="I94" s="8">
        <v>486.0</v>
      </c>
      <c r="J94" s="8">
        <v>227.14</v>
      </c>
      <c r="K94" s="8">
        <v>100.93</v>
      </c>
      <c r="L94" s="10">
        <f t="shared" si="2"/>
        <v>110390.04</v>
      </c>
      <c r="M94" s="10">
        <f t="shared" si="3"/>
        <v>49051.98</v>
      </c>
      <c r="N94" s="10">
        <f t="shared" si="4"/>
        <v>61338.06</v>
      </c>
      <c r="O94" s="11">
        <f t="shared" si="1"/>
        <v>0.5556484987</v>
      </c>
    </row>
    <row r="95" ht="14.25" customHeight="1">
      <c r="B95" s="6" t="s">
        <v>124</v>
      </c>
      <c r="C95" s="6" t="s">
        <v>20</v>
      </c>
      <c r="D95" s="6" t="s">
        <v>54</v>
      </c>
      <c r="E95" s="6" t="s">
        <v>46</v>
      </c>
      <c r="F95" s="6" t="s">
        <v>27</v>
      </c>
      <c r="G95" s="6" t="s">
        <v>23</v>
      </c>
      <c r="H95" s="7">
        <v>45018.0</v>
      </c>
      <c r="I95" s="8">
        <v>21.0</v>
      </c>
      <c r="J95" s="6">
        <v>249.64520588235297</v>
      </c>
      <c r="K95" s="8">
        <v>55.25</v>
      </c>
      <c r="L95" s="10">
        <f t="shared" si="2"/>
        <v>5242.549324</v>
      </c>
      <c r="M95" s="10">
        <f t="shared" si="3"/>
        <v>1160.25</v>
      </c>
      <c r="N95" s="10">
        <f t="shared" si="4"/>
        <v>4082.299324</v>
      </c>
      <c r="O95" s="11">
        <f t="shared" si="1"/>
        <v>0.7786859163</v>
      </c>
    </row>
    <row r="96" ht="14.25" customHeight="1">
      <c r="B96" s="6" t="s">
        <v>125</v>
      </c>
      <c r="C96" s="6" t="s">
        <v>52</v>
      </c>
      <c r="D96" s="6" t="s">
        <v>54</v>
      </c>
      <c r="E96" s="6" t="s">
        <v>26</v>
      </c>
      <c r="F96" s="6" t="s">
        <v>27</v>
      </c>
      <c r="G96" s="6" t="s">
        <v>18</v>
      </c>
      <c r="H96" s="7">
        <v>45019.0</v>
      </c>
      <c r="I96" s="8">
        <v>304.0</v>
      </c>
      <c r="J96" s="8">
        <v>77.15</v>
      </c>
      <c r="K96" s="8">
        <v>168.6</v>
      </c>
      <c r="L96" s="10">
        <f t="shared" si="2"/>
        <v>23453.6</v>
      </c>
      <c r="M96" s="10">
        <f t="shared" si="3"/>
        <v>51254.4</v>
      </c>
      <c r="N96" s="10">
        <f t="shared" si="4"/>
        <v>-27800.8</v>
      </c>
      <c r="O96" s="11">
        <f t="shared" si="1"/>
        <v>-1.185353208</v>
      </c>
    </row>
    <row r="97" ht="14.25" customHeight="1">
      <c r="B97" s="6" t="s">
        <v>126</v>
      </c>
      <c r="C97" s="6" t="s">
        <v>52</v>
      </c>
      <c r="D97" s="6" t="s">
        <v>21</v>
      </c>
      <c r="E97" s="6" t="s">
        <v>16</v>
      </c>
      <c r="F97" s="6" t="s">
        <v>17</v>
      </c>
      <c r="G97" s="6" t="s">
        <v>23</v>
      </c>
      <c r="H97" s="7">
        <v>45020.0</v>
      </c>
      <c r="I97" s="8">
        <v>459.0</v>
      </c>
      <c r="J97" s="8">
        <v>227.47</v>
      </c>
      <c r="K97" s="8">
        <v>316.55</v>
      </c>
      <c r="L97" s="10">
        <f t="shared" si="2"/>
        <v>104408.73</v>
      </c>
      <c r="M97" s="10">
        <f t="shared" si="3"/>
        <v>145296.45</v>
      </c>
      <c r="N97" s="10">
        <f t="shared" si="4"/>
        <v>-40887.72</v>
      </c>
      <c r="O97" s="11">
        <f t="shared" si="1"/>
        <v>-0.3916120807</v>
      </c>
    </row>
    <row r="98" ht="14.25" customHeight="1">
      <c r="B98" s="6" t="s">
        <v>127</v>
      </c>
      <c r="C98" s="6" t="s">
        <v>52</v>
      </c>
      <c r="D98" s="6" t="s">
        <v>34</v>
      </c>
      <c r="E98" s="6" t="s">
        <v>30</v>
      </c>
      <c r="F98" s="6" t="s">
        <v>17</v>
      </c>
      <c r="G98" s="6" t="s">
        <v>18</v>
      </c>
      <c r="H98" s="7">
        <v>45021.0</v>
      </c>
      <c r="I98" s="8">
        <v>233.0</v>
      </c>
      <c r="J98" s="8">
        <v>296.0</v>
      </c>
      <c r="K98" s="8">
        <v>233.69</v>
      </c>
      <c r="L98" s="10">
        <f t="shared" si="2"/>
        <v>68968</v>
      </c>
      <c r="M98" s="10">
        <f t="shared" si="3"/>
        <v>54449.77</v>
      </c>
      <c r="N98" s="10">
        <f t="shared" si="4"/>
        <v>14518.23</v>
      </c>
      <c r="O98" s="11">
        <f t="shared" si="1"/>
        <v>0.2105067568</v>
      </c>
    </row>
    <row r="99" ht="14.25" customHeight="1">
      <c r="B99" s="6" t="s">
        <v>128</v>
      </c>
      <c r="C99" s="6" t="s">
        <v>52</v>
      </c>
      <c r="D99" s="6" t="s">
        <v>29</v>
      </c>
      <c r="E99" s="6" t="s">
        <v>46</v>
      </c>
      <c r="F99" s="6" t="s">
        <v>27</v>
      </c>
      <c r="G99" s="6" t="s">
        <v>23</v>
      </c>
      <c r="H99" s="7">
        <v>45022.0</v>
      </c>
      <c r="I99" s="8">
        <v>22.0</v>
      </c>
      <c r="J99" s="8">
        <v>474.55</v>
      </c>
      <c r="K99" s="8">
        <v>273.03</v>
      </c>
      <c r="L99" s="10">
        <f t="shared" si="2"/>
        <v>10440.1</v>
      </c>
      <c r="M99" s="10">
        <f t="shared" si="3"/>
        <v>6006.66</v>
      </c>
      <c r="N99" s="10">
        <f t="shared" si="4"/>
        <v>4433.44</v>
      </c>
      <c r="O99" s="11">
        <f t="shared" si="1"/>
        <v>0.4246549363</v>
      </c>
    </row>
    <row r="100" ht="14.25" customHeight="1">
      <c r="B100" s="6" t="s">
        <v>129</v>
      </c>
      <c r="C100" s="6" t="s">
        <v>52</v>
      </c>
      <c r="D100" s="6" t="s">
        <v>21</v>
      </c>
      <c r="E100" s="6" t="s">
        <v>26</v>
      </c>
      <c r="F100" s="6" t="s">
        <v>17</v>
      </c>
      <c r="G100" s="6" t="s">
        <v>31</v>
      </c>
      <c r="H100" s="7">
        <v>45023.0</v>
      </c>
      <c r="I100" s="8">
        <v>55.0</v>
      </c>
      <c r="J100" s="8">
        <v>130.0</v>
      </c>
      <c r="K100" s="8">
        <v>77.5</v>
      </c>
      <c r="L100" s="10">
        <f t="shared" si="2"/>
        <v>7150</v>
      </c>
      <c r="M100" s="10">
        <f t="shared" si="3"/>
        <v>4262.5</v>
      </c>
      <c r="N100" s="10">
        <f t="shared" si="4"/>
        <v>2887.5</v>
      </c>
      <c r="O100" s="11">
        <f t="shared" si="1"/>
        <v>0.4038461538</v>
      </c>
    </row>
    <row r="101" ht="14.25" customHeight="1">
      <c r="B101" s="6" t="s">
        <v>130</v>
      </c>
      <c r="C101" s="6" t="s">
        <v>20</v>
      </c>
      <c r="D101" s="6" t="s">
        <v>29</v>
      </c>
      <c r="E101" s="6" t="s">
        <v>26</v>
      </c>
      <c r="F101" s="6" t="s">
        <v>17</v>
      </c>
      <c r="G101" s="6" t="s">
        <v>18</v>
      </c>
      <c r="H101" s="7">
        <v>45024.0</v>
      </c>
      <c r="I101" s="8">
        <v>164.0</v>
      </c>
      <c r="J101" s="8">
        <v>182.83</v>
      </c>
      <c r="K101" s="8">
        <v>248.34</v>
      </c>
      <c r="L101" s="10">
        <f t="shared" si="2"/>
        <v>29984.12</v>
      </c>
      <c r="M101" s="10">
        <f t="shared" si="3"/>
        <v>40727.76</v>
      </c>
      <c r="N101" s="10">
        <f t="shared" si="4"/>
        <v>-10743.64</v>
      </c>
      <c r="O101" s="11">
        <f t="shared" si="1"/>
        <v>-0.3583109993</v>
      </c>
    </row>
    <row r="102" ht="14.25" customHeight="1">
      <c r="B102" s="6" t="s">
        <v>131</v>
      </c>
      <c r="C102" s="6" t="s">
        <v>52</v>
      </c>
      <c r="D102" s="6" t="s">
        <v>29</v>
      </c>
      <c r="E102" s="6" t="s">
        <v>46</v>
      </c>
      <c r="F102" s="6" t="s">
        <v>17</v>
      </c>
      <c r="G102" s="6" t="s">
        <v>18</v>
      </c>
      <c r="H102" s="7">
        <v>45025.0</v>
      </c>
      <c r="I102" s="8">
        <v>122.0</v>
      </c>
      <c r="J102" s="8">
        <v>192.78</v>
      </c>
      <c r="K102" s="8">
        <v>130.75</v>
      </c>
      <c r="L102" s="10">
        <f t="shared" si="2"/>
        <v>23519.16</v>
      </c>
      <c r="M102" s="10">
        <f t="shared" si="3"/>
        <v>15951.5</v>
      </c>
      <c r="N102" s="10">
        <f t="shared" si="4"/>
        <v>7567.66</v>
      </c>
      <c r="O102" s="11">
        <f t="shared" si="1"/>
        <v>0.3217657433</v>
      </c>
    </row>
    <row r="103" ht="14.25" customHeight="1">
      <c r="B103" s="6" t="s">
        <v>132</v>
      </c>
      <c r="C103" s="6" t="s">
        <v>25</v>
      </c>
      <c r="D103" s="6" t="s">
        <v>34</v>
      </c>
      <c r="E103" s="6" t="s">
        <v>16</v>
      </c>
      <c r="F103" s="6" t="s">
        <v>27</v>
      </c>
      <c r="G103" s="6" t="s">
        <v>23</v>
      </c>
      <c r="H103" s="7">
        <v>45026.0</v>
      </c>
      <c r="I103" s="8">
        <v>242.0</v>
      </c>
      <c r="J103" s="8">
        <v>304.74</v>
      </c>
      <c r="K103" s="8">
        <v>334.05</v>
      </c>
      <c r="L103" s="10">
        <f t="shared" si="2"/>
        <v>73747.08</v>
      </c>
      <c r="M103" s="10">
        <f t="shared" si="3"/>
        <v>80840.1</v>
      </c>
      <c r="N103" s="10">
        <f t="shared" si="4"/>
        <v>-7093.02</v>
      </c>
      <c r="O103" s="11">
        <f t="shared" si="1"/>
        <v>-0.09618035046</v>
      </c>
    </row>
    <row r="104" ht="14.25" customHeight="1">
      <c r="B104" s="6" t="s">
        <v>133</v>
      </c>
      <c r="C104" s="6" t="s">
        <v>14</v>
      </c>
      <c r="D104" s="6" t="s">
        <v>29</v>
      </c>
      <c r="E104" s="6" t="s">
        <v>46</v>
      </c>
      <c r="F104" s="6" t="s">
        <v>27</v>
      </c>
      <c r="G104" s="6" t="s">
        <v>23</v>
      </c>
      <c r="H104" s="7">
        <v>45027.0</v>
      </c>
      <c r="I104" s="8">
        <v>26.0</v>
      </c>
      <c r="J104" s="8">
        <v>181.58</v>
      </c>
      <c r="K104" s="8">
        <v>252.46</v>
      </c>
      <c r="L104" s="10">
        <f t="shared" si="2"/>
        <v>4721.08</v>
      </c>
      <c r="M104" s="10">
        <f t="shared" si="3"/>
        <v>6563.96</v>
      </c>
      <c r="N104" s="10">
        <f t="shared" si="4"/>
        <v>-1842.88</v>
      </c>
      <c r="O104" s="11">
        <f t="shared" si="1"/>
        <v>-0.3903513603</v>
      </c>
    </row>
    <row r="105" ht="14.25" customHeight="1">
      <c r="B105" s="6" t="s">
        <v>134</v>
      </c>
      <c r="C105" s="6" t="s">
        <v>52</v>
      </c>
      <c r="D105" s="6" t="s">
        <v>29</v>
      </c>
      <c r="E105" s="6" t="s">
        <v>30</v>
      </c>
      <c r="F105" s="6" t="s">
        <v>17</v>
      </c>
      <c r="G105" s="6" t="s">
        <v>18</v>
      </c>
      <c r="H105" s="7">
        <v>45028.0</v>
      </c>
      <c r="I105" s="8">
        <v>369.0</v>
      </c>
      <c r="J105" s="8">
        <v>269.09</v>
      </c>
      <c r="K105" s="8">
        <v>81.14</v>
      </c>
      <c r="L105" s="10">
        <f t="shared" si="2"/>
        <v>99294.21</v>
      </c>
      <c r="M105" s="10">
        <f t="shared" si="3"/>
        <v>29940.66</v>
      </c>
      <c r="N105" s="10">
        <f t="shared" si="4"/>
        <v>69353.55</v>
      </c>
      <c r="O105" s="11">
        <f t="shared" si="1"/>
        <v>0.6984651975</v>
      </c>
    </row>
    <row r="106" ht="14.25" customHeight="1">
      <c r="B106" s="6" t="s">
        <v>135</v>
      </c>
      <c r="C106" s="6" t="s">
        <v>52</v>
      </c>
      <c r="D106" s="6" t="s">
        <v>34</v>
      </c>
      <c r="E106" s="6" t="s">
        <v>46</v>
      </c>
      <c r="F106" s="6" t="s">
        <v>27</v>
      </c>
      <c r="G106" s="6" t="s">
        <v>23</v>
      </c>
      <c r="H106" s="7">
        <v>45029.0</v>
      </c>
      <c r="I106" s="8">
        <v>232.0</v>
      </c>
      <c r="J106" s="8">
        <v>391.99</v>
      </c>
      <c r="K106" s="8">
        <v>27.72</v>
      </c>
      <c r="L106" s="10">
        <f t="shared" si="2"/>
        <v>90941.68</v>
      </c>
      <c r="M106" s="10">
        <f t="shared" si="3"/>
        <v>6431.04</v>
      </c>
      <c r="N106" s="10">
        <f t="shared" si="4"/>
        <v>84510.64</v>
      </c>
      <c r="O106" s="11">
        <f t="shared" si="1"/>
        <v>0.9292839103</v>
      </c>
    </row>
    <row r="107" ht="14.25" customHeight="1">
      <c r="B107" s="6" t="s">
        <v>136</v>
      </c>
      <c r="C107" s="6" t="s">
        <v>20</v>
      </c>
      <c r="D107" s="6" t="s">
        <v>29</v>
      </c>
      <c r="E107" s="6" t="s">
        <v>26</v>
      </c>
      <c r="F107" s="6" t="s">
        <v>17</v>
      </c>
      <c r="G107" s="6" t="s">
        <v>23</v>
      </c>
      <c r="H107" s="7">
        <v>45030.0</v>
      </c>
      <c r="I107" s="8">
        <v>363.0</v>
      </c>
      <c r="J107" s="8">
        <v>354.17</v>
      </c>
      <c r="K107" s="8">
        <v>18.97</v>
      </c>
      <c r="L107" s="10">
        <f t="shared" si="2"/>
        <v>128563.71</v>
      </c>
      <c r="M107" s="10">
        <f t="shared" si="3"/>
        <v>6886.11</v>
      </c>
      <c r="N107" s="10">
        <f t="shared" si="4"/>
        <v>121677.6</v>
      </c>
      <c r="O107" s="11">
        <f t="shared" si="1"/>
        <v>0.9464381512</v>
      </c>
    </row>
    <row r="108" ht="14.25" customHeight="1">
      <c r="B108" s="6" t="s">
        <v>137</v>
      </c>
      <c r="C108" s="6" t="s">
        <v>52</v>
      </c>
      <c r="D108" s="6" t="s">
        <v>29</v>
      </c>
      <c r="E108" s="6" t="s">
        <v>46</v>
      </c>
      <c r="F108" s="6" t="s">
        <v>17</v>
      </c>
      <c r="G108" s="6" t="s">
        <v>23</v>
      </c>
      <c r="H108" s="7">
        <v>45031.0</v>
      </c>
      <c r="I108" s="8">
        <v>197.0</v>
      </c>
      <c r="J108" s="8">
        <v>225.95</v>
      </c>
      <c r="K108" s="8">
        <v>149.82</v>
      </c>
      <c r="L108" s="10">
        <f t="shared" si="2"/>
        <v>44512.15</v>
      </c>
      <c r="M108" s="10">
        <f t="shared" si="3"/>
        <v>29514.54</v>
      </c>
      <c r="N108" s="10">
        <f t="shared" si="4"/>
        <v>14997.61</v>
      </c>
      <c r="O108" s="11">
        <f t="shared" si="1"/>
        <v>0.3369329498</v>
      </c>
    </row>
    <row r="109" ht="14.25" customHeight="1">
      <c r="B109" s="6" t="s">
        <v>138</v>
      </c>
      <c r="C109" s="6" t="s">
        <v>52</v>
      </c>
      <c r="D109" s="6" t="s">
        <v>29</v>
      </c>
      <c r="E109" s="6" t="s">
        <v>16</v>
      </c>
      <c r="F109" s="6" t="s">
        <v>17</v>
      </c>
      <c r="G109" s="6" t="s">
        <v>31</v>
      </c>
      <c r="H109" s="7">
        <v>45032.0</v>
      </c>
      <c r="I109" s="8">
        <v>457.0</v>
      </c>
      <c r="J109" s="8">
        <v>432.79</v>
      </c>
      <c r="K109" s="8">
        <v>107.81</v>
      </c>
      <c r="L109" s="10">
        <f t="shared" si="2"/>
        <v>197785.03</v>
      </c>
      <c r="M109" s="10">
        <f t="shared" si="3"/>
        <v>49269.17</v>
      </c>
      <c r="N109" s="10">
        <f t="shared" si="4"/>
        <v>148515.86</v>
      </c>
      <c r="O109" s="11">
        <f t="shared" si="1"/>
        <v>0.7508953534</v>
      </c>
    </row>
    <row r="110" ht="14.25" customHeight="1">
      <c r="B110" s="6" t="s">
        <v>139</v>
      </c>
      <c r="C110" s="6" t="s">
        <v>52</v>
      </c>
      <c r="D110" s="6" t="s">
        <v>21</v>
      </c>
      <c r="E110" s="6" t="s">
        <v>22</v>
      </c>
      <c r="F110" s="6" t="s">
        <v>17</v>
      </c>
      <c r="G110" s="6" t="s">
        <v>31</v>
      </c>
      <c r="H110" s="7">
        <v>45033.0</v>
      </c>
      <c r="I110" s="8">
        <v>353.0</v>
      </c>
      <c r="J110" s="8">
        <v>281.28</v>
      </c>
      <c r="K110" s="8">
        <v>259.14</v>
      </c>
      <c r="L110" s="10">
        <f t="shared" si="2"/>
        <v>99291.84</v>
      </c>
      <c r="M110" s="10">
        <f t="shared" si="3"/>
        <v>91476.42</v>
      </c>
      <c r="N110" s="10">
        <f t="shared" si="4"/>
        <v>7815.42</v>
      </c>
      <c r="O110" s="11">
        <f t="shared" si="1"/>
        <v>0.0787116041</v>
      </c>
    </row>
    <row r="111" ht="14.25" customHeight="1">
      <c r="B111" s="6" t="s">
        <v>140</v>
      </c>
      <c r="C111" s="6" t="s">
        <v>20</v>
      </c>
      <c r="D111" s="6" t="s">
        <v>21</v>
      </c>
      <c r="E111" s="6" t="s">
        <v>46</v>
      </c>
      <c r="F111" s="6" t="s">
        <v>27</v>
      </c>
      <c r="G111" s="6" t="s">
        <v>23</v>
      </c>
      <c r="H111" s="7">
        <v>45034.0</v>
      </c>
      <c r="I111" s="8">
        <v>374.0</v>
      </c>
      <c r="J111" s="8">
        <v>272.25</v>
      </c>
      <c r="K111" s="8">
        <v>200.73</v>
      </c>
      <c r="L111" s="10">
        <f t="shared" si="2"/>
        <v>101821.5</v>
      </c>
      <c r="M111" s="10">
        <f t="shared" si="3"/>
        <v>75073.02</v>
      </c>
      <c r="N111" s="10">
        <f t="shared" si="4"/>
        <v>26748.48</v>
      </c>
      <c r="O111" s="11">
        <f t="shared" si="1"/>
        <v>0.2626997245</v>
      </c>
    </row>
    <row r="112" ht="14.25" customHeight="1">
      <c r="B112" s="6" t="s">
        <v>141</v>
      </c>
      <c r="C112" s="6" t="s">
        <v>52</v>
      </c>
      <c r="D112" s="6" t="s">
        <v>21</v>
      </c>
      <c r="E112" s="6" t="s">
        <v>16</v>
      </c>
      <c r="F112" s="6" t="s">
        <v>27</v>
      </c>
      <c r="G112" s="6" t="s">
        <v>23</v>
      </c>
      <c r="H112" s="7">
        <v>45035.0</v>
      </c>
      <c r="I112" s="8">
        <v>172.0</v>
      </c>
      <c r="J112" s="8">
        <v>21.92</v>
      </c>
      <c r="K112" s="8">
        <v>107.88</v>
      </c>
      <c r="L112" s="10">
        <f t="shared" si="2"/>
        <v>3770.24</v>
      </c>
      <c r="M112" s="10">
        <f t="shared" si="3"/>
        <v>18555.36</v>
      </c>
      <c r="N112" s="10">
        <f t="shared" si="4"/>
        <v>-14785.12</v>
      </c>
      <c r="O112" s="11">
        <f t="shared" si="1"/>
        <v>-3.921532847</v>
      </c>
    </row>
    <row r="113" ht="14.25" customHeight="1">
      <c r="B113" s="6" t="s">
        <v>142</v>
      </c>
      <c r="C113" s="6" t="s">
        <v>14</v>
      </c>
      <c r="D113" s="6" t="s">
        <v>34</v>
      </c>
      <c r="E113" s="6" t="s">
        <v>16</v>
      </c>
      <c r="F113" s="6" t="s">
        <v>27</v>
      </c>
      <c r="G113" s="6" t="s">
        <v>31</v>
      </c>
      <c r="H113" s="7">
        <v>45036.0</v>
      </c>
      <c r="I113" s="8">
        <v>335.0</v>
      </c>
      <c r="J113" s="8">
        <v>493.41</v>
      </c>
      <c r="K113" s="8">
        <v>61.4</v>
      </c>
      <c r="L113" s="10">
        <f t="shared" si="2"/>
        <v>165292.35</v>
      </c>
      <c r="M113" s="10">
        <f t="shared" si="3"/>
        <v>20569</v>
      </c>
      <c r="N113" s="10">
        <f t="shared" si="4"/>
        <v>144723.35</v>
      </c>
      <c r="O113" s="11">
        <f t="shared" si="1"/>
        <v>0.8755598792</v>
      </c>
    </row>
    <row r="114" ht="14.25" customHeight="1">
      <c r="B114" s="6" t="s">
        <v>143</v>
      </c>
      <c r="C114" s="6" t="s">
        <v>20</v>
      </c>
      <c r="D114" s="6" t="s">
        <v>54</v>
      </c>
      <c r="E114" s="6" t="s">
        <v>26</v>
      </c>
      <c r="F114" s="6" t="s">
        <v>17</v>
      </c>
      <c r="G114" s="6" t="s">
        <v>31</v>
      </c>
      <c r="H114" s="7">
        <v>45037.0</v>
      </c>
      <c r="I114" s="8">
        <v>476.0</v>
      </c>
      <c r="J114" s="8">
        <v>65.87</v>
      </c>
      <c r="K114" s="8">
        <v>52.63</v>
      </c>
      <c r="L114" s="10">
        <f t="shared" si="2"/>
        <v>31354.12</v>
      </c>
      <c r="M114" s="10">
        <f t="shared" si="3"/>
        <v>25051.88</v>
      </c>
      <c r="N114" s="10">
        <f t="shared" si="4"/>
        <v>6302.24</v>
      </c>
      <c r="O114" s="11">
        <f t="shared" si="1"/>
        <v>0.2010019736</v>
      </c>
    </row>
    <row r="115" ht="14.25" customHeight="1">
      <c r="B115" s="6" t="s">
        <v>144</v>
      </c>
      <c r="C115" s="6" t="s">
        <v>14</v>
      </c>
      <c r="D115" s="6" t="s">
        <v>29</v>
      </c>
      <c r="E115" s="6" t="s">
        <v>16</v>
      </c>
      <c r="F115" s="6" t="s">
        <v>17</v>
      </c>
      <c r="G115" s="6" t="s">
        <v>18</v>
      </c>
      <c r="H115" s="7">
        <v>45038.0</v>
      </c>
      <c r="I115" s="8">
        <v>423.0</v>
      </c>
      <c r="J115" s="8">
        <v>119.41</v>
      </c>
      <c r="K115" s="8">
        <v>346.13</v>
      </c>
      <c r="L115" s="10">
        <f t="shared" si="2"/>
        <v>50510.43</v>
      </c>
      <c r="M115" s="10">
        <f t="shared" si="3"/>
        <v>146412.99</v>
      </c>
      <c r="N115" s="10">
        <f t="shared" si="4"/>
        <v>-95902.56</v>
      </c>
      <c r="O115" s="11">
        <f t="shared" si="1"/>
        <v>-1.898668453</v>
      </c>
    </row>
    <row r="116" ht="14.25" customHeight="1">
      <c r="B116" s="6" t="s">
        <v>145</v>
      </c>
      <c r="C116" s="6" t="s">
        <v>20</v>
      </c>
      <c r="D116" s="6" t="s">
        <v>29</v>
      </c>
      <c r="E116" s="6" t="s">
        <v>16</v>
      </c>
      <c r="F116" s="6" t="s">
        <v>17</v>
      </c>
      <c r="G116" s="6" t="s">
        <v>18</v>
      </c>
      <c r="H116" s="7">
        <v>45039.0</v>
      </c>
      <c r="I116" s="8">
        <v>464.0</v>
      </c>
      <c r="J116" s="8">
        <v>30.59</v>
      </c>
      <c r="K116" s="8">
        <v>98.9</v>
      </c>
      <c r="L116" s="10">
        <f t="shared" si="2"/>
        <v>14193.76</v>
      </c>
      <c r="M116" s="10">
        <f t="shared" si="3"/>
        <v>45889.6</v>
      </c>
      <c r="N116" s="10">
        <f t="shared" si="4"/>
        <v>-31695.84</v>
      </c>
      <c r="O116" s="11">
        <f t="shared" si="1"/>
        <v>-2.233082707</v>
      </c>
    </row>
    <row r="117" ht="14.25" customHeight="1">
      <c r="B117" s="6" t="s">
        <v>146</v>
      </c>
      <c r="C117" s="6" t="s">
        <v>52</v>
      </c>
      <c r="D117" s="6" t="s">
        <v>34</v>
      </c>
      <c r="E117" s="6" t="s">
        <v>16</v>
      </c>
      <c r="F117" s="6" t="s">
        <v>27</v>
      </c>
      <c r="G117" s="6" t="s">
        <v>31</v>
      </c>
      <c r="H117" s="7">
        <v>45040.0</v>
      </c>
      <c r="I117" s="8">
        <v>83.0</v>
      </c>
      <c r="J117" s="8">
        <v>321.8</v>
      </c>
      <c r="K117" s="8">
        <v>261.38</v>
      </c>
      <c r="L117" s="10">
        <f t="shared" si="2"/>
        <v>26709.4</v>
      </c>
      <c r="M117" s="10">
        <f t="shared" si="3"/>
        <v>21694.54</v>
      </c>
      <c r="N117" s="10">
        <f t="shared" si="4"/>
        <v>5014.86</v>
      </c>
      <c r="O117" s="11">
        <f t="shared" si="1"/>
        <v>0.1877563704</v>
      </c>
    </row>
    <row r="118" ht="14.25" customHeight="1">
      <c r="B118" s="6" t="s">
        <v>147</v>
      </c>
      <c r="C118" s="6" t="s">
        <v>14</v>
      </c>
      <c r="D118" s="6" t="s">
        <v>29</v>
      </c>
      <c r="E118" s="6" t="s">
        <v>16</v>
      </c>
      <c r="F118" s="6" t="s">
        <v>17</v>
      </c>
      <c r="G118" s="6" t="s">
        <v>23</v>
      </c>
      <c r="H118" s="7">
        <v>45041.0</v>
      </c>
      <c r="I118" s="8">
        <v>242.0</v>
      </c>
      <c r="J118" s="8">
        <v>116.23</v>
      </c>
      <c r="K118" s="8">
        <v>324.65</v>
      </c>
      <c r="L118" s="10">
        <f t="shared" si="2"/>
        <v>28127.66</v>
      </c>
      <c r="M118" s="10">
        <f t="shared" si="3"/>
        <v>78565.3</v>
      </c>
      <c r="N118" s="10">
        <f t="shared" si="4"/>
        <v>-50437.64</v>
      </c>
      <c r="O118" s="11">
        <f t="shared" si="1"/>
        <v>-1.793168717</v>
      </c>
    </row>
    <row r="119" ht="14.25" customHeight="1">
      <c r="B119" s="6" t="s">
        <v>148</v>
      </c>
      <c r="C119" s="6" t="s">
        <v>20</v>
      </c>
      <c r="D119" s="6" t="s">
        <v>21</v>
      </c>
      <c r="E119" s="6" t="s">
        <v>30</v>
      </c>
      <c r="F119" s="6" t="s">
        <v>27</v>
      </c>
      <c r="G119" s="6" t="s">
        <v>23</v>
      </c>
      <c r="H119" s="7">
        <v>45042.0</v>
      </c>
      <c r="I119" s="8">
        <v>233.0</v>
      </c>
      <c r="J119" s="8">
        <v>94.11</v>
      </c>
      <c r="K119" s="8">
        <v>246.4</v>
      </c>
      <c r="L119" s="10">
        <f t="shared" si="2"/>
        <v>21927.63</v>
      </c>
      <c r="M119" s="10">
        <f t="shared" si="3"/>
        <v>57411.2</v>
      </c>
      <c r="N119" s="10">
        <f t="shared" si="4"/>
        <v>-35483.57</v>
      </c>
      <c r="O119" s="11">
        <f t="shared" si="1"/>
        <v>-1.61821273</v>
      </c>
    </row>
    <row r="120" ht="14.25" customHeight="1">
      <c r="B120" s="6" t="s">
        <v>149</v>
      </c>
      <c r="C120" s="6" t="s">
        <v>25</v>
      </c>
      <c r="D120" s="6" t="s">
        <v>54</v>
      </c>
      <c r="E120" s="6" t="s">
        <v>30</v>
      </c>
      <c r="F120" s="6" t="s">
        <v>27</v>
      </c>
      <c r="G120" s="6" t="s">
        <v>23</v>
      </c>
      <c r="H120" s="7">
        <v>45043.0</v>
      </c>
      <c r="I120" s="8">
        <v>491.0</v>
      </c>
      <c r="J120" s="8">
        <v>48.84</v>
      </c>
      <c r="K120" s="8">
        <v>344.11</v>
      </c>
      <c r="L120" s="10">
        <f t="shared" si="2"/>
        <v>23980.44</v>
      </c>
      <c r="M120" s="10">
        <f t="shared" si="3"/>
        <v>168958.01</v>
      </c>
      <c r="N120" s="10">
        <f t="shared" si="4"/>
        <v>-144977.57</v>
      </c>
      <c r="O120" s="11">
        <f t="shared" si="1"/>
        <v>-6.045659296</v>
      </c>
    </row>
    <row r="121" ht="14.25" customHeight="1">
      <c r="B121" s="6" t="s">
        <v>150</v>
      </c>
      <c r="C121" s="6" t="s">
        <v>39</v>
      </c>
      <c r="D121" s="6" t="s">
        <v>15</v>
      </c>
      <c r="E121" s="6" t="s">
        <v>26</v>
      </c>
      <c r="F121" s="6" t="s">
        <v>27</v>
      </c>
      <c r="G121" s="6" t="s">
        <v>23</v>
      </c>
      <c r="H121" s="7">
        <v>45044.0</v>
      </c>
      <c r="I121" s="8">
        <v>328.0</v>
      </c>
      <c r="J121" s="8">
        <v>56.14</v>
      </c>
      <c r="K121" s="8">
        <v>158.17</v>
      </c>
      <c r="L121" s="10">
        <f t="shared" si="2"/>
        <v>18413.92</v>
      </c>
      <c r="M121" s="10">
        <f t="shared" si="3"/>
        <v>51879.76</v>
      </c>
      <c r="N121" s="10">
        <f t="shared" si="4"/>
        <v>-33465.84</v>
      </c>
      <c r="O121" s="11">
        <f t="shared" si="1"/>
        <v>-1.817420734</v>
      </c>
    </row>
    <row r="122" ht="14.25" customHeight="1">
      <c r="B122" s="6" t="s">
        <v>151</v>
      </c>
      <c r="C122" s="6" t="s">
        <v>20</v>
      </c>
      <c r="D122" s="6" t="s">
        <v>29</v>
      </c>
      <c r="E122" s="6" t="s">
        <v>46</v>
      </c>
      <c r="F122" s="6" t="s">
        <v>27</v>
      </c>
      <c r="G122" s="6" t="s">
        <v>18</v>
      </c>
      <c r="H122" s="7">
        <v>45045.0</v>
      </c>
      <c r="I122" s="8">
        <v>421.0</v>
      </c>
      <c r="J122" s="8">
        <v>294.41</v>
      </c>
      <c r="K122" s="8">
        <v>382.58</v>
      </c>
      <c r="L122" s="10">
        <f t="shared" si="2"/>
        <v>123946.61</v>
      </c>
      <c r="M122" s="10">
        <f t="shared" si="3"/>
        <v>161066.18</v>
      </c>
      <c r="N122" s="10">
        <f t="shared" si="4"/>
        <v>-37119.57</v>
      </c>
      <c r="O122" s="11">
        <f t="shared" si="1"/>
        <v>-0.2994803166</v>
      </c>
    </row>
    <row r="123" ht="14.25" customHeight="1">
      <c r="B123" s="6" t="s">
        <v>152</v>
      </c>
      <c r="C123" s="6" t="s">
        <v>25</v>
      </c>
      <c r="D123" s="6" t="s">
        <v>21</v>
      </c>
      <c r="E123" s="6" t="s">
        <v>16</v>
      </c>
      <c r="F123" s="6" t="s">
        <v>27</v>
      </c>
      <c r="G123" s="6" t="s">
        <v>31</v>
      </c>
      <c r="H123" s="7">
        <v>45046.0</v>
      </c>
      <c r="I123" s="8">
        <v>69.0</v>
      </c>
      <c r="J123" s="8">
        <v>345.66</v>
      </c>
      <c r="K123" s="8">
        <v>54.99</v>
      </c>
      <c r="L123" s="10">
        <f t="shared" si="2"/>
        <v>23850.54</v>
      </c>
      <c r="M123" s="10">
        <f t="shared" si="3"/>
        <v>3794.31</v>
      </c>
      <c r="N123" s="10">
        <f t="shared" si="4"/>
        <v>20056.23</v>
      </c>
      <c r="O123" s="11">
        <f t="shared" si="1"/>
        <v>0.8409130359</v>
      </c>
    </row>
    <row r="124" ht="14.25" customHeight="1">
      <c r="B124" s="6" t="s">
        <v>153</v>
      </c>
      <c r="C124" s="6" t="s">
        <v>20</v>
      </c>
      <c r="D124" s="6" t="s">
        <v>15</v>
      </c>
      <c r="E124" s="6" t="s">
        <v>46</v>
      </c>
      <c r="F124" s="6" t="s">
        <v>27</v>
      </c>
      <c r="G124" s="6" t="s">
        <v>23</v>
      </c>
      <c r="H124" s="7">
        <v>45047.0</v>
      </c>
      <c r="I124" s="8">
        <v>344.0</v>
      </c>
      <c r="J124" s="8">
        <v>201.7</v>
      </c>
      <c r="K124" s="8">
        <v>42.66</v>
      </c>
      <c r="L124" s="10">
        <f t="shared" si="2"/>
        <v>69384.8</v>
      </c>
      <c r="M124" s="10">
        <f t="shared" si="3"/>
        <v>14675.04</v>
      </c>
      <c r="N124" s="10">
        <f t="shared" si="4"/>
        <v>54709.76</v>
      </c>
      <c r="O124" s="11">
        <f t="shared" si="1"/>
        <v>0.788497769</v>
      </c>
    </row>
    <row r="125" ht="14.25" customHeight="1">
      <c r="B125" s="6" t="s">
        <v>154</v>
      </c>
      <c r="C125" s="6" t="s">
        <v>39</v>
      </c>
      <c r="D125" s="6" t="s">
        <v>54</v>
      </c>
      <c r="E125" s="6" t="s">
        <v>46</v>
      </c>
      <c r="F125" s="6" t="s">
        <v>17</v>
      </c>
      <c r="G125" s="6" t="s">
        <v>18</v>
      </c>
      <c r="H125" s="7">
        <v>45048.0</v>
      </c>
      <c r="I125" s="8">
        <v>231.0</v>
      </c>
      <c r="J125" s="8">
        <v>242.55</v>
      </c>
      <c r="K125" s="8">
        <v>264.16</v>
      </c>
      <c r="L125" s="10">
        <f t="shared" si="2"/>
        <v>56029.05</v>
      </c>
      <c r="M125" s="10">
        <f t="shared" si="3"/>
        <v>61020.96</v>
      </c>
      <c r="N125" s="10">
        <f t="shared" si="4"/>
        <v>-4991.91</v>
      </c>
      <c r="O125" s="11">
        <f t="shared" si="1"/>
        <v>-0.08909503195</v>
      </c>
    </row>
    <row r="126" ht="14.25" customHeight="1">
      <c r="B126" s="6" t="s">
        <v>155</v>
      </c>
      <c r="C126" s="6" t="s">
        <v>52</v>
      </c>
      <c r="D126" s="6" t="s">
        <v>15</v>
      </c>
      <c r="E126" s="6" t="s">
        <v>26</v>
      </c>
      <c r="F126" s="6" t="s">
        <v>17</v>
      </c>
      <c r="G126" s="6" t="s">
        <v>23</v>
      </c>
      <c r="H126" s="7">
        <v>45049.0</v>
      </c>
      <c r="I126" s="8">
        <v>46.0</v>
      </c>
      <c r="J126" s="8">
        <v>344.55</v>
      </c>
      <c r="K126" s="8">
        <v>377.25</v>
      </c>
      <c r="L126" s="10">
        <f t="shared" si="2"/>
        <v>15849.3</v>
      </c>
      <c r="M126" s="10">
        <f t="shared" si="3"/>
        <v>17353.5</v>
      </c>
      <c r="N126" s="10">
        <f t="shared" si="4"/>
        <v>-1504.2</v>
      </c>
      <c r="O126" s="11">
        <f t="shared" si="1"/>
        <v>-0.09490639965</v>
      </c>
    </row>
    <row r="127" ht="14.25" customHeight="1">
      <c r="B127" s="6" t="s">
        <v>156</v>
      </c>
      <c r="C127" s="6" t="s">
        <v>14</v>
      </c>
      <c r="D127" s="6" t="s">
        <v>21</v>
      </c>
      <c r="E127" s="6" t="s">
        <v>16</v>
      </c>
      <c r="F127" s="6" t="s">
        <v>27</v>
      </c>
      <c r="G127" s="6" t="s">
        <v>31</v>
      </c>
      <c r="H127" s="7">
        <v>45050.0</v>
      </c>
      <c r="I127" s="8">
        <v>486.0</v>
      </c>
      <c r="J127" s="8">
        <v>13.6</v>
      </c>
      <c r="K127" s="8">
        <v>323.94</v>
      </c>
      <c r="L127" s="10">
        <f t="shared" si="2"/>
        <v>6609.6</v>
      </c>
      <c r="M127" s="10">
        <f t="shared" si="3"/>
        <v>157434.84</v>
      </c>
      <c r="N127" s="10">
        <f t="shared" si="4"/>
        <v>-150825.24</v>
      </c>
      <c r="O127" s="11">
        <f t="shared" si="1"/>
        <v>-22.81911765</v>
      </c>
    </row>
    <row r="128" ht="14.25" customHeight="1">
      <c r="B128" s="6" t="s">
        <v>157</v>
      </c>
      <c r="C128" s="6" t="s">
        <v>25</v>
      </c>
      <c r="D128" s="6" t="s">
        <v>15</v>
      </c>
      <c r="E128" s="6" t="s">
        <v>16</v>
      </c>
      <c r="F128" s="6" t="s">
        <v>27</v>
      </c>
      <c r="G128" s="6" t="s">
        <v>18</v>
      </c>
      <c r="H128" s="7">
        <v>45051.0</v>
      </c>
      <c r="I128" s="8">
        <v>287.0</v>
      </c>
      <c r="J128" s="8">
        <v>164.95</v>
      </c>
      <c r="K128" s="8">
        <v>32.41</v>
      </c>
      <c r="L128" s="10">
        <f t="shared" si="2"/>
        <v>47340.65</v>
      </c>
      <c r="M128" s="10">
        <f t="shared" si="3"/>
        <v>9301.67</v>
      </c>
      <c r="N128" s="10">
        <f t="shared" si="4"/>
        <v>38038.98</v>
      </c>
      <c r="O128" s="11">
        <f t="shared" si="1"/>
        <v>0.803516217</v>
      </c>
    </row>
    <row r="129" ht="14.25" customHeight="1">
      <c r="B129" s="6" t="s">
        <v>158</v>
      </c>
      <c r="C129" s="6" t="s">
        <v>20</v>
      </c>
      <c r="D129" s="6" t="s">
        <v>34</v>
      </c>
      <c r="E129" s="6" t="s">
        <v>22</v>
      </c>
      <c r="F129" s="6" t="s">
        <v>17</v>
      </c>
      <c r="G129" s="6" t="s">
        <v>31</v>
      </c>
      <c r="H129" s="7">
        <v>45052.0</v>
      </c>
      <c r="I129" s="8">
        <v>205.0</v>
      </c>
      <c r="J129" s="8">
        <v>486.68</v>
      </c>
      <c r="K129" s="8">
        <v>113.19</v>
      </c>
      <c r="L129" s="10">
        <f t="shared" si="2"/>
        <v>99769.4</v>
      </c>
      <c r="M129" s="10">
        <f t="shared" si="3"/>
        <v>23203.95</v>
      </c>
      <c r="N129" s="10">
        <f t="shared" si="4"/>
        <v>76565.45</v>
      </c>
      <c r="O129" s="11">
        <f t="shared" si="1"/>
        <v>0.7674241802</v>
      </c>
    </row>
    <row r="130" ht="14.25" customHeight="1">
      <c r="B130" s="6" t="s">
        <v>159</v>
      </c>
      <c r="C130" s="6" t="s">
        <v>52</v>
      </c>
      <c r="D130" s="6" t="s">
        <v>15</v>
      </c>
      <c r="E130" s="6" t="s">
        <v>46</v>
      </c>
      <c r="F130" s="6" t="s">
        <v>27</v>
      </c>
      <c r="G130" s="6" t="s">
        <v>31</v>
      </c>
      <c r="H130" s="7">
        <v>45053.0</v>
      </c>
      <c r="I130" s="8">
        <v>413.0</v>
      </c>
      <c r="J130" s="8">
        <v>292.16</v>
      </c>
      <c r="K130" s="8">
        <v>372.27</v>
      </c>
      <c r="L130" s="10">
        <f t="shared" si="2"/>
        <v>120662.08</v>
      </c>
      <c r="M130" s="10">
        <f t="shared" si="3"/>
        <v>153747.51</v>
      </c>
      <c r="N130" s="10">
        <f t="shared" si="4"/>
        <v>-33085.43</v>
      </c>
      <c r="O130" s="11">
        <f t="shared" si="1"/>
        <v>-0.274199069</v>
      </c>
    </row>
    <row r="131" ht="14.25" customHeight="1">
      <c r="B131" s="6" t="s">
        <v>160</v>
      </c>
      <c r="C131" s="6" t="s">
        <v>25</v>
      </c>
      <c r="D131" s="6" t="s">
        <v>29</v>
      </c>
      <c r="E131" s="6" t="s">
        <v>46</v>
      </c>
      <c r="F131" s="6" t="s">
        <v>27</v>
      </c>
      <c r="G131" s="6" t="s">
        <v>18</v>
      </c>
      <c r="H131" s="7">
        <v>45054.0</v>
      </c>
      <c r="I131" s="8">
        <v>361.0</v>
      </c>
      <c r="J131" s="8">
        <v>130.84</v>
      </c>
      <c r="K131" s="8">
        <v>102.72</v>
      </c>
      <c r="L131" s="10">
        <f t="shared" si="2"/>
        <v>47233.24</v>
      </c>
      <c r="M131" s="10">
        <f t="shared" si="3"/>
        <v>37081.92</v>
      </c>
      <c r="N131" s="10">
        <f t="shared" si="4"/>
        <v>10151.32</v>
      </c>
      <c r="O131" s="11">
        <f t="shared" si="1"/>
        <v>0.214918985</v>
      </c>
    </row>
    <row r="132" ht="14.25" customHeight="1">
      <c r="B132" s="6" t="s">
        <v>161</v>
      </c>
      <c r="C132" s="6" t="s">
        <v>20</v>
      </c>
      <c r="D132" s="6" t="s">
        <v>29</v>
      </c>
      <c r="E132" s="6" t="s">
        <v>30</v>
      </c>
      <c r="F132" s="6" t="s">
        <v>17</v>
      </c>
      <c r="G132" s="6" t="s">
        <v>18</v>
      </c>
      <c r="H132" s="7">
        <v>45055.0</v>
      </c>
      <c r="I132" s="8">
        <v>493.0</v>
      </c>
      <c r="J132" s="8">
        <v>263.26</v>
      </c>
      <c r="K132" s="8">
        <v>312.91</v>
      </c>
      <c r="L132" s="10">
        <f t="shared" si="2"/>
        <v>129787.18</v>
      </c>
      <c r="M132" s="10">
        <f t="shared" si="3"/>
        <v>154264.63</v>
      </c>
      <c r="N132" s="10">
        <f t="shared" si="4"/>
        <v>-24477.45</v>
      </c>
      <c r="O132" s="11">
        <f t="shared" si="1"/>
        <v>-0.1885968244</v>
      </c>
    </row>
    <row r="133" ht="14.25" customHeight="1">
      <c r="B133" s="6" t="s">
        <v>162</v>
      </c>
      <c r="C133" s="6" t="s">
        <v>20</v>
      </c>
      <c r="D133" s="6" t="s">
        <v>34</v>
      </c>
      <c r="E133" s="6" t="s">
        <v>22</v>
      </c>
      <c r="F133" s="6" t="s">
        <v>27</v>
      </c>
      <c r="G133" s="6" t="s">
        <v>18</v>
      </c>
      <c r="H133" s="7">
        <v>45056.0</v>
      </c>
      <c r="I133" s="8">
        <v>251.0</v>
      </c>
      <c r="J133" s="8">
        <v>174.61</v>
      </c>
      <c r="K133" s="8">
        <v>330.4</v>
      </c>
      <c r="L133" s="10">
        <f t="shared" si="2"/>
        <v>43827.11</v>
      </c>
      <c r="M133" s="10">
        <f t="shared" si="3"/>
        <v>82930.4</v>
      </c>
      <c r="N133" s="10">
        <f t="shared" si="4"/>
        <v>-39103.29</v>
      </c>
      <c r="O133" s="11">
        <f t="shared" si="1"/>
        <v>-0.8922169406</v>
      </c>
    </row>
    <row r="134" ht="14.25" customHeight="1">
      <c r="B134" s="6" t="s">
        <v>163</v>
      </c>
      <c r="C134" s="6" t="s">
        <v>20</v>
      </c>
      <c r="D134" s="6" t="s">
        <v>21</v>
      </c>
      <c r="E134" s="6" t="s">
        <v>30</v>
      </c>
      <c r="F134" s="6" t="s">
        <v>27</v>
      </c>
      <c r="G134" s="6" t="s">
        <v>18</v>
      </c>
      <c r="H134" s="7">
        <v>45057.0</v>
      </c>
      <c r="I134" s="6">
        <v>255.9029411764706</v>
      </c>
      <c r="J134" s="8">
        <v>268.46</v>
      </c>
      <c r="K134" s="8">
        <v>199.19</v>
      </c>
      <c r="L134" s="10">
        <f t="shared" si="2"/>
        <v>68699.70359</v>
      </c>
      <c r="M134" s="10">
        <f t="shared" si="3"/>
        <v>50973.30685</v>
      </c>
      <c r="N134" s="10">
        <f t="shared" si="4"/>
        <v>17726.39674</v>
      </c>
      <c r="O134" s="11">
        <f t="shared" si="1"/>
        <v>0.2580272666</v>
      </c>
    </row>
    <row r="135" ht="14.25" customHeight="1">
      <c r="B135" s="6" t="s">
        <v>164</v>
      </c>
      <c r="C135" s="6" t="s">
        <v>25</v>
      </c>
      <c r="D135" s="6" t="s">
        <v>29</v>
      </c>
      <c r="E135" s="6" t="s">
        <v>30</v>
      </c>
      <c r="F135" s="6" t="s">
        <v>27</v>
      </c>
      <c r="G135" s="6" t="s">
        <v>18</v>
      </c>
      <c r="H135" s="7">
        <v>45058.0</v>
      </c>
      <c r="I135" s="8">
        <v>228.0</v>
      </c>
      <c r="J135" s="8">
        <v>67.24</v>
      </c>
      <c r="K135" s="8">
        <v>155.77</v>
      </c>
      <c r="L135" s="10">
        <f t="shared" si="2"/>
        <v>15330.72</v>
      </c>
      <c r="M135" s="10">
        <f t="shared" si="3"/>
        <v>35515.56</v>
      </c>
      <c r="N135" s="10">
        <f t="shared" si="4"/>
        <v>-20184.84</v>
      </c>
      <c r="O135" s="11">
        <f t="shared" si="1"/>
        <v>-1.316627008</v>
      </c>
    </row>
    <row r="136" ht="14.25" customHeight="1">
      <c r="B136" s="6" t="s">
        <v>165</v>
      </c>
      <c r="C136" s="6" t="s">
        <v>25</v>
      </c>
      <c r="D136" s="6" t="s">
        <v>54</v>
      </c>
      <c r="E136" s="6" t="s">
        <v>30</v>
      </c>
      <c r="F136" s="6" t="s">
        <v>17</v>
      </c>
      <c r="G136" s="6" t="s">
        <v>18</v>
      </c>
      <c r="H136" s="7">
        <v>45059.0</v>
      </c>
      <c r="I136" s="8">
        <v>201.0</v>
      </c>
      <c r="J136" s="8">
        <v>70.69</v>
      </c>
      <c r="K136" s="8">
        <v>181.15</v>
      </c>
      <c r="L136" s="10">
        <f t="shared" si="2"/>
        <v>14208.69</v>
      </c>
      <c r="M136" s="10">
        <f t="shared" si="3"/>
        <v>36411.15</v>
      </c>
      <c r="N136" s="10">
        <f t="shared" si="4"/>
        <v>-22202.46</v>
      </c>
      <c r="O136" s="11">
        <f t="shared" si="1"/>
        <v>-1.562597256</v>
      </c>
    </row>
    <row r="137" ht="14.25" customHeight="1">
      <c r="B137" s="6" t="s">
        <v>166</v>
      </c>
      <c r="C137" s="6" t="s">
        <v>25</v>
      </c>
      <c r="D137" s="6" t="s">
        <v>29</v>
      </c>
      <c r="E137" s="6" t="s">
        <v>26</v>
      </c>
      <c r="F137" s="6" t="s">
        <v>17</v>
      </c>
      <c r="G137" s="6" t="s">
        <v>18</v>
      </c>
      <c r="H137" s="7">
        <v>45060.0</v>
      </c>
      <c r="I137" s="8">
        <v>26.0</v>
      </c>
      <c r="J137" s="8">
        <v>76.05</v>
      </c>
      <c r="K137" s="8">
        <v>92.33</v>
      </c>
      <c r="L137" s="10">
        <f t="shared" si="2"/>
        <v>1977.3</v>
      </c>
      <c r="M137" s="10">
        <f t="shared" si="3"/>
        <v>2400.58</v>
      </c>
      <c r="N137" s="10">
        <f t="shared" si="4"/>
        <v>-423.28</v>
      </c>
      <c r="O137" s="11">
        <f t="shared" si="1"/>
        <v>-0.214069691</v>
      </c>
    </row>
    <row r="138" ht="14.25" customHeight="1">
      <c r="B138" s="6" t="s">
        <v>167</v>
      </c>
      <c r="C138" s="6" t="s">
        <v>14</v>
      </c>
      <c r="D138" s="6" t="s">
        <v>29</v>
      </c>
      <c r="E138" s="6" t="s">
        <v>26</v>
      </c>
      <c r="F138" s="6" t="s">
        <v>17</v>
      </c>
      <c r="G138" s="6" t="s">
        <v>23</v>
      </c>
      <c r="H138" s="7">
        <v>45061.0</v>
      </c>
      <c r="I138" s="8">
        <v>21.0</v>
      </c>
      <c r="J138" s="8">
        <v>470.21</v>
      </c>
      <c r="K138" s="8">
        <v>355.98</v>
      </c>
      <c r="L138" s="10">
        <f t="shared" si="2"/>
        <v>9874.41</v>
      </c>
      <c r="M138" s="10">
        <f t="shared" si="3"/>
        <v>7475.58</v>
      </c>
      <c r="N138" s="10">
        <f t="shared" si="4"/>
        <v>2398.83</v>
      </c>
      <c r="O138" s="11">
        <f t="shared" si="1"/>
        <v>0.2429340082</v>
      </c>
    </row>
    <row r="139" ht="14.25" customHeight="1">
      <c r="B139" s="6" t="s">
        <v>168</v>
      </c>
      <c r="C139" s="6" t="s">
        <v>25</v>
      </c>
      <c r="D139" s="6" t="s">
        <v>21</v>
      </c>
      <c r="E139" s="6" t="s">
        <v>30</v>
      </c>
      <c r="F139" s="6" t="s">
        <v>27</v>
      </c>
      <c r="G139" s="6" t="s">
        <v>31</v>
      </c>
      <c r="H139" s="7">
        <v>45062.0</v>
      </c>
      <c r="I139" s="8">
        <v>415.0</v>
      </c>
      <c r="J139" s="8">
        <v>367.78</v>
      </c>
      <c r="K139" s="8">
        <v>181.35</v>
      </c>
      <c r="L139" s="10">
        <f t="shared" si="2"/>
        <v>152628.7</v>
      </c>
      <c r="M139" s="10">
        <f t="shared" si="3"/>
        <v>75260.25</v>
      </c>
      <c r="N139" s="10">
        <f t="shared" si="4"/>
        <v>77368.45</v>
      </c>
      <c r="O139" s="11">
        <f t="shared" si="1"/>
        <v>0.5069063027</v>
      </c>
    </row>
    <row r="140" ht="14.25" customHeight="1">
      <c r="B140" s="6" t="s">
        <v>169</v>
      </c>
      <c r="C140" s="6" t="s">
        <v>25</v>
      </c>
      <c r="D140" s="6" t="s">
        <v>15</v>
      </c>
      <c r="E140" s="6" t="s">
        <v>22</v>
      </c>
      <c r="F140" s="6" t="s">
        <v>27</v>
      </c>
      <c r="G140" s="6" t="s">
        <v>18</v>
      </c>
      <c r="H140" s="7">
        <v>45063.0</v>
      </c>
      <c r="I140" s="8">
        <v>410.0</v>
      </c>
      <c r="J140" s="8">
        <v>85.38</v>
      </c>
      <c r="K140" s="8">
        <v>353.22</v>
      </c>
      <c r="L140" s="10">
        <f t="shared" si="2"/>
        <v>35005.8</v>
      </c>
      <c r="M140" s="10">
        <f t="shared" si="3"/>
        <v>144820.2</v>
      </c>
      <c r="N140" s="10">
        <f t="shared" si="4"/>
        <v>-109814.4</v>
      </c>
      <c r="O140" s="11">
        <f t="shared" si="1"/>
        <v>-3.137034434</v>
      </c>
    </row>
    <row r="141" ht="14.25" customHeight="1">
      <c r="B141" s="6" t="s">
        <v>170</v>
      </c>
      <c r="C141" s="6" t="s">
        <v>25</v>
      </c>
      <c r="D141" s="6" t="s">
        <v>29</v>
      </c>
      <c r="E141" s="6" t="s">
        <v>46</v>
      </c>
      <c r="F141" s="6" t="s">
        <v>17</v>
      </c>
      <c r="G141" s="6" t="s">
        <v>23</v>
      </c>
      <c r="H141" s="7">
        <v>45064.0</v>
      </c>
      <c r="I141" s="8">
        <v>403.0</v>
      </c>
      <c r="J141" s="8">
        <v>98.23</v>
      </c>
      <c r="K141" s="8">
        <v>44.07</v>
      </c>
      <c r="L141" s="10">
        <f t="shared" si="2"/>
        <v>39586.69</v>
      </c>
      <c r="M141" s="10">
        <f t="shared" si="3"/>
        <v>17760.21</v>
      </c>
      <c r="N141" s="10">
        <f t="shared" si="4"/>
        <v>21826.48</v>
      </c>
      <c r="O141" s="11">
        <f t="shared" si="1"/>
        <v>0.5513590553</v>
      </c>
    </row>
    <row r="142" ht="14.25" customHeight="1">
      <c r="B142" s="6" t="s">
        <v>171</v>
      </c>
      <c r="C142" s="6" t="s">
        <v>14</v>
      </c>
      <c r="D142" s="6" t="s">
        <v>34</v>
      </c>
      <c r="E142" s="6" t="s">
        <v>22</v>
      </c>
      <c r="F142" s="6" t="s">
        <v>27</v>
      </c>
      <c r="G142" s="6" t="s">
        <v>23</v>
      </c>
      <c r="H142" s="7">
        <v>45065.0</v>
      </c>
      <c r="I142" s="8">
        <v>383.0</v>
      </c>
      <c r="J142" s="8">
        <v>366.76</v>
      </c>
      <c r="K142" s="8">
        <v>395.33</v>
      </c>
      <c r="L142" s="10">
        <f t="shared" si="2"/>
        <v>140469.08</v>
      </c>
      <c r="M142" s="10">
        <f t="shared" si="3"/>
        <v>151411.39</v>
      </c>
      <c r="N142" s="10">
        <f t="shared" si="4"/>
        <v>-10942.31</v>
      </c>
      <c r="O142" s="11">
        <f t="shared" si="1"/>
        <v>-0.07789835315</v>
      </c>
    </row>
    <row r="143" ht="14.25" customHeight="1">
      <c r="B143" s="6" t="s">
        <v>172</v>
      </c>
      <c r="C143" s="6" t="s">
        <v>25</v>
      </c>
      <c r="D143" s="6" t="s">
        <v>15</v>
      </c>
      <c r="E143" s="6" t="s">
        <v>16</v>
      </c>
      <c r="F143" s="6" t="s">
        <v>27</v>
      </c>
      <c r="G143" s="6" t="s">
        <v>23</v>
      </c>
      <c r="H143" s="7">
        <v>45066.0</v>
      </c>
      <c r="I143" s="8">
        <v>202.0</v>
      </c>
      <c r="J143" s="8">
        <v>82.3</v>
      </c>
      <c r="K143" s="8">
        <v>178.42</v>
      </c>
      <c r="L143" s="10">
        <f t="shared" si="2"/>
        <v>16624.6</v>
      </c>
      <c r="M143" s="10">
        <f t="shared" si="3"/>
        <v>36040.84</v>
      </c>
      <c r="N143" s="10">
        <f t="shared" si="4"/>
        <v>-19416.24</v>
      </c>
      <c r="O143" s="11">
        <f t="shared" si="1"/>
        <v>-1.167922236</v>
      </c>
    </row>
    <row r="144" ht="14.25" customHeight="1">
      <c r="B144" s="6" t="s">
        <v>173</v>
      </c>
      <c r="C144" s="6" t="s">
        <v>20</v>
      </c>
      <c r="D144" s="6" t="s">
        <v>54</v>
      </c>
      <c r="E144" s="6" t="s">
        <v>26</v>
      </c>
      <c r="F144" s="6" t="s">
        <v>27</v>
      </c>
      <c r="G144" s="6" t="s">
        <v>31</v>
      </c>
      <c r="H144" s="7">
        <v>45067.0</v>
      </c>
      <c r="I144" s="8">
        <v>31.0</v>
      </c>
      <c r="J144" s="8">
        <v>121.11</v>
      </c>
      <c r="K144" s="8">
        <v>21.04</v>
      </c>
      <c r="L144" s="10">
        <f t="shared" si="2"/>
        <v>3754.41</v>
      </c>
      <c r="M144" s="10">
        <f t="shared" si="3"/>
        <v>652.24</v>
      </c>
      <c r="N144" s="10">
        <f t="shared" si="4"/>
        <v>3102.17</v>
      </c>
      <c r="O144" s="11">
        <f t="shared" si="1"/>
        <v>0.8262736355</v>
      </c>
    </row>
    <row r="145" ht="14.25" customHeight="1">
      <c r="B145" s="6" t="s">
        <v>174</v>
      </c>
      <c r="C145" s="6" t="s">
        <v>25</v>
      </c>
      <c r="D145" s="6" t="s">
        <v>21</v>
      </c>
      <c r="E145" s="6" t="s">
        <v>46</v>
      </c>
      <c r="F145" s="6" t="s">
        <v>27</v>
      </c>
      <c r="G145" s="6" t="s">
        <v>18</v>
      </c>
      <c r="H145" s="7">
        <v>45068.0</v>
      </c>
      <c r="I145" s="8">
        <v>483.0</v>
      </c>
      <c r="J145" s="8">
        <v>481.86</v>
      </c>
      <c r="K145" s="8">
        <v>17.13</v>
      </c>
      <c r="L145" s="10">
        <f t="shared" si="2"/>
        <v>232738.38</v>
      </c>
      <c r="M145" s="10">
        <f t="shared" si="3"/>
        <v>8273.79</v>
      </c>
      <c r="N145" s="10">
        <f t="shared" si="4"/>
        <v>224464.59</v>
      </c>
      <c r="O145" s="11">
        <f t="shared" si="1"/>
        <v>0.9644502553</v>
      </c>
    </row>
    <row r="146" ht="14.25" customHeight="1">
      <c r="B146" s="6" t="s">
        <v>175</v>
      </c>
      <c r="C146" s="6" t="s">
        <v>20</v>
      </c>
      <c r="D146" s="6" t="s">
        <v>54</v>
      </c>
      <c r="E146" s="6" t="s">
        <v>46</v>
      </c>
      <c r="F146" s="6" t="s">
        <v>27</v>
      </c>
      <c r="G146" s="6" t="s">
        <v>23</v>
      </c>
      <c r="H146" s="7">
        <v>45069.0</v>
      </c>
      <c r="I146" s="8">
        <v>129.0</v>
      </c>
      <c r="J146" s="8">
        <v>131.38</v>
      </c>
      <c r="K146" s="8">
        <v>298.99</v>
      </c>
      <c r="L146" s="10">
        <f t="shared" si="2"/>
        <v>16948.02</v>
      </c>
      <c r="M146" s="10">
        <f t="shared" si="3"/>
        <v>38569.71</v>
      </c>
      <c r="N146" s="10">
        <f t="shared" si="4"/>
        <v>-21621.69</v>
      </c>
      <c r="O146" s="11">
        <f t="shared" si="1"/>
        <v>-1.275764957</v>
      </c>
    </row>
    <row r="147" ht="14.25" customHeight="1">
      <c r="B147" s="6" t="s">
        <v>176</v>
      </c>
      <c r="C147" s="6" t="s">
        <v>20</v>
      </c>
      <c r="D147" s="6" t="s">
        <v>15</v>
      </c>
      <c r="E147" s="6" t="s">
        <v>16</v>
      </c>
      <c r="F147" s="6" t="s">
        <v>17</v>
      </c>
      <c r="G147" s="6" t="s">
        <v>31</v>
      </c>
      <c r="H147" s="7">
        <v>45070.0</v>
      </c>
      <c r="I147" s="8">
        <v>219.0</v>
      </c>
      <c r="J147" s="8">
        <v>332.51</v>
      </c>
      <c r="K147" s="8">
        <v>264.3</v>
      </c>
      <c r="L147" s="10">
        <f t="shared" si="2"/>
        <v>72819.69</v>
      </c>
      <c r="M147" s="10">
        <f t="shared" si="3"/>
        <v>57881.7</v>
      </c>
      <c r="N147" s="10">
        <f t="shared" si="4"/>
        <v>14937.99</v>
      </c>
      <c r="O147" s="11">
        <f t="shared" si="1"/>
        <v>0.2051366876</v>
      </c>
    </row>
    <row r="148" ht="14.25" customHeight="1">
      <c r="B148" s="6" t="s">
        <v>177</v>
      </c>
      <c r="C148" s="6" t="s">
        <v>20</v>
      </c>
      <c r="D148" s="6" t="s">
        <v>15</v>
      </c>
      <c r="E148" s="6" t="s">
        <v>16</v>
      </c>
      <c r="F148" s="6" t="s">
        <v>27</v>
      </c>
      <c r="G148" s="6" t="s">
        <v>31</v>
      </c>
      <c r="H148" s="7">
        <v>45071.0</v>
      </c>
      <c r="I148" s="8">
        <v>315.0</v>
      </c>
      <c r="J148" s="8">
        <v>489.42</v>
      </c>
      <c r="K148" s="8">
        <v>321.25</v>
      </c>
      <c r="L148" s="10">
        <f t="shared" si="2"/>
        <v>154167.3</v>
      </c>
      <c r="M148" s="10">
        <f t="shared" si="3"/>
        <v>101193.75</v>
      </c>
      <c r="N148" s="10">
        <f t="shared" si="4"/>
        <v>52973.55</v>
      </c>
      <c r="O148" s="11">
        <f t="shared" si="1"/>
        <v>0.3436108046</v>
      </c>
    </row>
    <row r="149" ht="14.25" customHeight="1">
      <c r="B149" s="6" t="s">
        <v>178</v>
      </c>
      <c r="C149" s="6" t="s">
        <v>14</v>
      </c>
      <c r="D149" s="6" t="s">
        <v>15</v>
      </c>
      <c r="E149" s="6" t="s">
        <v>30</v>
      </c>
      <c r="F149" s="6" t="s">
        <v>17</v>
      </c>
      <c r="G149" s="6" t="s">
        <v>31</v>
      </c>
      <c r="H149" s="7">
        <v>45072.0</v>
      </c>
      <c r="I149" s="8">
        <v>279.0</v>
      </c>
      <c r="J149" s="8">
        <v>190.28</v>
      </c>
      <c r="K149" s="8">
        <v>43.94</v>
      </c>
      <c r="L149" s="10">
        <f t="shared" si="2"/>
        <v>53088.12</v>
      </c>
      <c r="M149" s="10">
        <f t="shared" si="3"/>
        <v>12259.26</v>
      </c>
      <c r="N149" s="10">
        <f t="shared" si="4"/>
        <v>40828.86</v>
      </c>
      <c r="O149" s="11">
        <f t="shared" si="1"/>
        <v>0.7690771495</v>
      </c>
    </row>
    <row r="150" ht="14.25" customHeight="1">
      <c r="B150" s="6" t="s">
        <v>179</v>
      </c>
      <c r="C150" s="6" t="s">
        <v>14</v>
      </c>
      <c r="D150" s="6" t="s">
        <v>54</v>
      </c>
      <c r="E150" s="6" t="s">
        <v>26</v>
      </c>
      <c r="F150" s="6" t="s">
        <v>27</v>
      </c>
      <c r="G150" s="6" t="s">
        <v>23</v>
      </c>
      <c r="H150" s="7">
        <v>45073.0</v>
      </c>
      <c r="I150" s="8">
        <v>201.0</v>
      </c>
      <c r="J150" s="8">
        <v>13.67</v>
      </c>
      <c r="K150" s="8">
        <v>16.16</v>
      </c>
      <c r="L150" s="10">
        <f t="shared" si="2"/>
        <v>2747.67</v>
      </c>
      <c r="M150" s="10">
        <f t="shared" si="3"/>
        <v>3248.16</v>
      </c>
      <c r="N150" s="10">
        <f t="shared" si="4"/>
        <v>-500.49</v>
      </c>
      <c r="O150" s="11">
        <f t="shared" si="1"/>
        <v>-0.182150695</v>
      </c>
    </row>
    <row r="151" ht="14.25" customHeight="1">
      <c r="B151" s="6" t="s">
        <v>180</v>
      </c>
      <c r="C151" s="6" t="s">
        <v>14</v>
      </c>
      <c r="D151" s="6" t="s">
        <v>15</v>
      </c>
      <c r="E151" s="6" t="s">
        <v>26</v>
      </c>
      <c r="F151" s="6" t="s">
        <v>17</v>
      </c>
      <c r="G151" s="6" t="s">
        <v>18</v>
      </c>
      <c r="H151" s="7">
        <v>45074.0</v>
      </c>
      <c r="I151" s="8">
        <v>184.0</v>
      </c>
      <c r="J151" s="8">
        <v>125.85</v>
      </c>
      <c r="K151" s="8">
        <v>204.41</v>
      </c>
      <c r="L151" s="10">
        <f t="shared" si="2"/>
        <v>23156.4</v>
      </c>
      <c r="M151" s="10">
        <f t="shared" si="3"/>
        <v>37611.44</v>
      </c>
      <c r="N151" s="10">
        <f t="shared" si="4"/>
        <v>-14455.04</v>
      </c>
      <c r="O151" s="11">
        <f t="shared" si="1"/>
        <v>-0.6242352006</v>
      </c>
    </row>
    <row r="152" ht="14.25" customHeight="1">
      <c r="B152" s="6" t="s">
        <v>181</v>
      </c>
      <c r="C152" s="6" t="s">
        <v>25</v>
      </c>
      <c r="D152" s="6" t="s">
        <v>54</v>
      </c>
      <c r="E152" s="6" t="s">
        <v>22</v>
      </c>
      <c r="F152" s="6" t="s">
        <v>27</v>
      </c>
      <c r="G152" s="6" t="s">
        <v>23</v>
      </c>
      <c r="H152" s="7">
        <v>45075.0</v>
      </c>
      <c r="I152" s="8">
        <v>294.0</v>
      </c>
      <c r="J152" s="8">
        <v>416.28</v>
      </c>
      <c r="K152" s="8">
        <v>156.26</v>
      </c>
      <c r="L152" s="10">
        <f t="shared" si="2"/>
        <v>122386.32</v>
      </c>
      <c r="M152" s="10">
        <f t="shared" si="3"/>
        <v>45940.44</v>
      </c>
      <c r="N152" s="10">
        <f t="shared" si="4"/>
        <v>76445.88</v>
      </c>
      <c r="O152" s="11">
        <f t="shared" si="1"/>
        <v>0.6246276545</v>
      </c>
    </row>
    <row r="153" ht="14.25" customHeight="1">
      <c r="B153" s="6" t="s">
        <v>182</v>
      </c>
      <c r="C153" s="6" t="s">
        <v>20</v>
      </c>
      <c r="D153" s="6" t="s">
        <v>15</v>
      </c>
      <c r="E153" s="6" t="s">
        <v>30</v>
      </c>
      <c r="F153" s="6" t="s">
        <v>17</v>
      </c>
      <c r="G153" s="6" t="s">
        <v>23</v>
      </c>
      <c r="H153" s="7">
        <v>45076.0</v>
      </c>
      <c r="I153" s="8">
        <v>213.0</v>
      </c>
      <c r="J153" s="8">
        <v>432.98</v>
      </c>
      <c r="K153" s="8">
        <v>185.85</v>
      </c>
      <c r="L153" s="10">
        <f t="shared" si="2"/>
        <v>92224.74</v>
      </c>
      <c r="M153" s="10">
        <f t="shared" si="3"/>
        <v>39586.05</v>
      </c>
      <c r="N153" s="10">
        <f t="shared" si="4"/>
        <v>52638.69</v>
      </c>
      <c r="O153" s="11">
        <f t="shared" si="1"/>
        <v>0.5707653933</v>
      </c>
    </row>
    <row r="154" ht="14.25" customHeight="1">
      <c r="B154" s="6" t="s">
        <v>183</v>
      </c>
      <c r="C154" s="6" t="s">
        <v>14</v>
      </c>
      <c r="D154" s="6" t="s">
        <v>34</v>
      </c>
      <c r="E154" s="6" t="s">
        <v>30</v>
      </c>
      <c r="F154" s="6" t="s">
        <v>27</v>
      </c>
      <c r="G154" s="6" t="s">
        <v>18</v>
      </c>
      <c r="H154" s="7">
        <v>45077.0</v>
      </c>
      <c r="I154" s="8">
        <v>173.0</v>
      </c>
      <c r="J154" s="8">
        <v>385.42</v>
      </c>
      <c r="K154" s="8">
        <v>396.65</v>
      </c>
      <c r="L154" s="10">
        <f t="shared" si="2"/>
        <v>66677.66</v>
      </c>
      <c r="M154" s="10">
        <f t="shared" si="3"/>
        <v>68620.45</v>
      </c>
      <c r="N154" s="10">
        <f t="shared" si="4"/>
        <v>-1942.79</v>
      </c>
      <c r="O154" s="11">
        <f t="shared" si="1"/>
        <v>-0.0291370453</v>
      </c>
    </row>
    <row r="155" ht="14.25" customHeight="1">
      <c r="B155" s="6" t="s">
        <v>184</v>
      </c>
      <c r="C155" s="6" t="s">
        <v>14</v>
      </c>
      <c r="D155" s="6" t="s">
        <v>15</v>
      </c>
      <c r="E155" s="6" t="s">
        <v>30</v>
      </c>
      <c r="F155" s="6" t="s">
        <v>17</v>
      </c>
      <c r="G155" s="6" t="s">
        <v>18</v>
      </c>
      <c r="H155" s="7">
        <v>45078.0</v>
      </c>
      <c r="I155" s="8">
        <v>260.0</v>
      </c>
      <c r="J155" s="8">
        <v>60.99</v>
      </c>
      <c r="K155" s="8">
        <v>388.36</v>
      </c>
      <c r="L155" s="10">
        <f t="shared" si="2"/>
        <v>15857.4</v>
      </c>
      <c r="M155" s="10">
        <f t="shared" si="3"/>
        <v>100973.6</v>
      </c>
      <c r="N155" s="10">
        <f t="shared" si="4"/>
        <v>-85116.2</v>
      </c>
      <c r="O155" s="11">
        <f t="shared" si="1"/>
        <v>-5.367601246</v>
      </c>
    </row>
    <row r="156" ht="14.25" customHeight="1">
      <c r="B156" s="6" t="s">
        <v>185</v>
      </c>
      <c r="C156" s="6" t="s">
        <v>25</v>
      </c>
      <c r="D156" s="6" t="s">
        <v>54</v>
      </c>
      <c r="E156" s="6" t="s">
        <v>30</v>
      </c>
      <c r="F156" s="6" t="s">
        <v>27</v>
      </c>
      <c r="G156" s="6" t="s">
        <v>18</v>
      </c>
      <c r="H156" s="7">
        <v>45079.0</v>
      </c>
      <c r="I156" s="8">
        <v>236.0</v>
      </c>
      <c r="J156" s="8">
        <v>398.78</v>
      </c>
      <c r="K156" s="8">
        <v>377.04</v>
      </c>
      <c r="L156" s="10">
        <f t="shared" si="2"/>
        <v>94112.08</v>
      </c>
      <c r="M156" s="10">
        <f t="shared" si="3"/>
        <v>88981.44</v>
      </c>
      <c r="N156" s="10">
        <f t="shared" si="4"/>
        <v>5130.64</v>
      </c>
      <c r="O156" s="11">
        <f t="shared" si="1"/>
        <v>0.05451627464</v>
      </c>
    </row>
    <row r="157" ht="14.25" customHeight="1">
      <c r="B157" s="6" t="s">
        <v>186</v>
      </c>
      <c r="C157" s="6" t="s">
        <v>14</v>
      </c>
      <c r="D157" s="6" t="s">
        <v>29</v>
      </c>
      <c r="E157" s="6" t="s">
        <v>26</v>
      </c>
      <c r="F157" s="6" t="s">
        <v>17</v>
      </c>
      <c r="G157" s="6" t="s">
        <v>31</v>
      </c>
      <c r="H157" s="7">
        <v>45080.0</v>
      </c>
      <c r="I157" s="8">
        <v>445.0</v>
      </c>
      <c r="J157" s="8">
        <v>459.75</v>
      </c>
      <c r="K157" s="8">
        <v>313.97</v>
      </c>
      <c r="L157" s="10">
        <f t="shared" si="2"/>
        <v>204588.75</v>
      </c>
      <c r="M157" s="10">
        <f t="shared" si="3"/>
        <v>139716.65</v>
      </c>
      <c r="N157" s="10">
        <f t="shared" si="4"/>
        <v>64872.1</v>
      </c>
      <c r="O157" s="11">
        <f t="shared" si="1"/>
        <v>0.3170853725</v>
      </c>
    </row>
    <row r="158" ht="14.25" customHeight="1">
      <c r="B158" s="6" t="s">
        <v>187</v>
      </c>
      <c r="C158" s="6" t="s">
        <v>25</v>
      </c>
      <c r="D158" s="6" t="s">
        <v>15</v>
      </c>
      <c r="E158" s="6" t="s">
        <v>26</v>
      </c>
      <c r="F158" s="6" t="s">
        <v>27</v>
      </c>
      <c r="G158" s="6" t="s">
        <v>18</v>
      </c>
      <c r="H158" s="7">
        <v>45081.0</v>
      </c>
      <c r="I158" s="8">
        <v>390.0</v>
      </c>
      <c r="J158" s="8">
        <v>302.3</v>
      </c>
      <c r="K158" s="8">
        <v>143.23</v>
      </c>
      <c r="L158" s="10">
        <f t="shared" si="2"/>
        <v>117897</v>
      </c>
      <c r="M158" s="10">
        <f t="shared" si="3"/>
        <v>55859.7</v>
      </c>
      <c r="N158" s="10">
        <f t="shared" si="4"/>
        <v>62037.3</v>
      </c>
      <c r="O158" s="11">
        <f t="shared" si="1"/>
        <v>0.5261991399</v>
      </c>
    </row>
    <row r="159" ht="14.25" customHeight="1">
      <c r="B159" s="6" t="s">
        <v>188</v>
      </c>
      <c r="C159" s="6" t="s">
        <v>52</v>
      </c>
      <c r="D159" s="6" t="s">
        <v>29</v>
      </c>
      <c r="E159" s="6" t="s">
        <v>30</v>
      </c>
      <c r="F159" s="6" t="s">
        <v>17</v>
      </c>
      <c r="G159" s="6" t="s">
        <v>23</v>
      </c>
      <c r="H159" s="7">
        <v>45082.0</v>
      </c>
      <c r="I159" s="8">
        <v>469.0</v>
      </c>
      <c r="J159" s="8">
        <v>470.73</v>
      </c>
      <c r="K159" s="8">
        <v>166.03</v>
      </c>
      <c r="L159" s="10">
        <f t="shared" si="2"/>
        <v>220772.37</v>
      </c>
      <c r="M159" s="10">
        <f t="shared" si="3"/>
        <v>77868.07</v>
      </c>
      <c r="N159" s="10">
        <f t="shared" si="4"/>
        <v>142904.3</v>
      </c>
      <c r="O159" s="11">
        <f t="shared" si="1"/>
        <v>0.6472925031</v>
      </c>
    </row>
    <row r="160" ht="14.25" customHeight="1">
      <c r="B160" s="6" t="s">
        <v>189</v>
      </c>
      <c r="C160" s="6" t="s">
        <v>14</v>
      </c>
      <c r="D160" s="6" t="s">
        <v>34</v>
      </c>
      <c r="E160" s="6" t="s">
        <v>22</v>
      </c>
      <c r="F160" s="6" t="s">
        <v>17</v>
      </c>
      <c r="G160" s="6" t="s">
        <v>18</v>
      </c>
      <c r="H160" s="7">
        <v>45083.0</v>
      </c>
      <c r="I160" s="8">
        <v>16.0</v>
      </c>
      <c r="J160" s="6">
        <v>249.64520588235297</v>
      </c>
      <c r="K160" s="8">
        <v>220.75</v>
      </c>
      <c r="L160" s="10">
        <f t="shared" si="2"/>
        <v>3994.323294</v>
      </c>
      <c r="M160" s="10">
        <f t="shared" si="3"/>
        <v>3532</v>
      </c>
      <c r="N160" s="10">
        <f t="shared" si="4"/>
        <v>462.3232941</v>
      </c>
      <c r="O160" s="11">
        <f t="shared" si="1"/>
        <v>0.1157450862</v>
      </c>
    </row>
    <row r="161" ht="14.25" customHeight="1">
      <c r="B161" s="6" t="s">
        <v>190</v>
      </c>
      <c r="C161" s="6" t="s">
        <v>52</v>
      </c>
      <c r="D161" s="6" t="s">
        <v>21</v>
      </c>
      <c r="E161" s="6" t="s">
        <v>46</v>
      </c>
      <c r="F161" s="6" t="s">
        <v>27</v>
      </c>
      <c r="G161" s="6" t="s">
        <v>23</v>
      </c>
      <c r="H161" s="7">
        <v>45084.0</v>
      </c>
      <c r="I161" s="8">
        <v>38.0</v>
      </c>
      <c r="J161" s="8">
        <v>335.15</v>
      </c>
      <c r="K161" s="8">
        <v>332.55</v>
      </c>
      <c r="L161" s="10">
        <f t="shared" si="2"/>
        <v>12735.7</v>
      </c>
      <c r="M161" s="10">
        <f t="shared" si="3"/>
        <v>12636.9</v>
      </c>
      <c r="N161" s="10">
        <f t="shared" si="4"/>
        <v>98.8</v>
      </c>
      <c r="O161" s="11">
        <f t="shared" si="1"/>
        <v>0.007757720424</v>
      </c>
    </row>
    <row r="162" ht="14.25" customHeight="1">
      <c r="B162" s="6" t="s">
        <v>191</v>
      </c>
      <c r="C162" s="6" t="s">
        <v>25</v>
      </c>
      <c r="D162" s="6" t="s">
        <v>34</v>
      </c>
      <c r="E162" s="6" t="s">
        <v>39</v>
      </c>
      <c r="F162" s="6" t="s">
        <v>27</v>
      </c>
      <c r="G162" s="6" t="s">
        <v>31</v>
      </c>
      <c r="H162" s="7">
        <v>45085.0</v>
      </c>
      <c r="I162" s="8">
        <v>404.0</v>
      </c>
      <c r="J162" s="8">
        <v>290.71</v>
      </c>
      <c r="K162" s="8">
        <v>29.35</v>
      </c>
      <c r="L162" s="10">
        <f t="shared" si="2"/>
        <v>117446.84</v>
      </c>
      <c r="M162" s="10">
        <f t="shared" si="3"/>
        <v>11857.4</v>
      </c>
      <c r="N162" s="10">
        <f t="shared" si="4"/>
        <v>105589.44</v>
      </c>
      <c r="O162" s="11">
        <f t="shared" si="1"/>
        <v>0.8990402807</v>
      </c>
    </row>
    <row r="163" ht="14.25" customHeight="1">
      <c r="B163" s="6" t="s">
        <v>192</v>
      </c>
      <c r="C163" s="6" t="s">
        <v>20</v>
      </c>
      <c r="D163" s="6" t="s">
        <v>15</v>
      </c>
      <c r="E163" s="6" t="s">
        <v>22</v>
      </c>
      <c r="F163" s="6" t="s">
        <v>17</v>
      </c>
      <c r="G163" s="6" t="s">
        <v>23</v>
      </c>
      <c r="H163" s="7">
        <v>45086.0</v>
      </c>
      <c r="I163" s="8">
        <v>42.0</v>
      </c>
      <c r="J163" s="8">
        <v>177.54</v>
      </c>
      <c r="K163" s="8">
        <v>170.87</v>
      </c>
      <c r="L163" s="10">
        <f t="shared" si="2"/>
        <v>7456.68</v>
      </c>
      <c r="M163" s="10">
        <f t="shared" si="3"/>
        <v>7176.54</v>
      </c>
      <c r="N163" s="10">
        <f t="shared" si="4"/>
        <v>280.14</v>
      </c>
      <c r="O163" s="11">
        <f t="shared" si="1"/>
        <v>0.03756899854</v>
      </c>
    </row>
    <row r="164" ht="14.25" customHeight="1">
      <c r="B164" s="6" t="s">
        <v>193</v>
      </c>
      <c r="C164" s="6" t="s">
        <v>14</v>
      </c>
      <c r="D164" s="6" t="s">
        <v>29</v>
      </c>
      <c r="E164" s="6" t="s">
        <v>30</v>
      </c>
      <c r="F164" s="6" t="s">
        <v>27</v>
      </c>
      <c r="G164" s="6" t="s">
        <v>23</v>
      </c>
      <c r="H164" s="7">
        <v>45087.0</v>
      </c>
      <c r="I164" s="8">
        <v>143.0</v>
      </c>
      <c r="J164" s="8">
        <v>83.85</v>
      </c>
      <c r="K164" s="8">
        <v>34.88</v>
      </c>
      <c r="L164" s="10">
        <f t="shared" si="2"/>
        <v>11990.55</v>
      </c>
      <c r="M164" s="10">
        <f t="shared" si="3"/>
        <v>4987.84</v>
      </c>
      <c r="N164" s="10">
        <f t="shared" si="4"/>
        <v>7002.71</v>
      </c>
      <c r="O164" s="11">
        <f t="shared" si="1"/>
        <v>0.5840190817</v>
      </c>
    </row>
    <row r="165" ht="14.25" customHeight="1">
      <c r="B165" s="6" t="s">
        <v>194</v>
      </c>
      <c r="C165" s="6" t="s">
        <v>25</v>
      </c>
      <c r="D165" s="6" t="s">
        <v>29</v>
      </c>
      <c r="E165" s="6" t="s">
        <v>26</v>
      </c>
      <c r="F165" s="6" t="s">
        <v>17</v>
      </c>
      <c r="G165" s="6" t="s">
        <v>18</v>
      </c>
      <c r="H165" s="7">
        <v>45088.0</v>
      </c>
      <c r="I165" s="8">
        <v>376.0</v>
      </c>
      <c r="J165" s="8">
        <v>304.45</v>
      </c>
      <c r="K165" s="8">
        <v>206.83</v>
      </c>
      <c r="L165" s="10">
        <f t="shared" si="2"/>
        <v>114473.2</v>
      </c>
      <c r="M165" s="10">
        <f t="shared" si="3"/>
        <v>77768.08</v>
      </c>
      <c r="N165" s="10">
        <f t="shared" si="4"/>
        <v>36705.12</v>
      </c>
      <c r="O165" s="11">
        <f t="shared" si="1"/>
        <v>0.3206437839</v>
      </c>
    </row>
    <row r="166" ht="14.25" customHeight="1">
      <c r="B166" s="6" t="s">
        <v>195</v>
      </c>
      <c r="C166" s="6" t="s">
        <v>20</v>
      </c>
      <c r="D166" s="6" t="s">
        <v>54</v>
      </c>
      <c r="E166" s="6" t="s">
        <v>46</v>
      </c>
      <c r="F166" s="6" t="s">
        <v>17</v>
      </c>
      <c r="G166" s="6" t="s">
        <v>18</v>
      </c>
      <c r="H166" s="7">
        <v>45089.0</v>
      </c>
      <c r="I166" s="8">
        <v>88.0</v>
      </c>
      <c r="J166" s="8">
        <v>162.47</v>
      </c>
      <c r="K166" s="8">
        <v>359.76</v>
      </c>
      <c r="L166" s="10">
        <f t="shared" si="2"/>
        <v>14297.36</v>
      </c>
      <c r="M166" s="10">
        <f t="shared" si="3"/>
        <v>31658.88</v>
      </c>
      <c r="N166" s="10">
        <f t="shared" si="4"/>
        <v>-17361.52</v>
      </c>
      <c r="O166" s="11">
        <f t="shared" si="1"/>
        <v>-1.214316489</v>
      </c>
    </row>
    <row r="167" ht="14.25" customHeight="1">
      <c r="B167" s="6" t="s">
        <v>196</v>
      </c>
      <c r="C167" s="6" t="s">
        <v>20</v>
      </c>
      <c r="D167" s="6" t="s">
        <v>29</v>
      </c>
      <c r="E167" s="6" t="s">
        <v>16</v>
      </c>
      <c r="F167" s="6" t="s">
        <v>17</v>
      </c>
      <c r="G167" s="6" t="s">
        <v>23</v>
      </c>
      <c r="H167" s="7">
        <v>45090.0</v>
      </c>
      <c r="I167" s="8">
        <v>425.0</v>
      </c>
      <c r="J167" s="8">
        <v>433.89</v>
      </c>
      <c r="K167" s="8">
        <v>313.43</v>
      </c>
      <c r="L167" s="10">
        <f t="shared" si="2"/>
        <v>184403.25</v>
      </c>
      <c r="M167" s="10">
        <f t="shared" si="3"/>
        <v>133207.75</v>
      </c>
      <c r="N167" s="10">
        <f t="shared" si="4"/>
        <v>51195.5</v>
      </c>
      <c r="O167" s="11">
        <f t="shared" si="1"/>
        <v>0.2776279702</v>
      </c>
    </row>
    <row r="168" ht="14.25" customHeight="1">
      <c r="B168" s="6" t="s">
        <v>197</v>
      </c>
      <c r="C168" s="6" t="s">
        <v>52</v>
      </c>
      <c r="D168" s="6" t="s">
        <v>54</v>
      </c>
      <c r="E168" s="6" t="s">
        <v>16</v>
      </c>
      <c r="F168" s="6" t="s">
        <v>27</v>
      </c>
      <c r="G168" s="6" t="s">
        <v>18</v>
      </c>
      <c r="H168" s="7">
        <v>45091.0</v>
      </c>
      <c r="I168" s="8">
        <v>444.0</v>
      </c>
      <c r="J168" s="8">
        <v>496.7</v>
      </c>
      <c r="K168" s="8">
        <v>92.68</v>
      </c>
      <c r="L168" s="10">
        <f t="shared" si="2"/>
        <v>220534.8</v>
      </c>
      <c r="M168" s="10">
        <f t="shared" si="3"/>
        <v>41149.92</v>
      </c>
      <c r="N168" s="10">
        <f t="shared" si="4"/>
        <v>179384.88</v>
      </c>
      <c r="O168" s="11">
        <f t="shared" si="1"/>
        <v>0.8134084961</v>
      </c>
    </row>
    <row r="169" ht="14.25" customHeight="1">
      <c r="B169" s="6" t="s">
        <v>198</v>
      </c>
      <c r="C169" s="6" t="s">
        <v>25</v>
      </c>
      <c r="D169" s="6" t="s">
        <v>21</v>
      </c>
      <c r="E169" s="6" t="s">
        <v>22</v>
      </c>
      <c r="F169" s="6" t="s">
        <v>17</v>
      </c>
      <c r="G169" s="6" t="s">
        <v>31</v>
      </c>
      <c r="H169" s="7">
        <v>45092.0</v>
      </c>
      <c r="I169" s="8">
        <v>468.0</v>
      </c>
      <c r="J169" s="8">
        <v>377.45</v>
      </c>
      <c r="K169" s="8">
        <v>390.44</v>
      </c>
      <c r="L169" s="10">
        <f t="shared" si="2"/>
        <v>176646.6</v>
      </c>
      <c r="M169" s="10">
        <f t="shared" si="3"/>
        <v>182725.92</v>
      </c>
      <c r="N169" s="10">
        <f t="shared" si="4"/>
        <v>-6079.32</v>
      </c>
      <c r="O169" s="11">
        <f t="shared" si="1"/>
        <v>-0.03441515433</v>
      </c>
    </row>
    <row r="170" ht="14.25" customHeight="1">
      <c r="B170" s="6" t="s">
        <v>199</v>
      </c>
      <c r="C170" s="6" t="s">
        <v>20</v>
      </c>
      <c r="D170" s="6" t="s">
        <v>15</v>
      </c>
      <c r="E170" s="6" t="s">
        <v>30</v>
      </c>
      <c r="F170" s="6" t="s">
        <v>17</v>
      </c>
      <c r="G170" s="6" t="s">
        <v>31</v>
      </c>
      <c r="H170" s="7">
        <v>45093.0</v>
      </c>
      <c r="I170" s="8">
        <v>67.0</v>
      </c>
      <c r="J170" s="8">
        <v>49.79</v>
      </c>
      <c r="K170" s="8">
        <v>267.61</v>
      </c>
      <c r="L170" s="10">
        <f t="shared" si="2"/>
        <v>3335.93</v>
      </c>
      <c r="M170" s="10">
        <f t="shared" si="3"/>
        <v>17929.87</v>
      </c>
      <c r="N170" s="10">
        <f t="shared" si="4"/>
        <v>-14593.94</v>
      </c>
      <c r="O170" s="11">
        <f t="shared" si="1"/>
        <v>-4.374774051</v>
      </c>
    </row>
    <row r="171" ht="14.25" customHeight="1">
      <c r="B171" s="6" t="s">
        <v>200</v>
      </c>
      <c r="C171" s="6" t="s">
        <v>14</v>
      </c>
      <c r="D171" s="6" t="s">
        <v>54</v>
      </c>
      <c r="E171" s="6" t="s">
        <v>46</v>
      </c>
      <c r="F171" s="6" t="s">
        <v>27</v>
      </c>
      <c r="G171" s="6" t="s">
        <v>18</v>
      </c>
      <c r="H171" s="7">
        <v>45094.0</v>
      </c>
      <c r="I171" s="8">
        <v>480.0</v>
      </c>
      <c r="J171" s="8">
        <v>147.9</v>
      </c>
      <c r="K171" s="8">
        <v>6.15</v>
      </c>
      <c r="L171" s="10">
        <f t="shared" si="2"/>
        <v>70992</v>
      </c>
      <c r="M171" s="10">
        <f t="shared" si="3"/>
        <v>2952</v>
      </c>
      <c r="N171" s="10">
        <f t="shared" si="4"/>
        <v>68040</v>
      </c>
      <c r="O171" s="11">
        <f t="shared" si="1"/>
        <v>0.9584178499</v>
      </c>
    </row>
    <row r="172" ht="14.25" customHeight="1">
      <c r="B172" s="6" t="s">
        <v>201</v>
      </c>
      <c r="C172" s="6" t="s">
        <v>14</v>
      </c>
      <c r="D172" s="6" t="s">
        <v>21</v>
      </c>
      <c r="E172" s="6" t="s">
        <v>30</v>
      </c>
      <c r="F172" s="6" t="s">
        <v>27</v>
      </c>
      <c r="G172" s="6" t="s">
        <v>31</v>
      </c>
      <c r="H172" s="7">
        <v>45095.0</v>
      </c>
      <c r="I172" s="8">
        <v>35.0</v>
      </c>
      <c r="J172" s="8">
        <v>59.01</v>
      </c>
      <c r="K172" s="8">
        <v>103.65</v>
      </c>
      <c r="L172" s="10">
        <f t="shared" si="2"/>
        <v>2065.35</v>
      </c>
      <c r="M172" s="10">
        <f t="shared" si="3"/>
        <v>3627.75</v>
      </c>
      <c r="N172" s="10">
        <f t="shared" si="4"/>
        <v>-1562.4</v>
      </c>
      <c r="O172" s="11">
        <f t="shared" si="1"/>
        <v>-0.7564819522</v>
      </c>
    </row>
    <row r="173" ht="14.25" customHeight="1">
      <c r="B173" s="6" t="s">
        <v>202</v>
      </c>
      <c r="C173" s="6" t="s">
        <v>52</v>
      </c>
      <c r="D173" s="6" t="s">
        <v>29</v>
      </c>
      <c r="E173" s="6" t="s">
        <v>46</v>
      </c>
      <c r="F173" s="6" t="s">
        <v>27</v>
      </c>
      <c r="G173" s="6" t="s">
        <v>18</v>
      </c>
      <c r="H173" s="7">
        <v>45096.0</v>
      </c>
      <c r="I173" s="8">
        <v>491.0</v>
      </c>
      <c r="J173" s="8">
        <v>327.0</v>
      </c>
      <c r="K173" s="8">
        <v>105.76</v>
      </c>
      <c r="L173" s="10">
        <f t="shared" si="2"/>
        <v>160557</v>
      </c>
      <c r="M173" s="10">
        <f t="shared" si="3"/>
        <v>51928.16</v>
      </c>
      <c r="N173" s="10">
        <f t="shared" si="4"/>
        <v>108628.84</v>
      </c>
      <c r="O173" s="11">
        <f t="shared" si="1"/>
        <v>0.6765749235</v>
      </c>
    </row>
    <row r="174" ht="14.25" customHeight="1">
      <c r="B174" s="6" t="s">
        <v>203</v>
      </c>
      <c r="C174" s="6" t="s">
        <v>20</v>
      </c>
      <c r="D174" s="6" t="s">
        <v>29</v>
      </c>
      <c r="E174" s="6" t="s">
        <v>22</v>
      </c>
      <c r="F174" s="6" t="s">
        <v>27</v>
      </c>
      <c r="G174" s="6" t="s">
        <v>23</v>
      </c>
      <c r="H174" s="7">
        <v>45097.0</v>
      </c>
      <c r="I174" s="8">
        <v>439.0</v>
      </c>
      <c r="J174" s="8">
        <v>383.77</v>
      </c>
      <c r="K174" s="8">
        <v>29.56</v>
      </c>
      <c r="L174" s="10">
        <f t="shared" si="2"/>
        <v>168475.03</v>
      </c>
      <c r="M174" s="10">
        <f t="shared" si="3"/>
        <v>12976.84</v>
      </c>
      <c r="N174" s="10">
        <f t="shared" si="4"/>
        <v>155498.19</v>
      </c>
      <c r="O174" s="11">
        <f t="shared" si="1"/>
        <v>0.9229746984</v>
      </c>
    </row>
    <row r="175" ht="14.25" customHeight="1">
      <c r="B175" s="6" t="s">
        <v>204</v>
      </c>
      <c r="C175" s="6" t="s">
        <v>25</v>
      </c>
      <c r="D175" s="6" t="s">
        <v>21</v>
      </c>
      <c r="E175" s="6" t="s">
        <v>22</v>
      </c>
      <c r="F175" s="6" t="s">
        <v>17</v>
      </c>
      <c r="G175" s="6" t="s">
        <v>23</v>
      </c>
      <c r="H175" s="7">
        <v>45098.0</v>
      </c>
      <c r="I175" s="8">
        <v>235.0</v>
      </c>
      <c r="J175" s="8">
        <v>463.21</v>
      </c>
      <c r="K175" s="8">
        <v>384.01</v>
      </c>
      <c r="L175" s="10">
        <f t="shared" si="2"/>
        <v>108854.35</v>
      </c>
      <c r="M175" s="10">
        <f t="shared" si="3"/>
        <v>90242.35</v>
      </c>
      <c r="N175" s="10">
        <f t="shared" si="4"/>
        <v>18612</v>
      </c>
      <c r="O175" s="11">
        <f t="shared" si="1"/>
        <v>0.1709807647</v>
      </c>
    </row>
    <row r="176" ht="14.25" customHeight="1">
      <c r="B176" s="6" t="s">
        <v>205</v>
      </c>
      <c r="C176" s="6" t="s">
        <v>14</v>
      </c>
      <c r="D176" s="6" t="s">
        <v>29</v>
      </c>
      <c r="E176" s="6" t="s">
        <v>16</v>
      </c>
      <c r="F176" s="6" t="s">
        <v>17</v>
      </c>
      <c r="G176" s="6" t="s">
        <v>31</v>
      </c>
      <c r="H176" s="7">
        <v>45099.0</v>
      </c>
      <c r="I176" s="8">
        <v>294.0</v>
      </c>
      <c r="J176" s="8">
        <v>221.9</v>
      </c>
      <c r="K176" s="8">
        <v>192.35</v>
      </c>
      <c r="L176" s="10">
        <f t="shared" si="2"/>
        <v>65238.6</v>
      </c>
      <c r="M176" s="10">
        <f t="shared" si="3"/>
        <v>56550.9</v>
      </c>
      <c r="N176" s="10">
        <f t="shared" si="4"/>
        <v>8687.7</v>
      </c>
      <c r="O176" s="11">
        <f t="shared" si="1"/>
        <v>0.1331680937</v>
      </c>
    </row>
    <row r="177" ht="14.25" customHeight="1">
      <c r="B177" s="6" t="s">
        <v>206</v>
      </c>
      <c r="C177" s="6" t="s">
        <v>20</v>
      </c>
      <c r="D177" s="6" t="s">
        <v>21</v>
      </c>
      <c r="E177" s="6" t="s">
        <v>30</v>
      </c>
      <c r="F177" s="6" t="s">
        <v>17</v>
      </c>
      <c r="G177" s="6" t="s">
        <v>18</v>
      </c>
      <c r="H177" s="7">
        <v>45100.0</v>
      </c>
      <c r="I177" s="8">
        <v>13.0</v>
      </c>
      <c r="J177" s="8">
        <v>451.18</v>
      </c>
      <c r="K177" s="8">
        <v>358.53</v>
      </c>
      <c r="L177" s="10">
        <f t="shared" si="2"/>
        <v>5865.34</v>
      </c>
      <c r="M177" s="10">
        <f t="shared" si="3"/>
        <v>4660.89</v>
      </c>
      <c r="N177" s="10">
        <f t="shared" si="4"/>
        <v>1204.45</v>
      </c>
      <c r="O177" s="11">
        <f t="shared" si="1"/>
        <v>0.2053504145</v>
      </c>
    </row>
    <row r="178" ht="14.25" customHeight="1">
      <c r="B178" s="6" t="s">
        <v>207</v>
      </c>
      <c r="C178" s="6" t="s">
        <v>20</v>
      </c>
      <c r="D178" s="6" t="s">
        <v>54</v>
      </c>
      <c r="E178" s="6" t="s">
        <v>16</v>
      </c>
      <c r="F178" s="6" t="s">
        <v>17</v>
      </c>
      <c r="G178" s="6" t="s">
        <v>18</v>
      </c>
      <c r="H178" s="7">
        <v>45101.0</v>
      </c>
      <c r="I178" s="8">
        <v>474.0</v>
      </c>
      <c r="J178" s="8">
        <v>439.56</v>
      </c>
      <c r="K178" s="8">
        <v>130.24</v>
      </c>
      <c r="L178" s="10">
        <f t="shared" si="2"/>
        <v>208351.44</v>
      </c>
      <c r="M178" s="10">
        <f t="shared" si="3"/>
        <v>61733.76</v>
      </c>
      <c r="N178" s="10">
        <f t="shared" si="4"/>
        <v>146617.68</v>
      </c>
      <c r="O178" s="11">
        <f t="shared" si="1"/>
        <v>0.7037037037</v>
      </c>
    </row>
    <row r="179" ht="14.25" customHeight="1">
      <c r="B179" s="6" t="s">
        <v>208</v>
      </c>
      <c r="C179" s="6" t="s">
        <v>52</v>
      </c>
      <c r="D179" s="6" t="s">
        <v>54</v>
      </c>
      <c r="E179" s="6" t="s">
        <v>30</v>
      </c>
      <c r="F179" s="6" t="s">
        <v>27</v>
      </c>
      <c r="G179" s="6" t="s">
        <v>31</v>
      </c>
      <c r="H179" s="7">
        <v>45102.0</v>
      </c>
      <c r="I179" s="8">
        <v>108.0</v>
      </c>
      <c r="J179" s="8">
        <v>162.01</v>
      </c>
      <c r="K179" s="8">
        <v>51.84</v>
      </c>
      <c r="L179" s="10">
        <f t="shared" si="2"/>
        <v>17497.08</v>
      </c>
      <c r="M179" s="10">
        <f t="shared" si="3"/>
        <v>5598.72</v>
      </c>
      <c r="N179" s="10">
        <f t="shared" si="4"/>
        <v>11898.36</v>
      </c>
      <c r="O179" s="11">
        <f t="shared" si="1"/>
        <v>0.6800197519</v>
      </c>
    </row>
    <row r="180" ht="14.25" customHeight="1">
      <c r="B180" s="6" t="s">
        <v>209</v>
      </c>
      <c r="C180" s="6" t="s">
        <v>14</v>
      </c>
      <c r="D180" s="6" t="s">
        <v>21</v>
      </c>
      <c r="E180" s="6" t="s">
        <v>16</v>
      </c>
      <c r="F180" s="6" t="s">
        <v>17</v>
      </c>
      <c r="G180" s="6" t="s">
        <v>23</v>
      </c>
      <c r="H180" s="7">
        <v>45103.0</v>
      </c>
      <c r="I180" s="8">
        <v>406.0</v>
      </c>
      <c r="J180" s="8">
        <v>435.11</v>
      </c>
      <c r="K180" s="8">
        <v>190.79</v>
      </c>
      <c r="L180" s="10">
        <f t="shared" si="2"/>
        <v>176654.66</v>
      </c>
      <c r="M180" s="10">
        <f t="shared" si="3"/>
        <v>77460.74</v>
      </c>
      <c r="N180" s="10">
        <f t="shared" si="4"/>
        <v>99193.92</v>
      </c>
      <c r="O180" s="11">
        <f t="shared" si="1"/>
        <v>0.5615131806</v>
      </c>
    </row>
    <row r="181" ht="14.25" customHeight="1">
      <c r="B181" s="6" t="s">
        <v>210</v>
      </c>
      <c r="C181" s="6" t="s">
        <v>14</v>
      </c>
      <c r="D181" s="6" t="s">
        <v>54</v>
      </c>
      <c r="E181" s="6" t="s">
        <v>26</v>
      </c>
      <c r="F181" s="6" t="s">
        <v>17</v>
      </c>
      <c r="G181" s="6" t="s">
        <v>31</v>
      </c>
      <c r="H181" s="7">
        <v>45104.0</v>
      </c>
      <c r="I181" s="8">
        <v>498.0</v>
      </c>
      <c r="J181" s="8">
        <v>190.96</v>
      </c>
      <c r="K181" s="8">
        <v>47.35</v>
      </c>
      <c r="L181" s="10">
        <f t="shared" si="2"/>
        <v>95098.08</v>
      </c>
      <c r="M181" s="10">
        <f t="shared" si="3"/>
        <v>23580.3</v>
      </c>
      <c r="N181" s="10">
        <f t="shared" si="4"/>
        <v>71517.78</v>
      </c>
      <c r="O181" s="11">
        <f t="shared" si="1"/>
        <v>0.7520423125</v>
      </c>
    </row>
    <row r="182" ht="14.25" customHeight="1">
      <c r="B182" s="6" t="s">
        <v>211</v>
      </c>
      <c r="C182" s="6" t="s">
        <v>25</v>
      </c>
      <c r="D182" s="6" t="s">
        <v>54</v>
      </c>
      <c r="E182" s="6" t="s">
        <v>26</v>
      </c>
      <c r="F182" s="6" t="s">
        <v>27</v>
      </c>
      <c r="G182" s="6" t="s">
        <v>23</v>
      </c>
      <c r="H182" s="7">
        <v>45105.0</v>
      </c>
      <c r="I182" s="8">
        <v>48.0</v>
      </c>
      <c r="J182" s="8">
        <v>151.95</v>
      </c>
      <c r="K182" s="8">
        <v>195.43</v>
      </c>
      <c r="L182" s="10">
        <f t="shared" si="2"/>
        <v>7293.6</v>
      </c>
      <c r="M182" s="10">
        <f t="shared" si="3"/>
        <v>9380.64</v>
      </c>
      <c r="N182" s="10">
        <f t="shared" si="4"/>
        <v>-2087.04</v>
      </c>
      <c r="O182" s="11">
        <f t="shared" si="1"/>
        <v>-0.2861467588</v>
      </c>
    </row>
    <row r="183" ht="14.25" customHeight="1">
      <c r="B183" s="6" t="s">
        <v>212</v>
      </c>
      <c r="C183" s="6" t="s">
        <v>14</v>
      </c>
      <c r="D183" s="6" t="s">
        <v>54</v>
      </c>
      <c r="E183" s="6" t="s">
        <v>26</v>
      </c>
      <c r="F183" s="6" t="s">
        <v>17</v>
      </c>
      <c r="G183" s="6" t="s">
        <v>18</v>
      </c>
      <c r="H183" s="7">
        <v>45106.0</v>
      </c>
      <c r="I183" s="8">
        <v>280.0</v>
      </c>
      <c r="J183" s="8">
        <v>326.29</v>
      </c>
      <c r="K183" s="8">
        <v>368.28</v>
      </c>
      <c r="L183" s="10">
        <f t="shared" si="2"/>
        <v>91361.2</v>
      </c>
      <c r="M183" s="10">
        <f t="shared" si="3"/>
        <v>103118.4</v>
      </c>
      <c r="N183" s="10">
        <f t="shared" si="4"/>
        <v>-11757.2</v>
      </c>
      <c r="O183" s="11">
        <f t="shared" si="1"/>
        <v>-0.1286892029</v>
      </c>
    </row>
    <row r="184" ht="14.25" customHeight="1">
      <c r="B184" s="6" t="s">
        <v>213</v>
      </c>
      <c r="C184" s="6" t="s">
        <v>25</v>
      </c>
      <c r="D184" s="6" t="s">
        <v>34</v>
      </c>
      <c r="E184" s="6" t="s">
        <v>26</v>
      </c>
      <c r="F184" s="6" t="s">
        <v>17</v>
      </c>
      <c r="G184" s="6" t="s">
        <v>23</v>
      </c>
      <c r="H184" s="7">
        <v>45107.0</v>
      </c>
      <c r="I184" s="8">
        <v>384.0</v>
      </c>
      <c r="J184" s="8">
        <v>167.55</v>
      </c>
      <c r="K184" s="8">
        <v>209.27</v>
      </c>
      <c r="L184" s="10">
        <f t="shared" si="2"/>
        <v>64339.2</v>
      </c>
      <c r="M184" s="10">
        <f t="shared" si="3"/>
        <v>80359.68</v>
      </c>
      <c r="N184" s="10">
        <f t="shared" si="4"/>
        <v>-16020.48</v>
      </c>
      <c r="O184" s="11">
        <f t="shared" si="1"/>
        <v>-0.2490002984</v>
      </c>
    </row>
    <row r="185" ht="14.25" customHeight="1">
      <c r="B185" s="6" t="s">
        <v>214</v>
      </c>
      <c r="C185" s="6" t="s">
        <v>14</v>
      </c>
      <c r="D185" s="6" t="s">
        <v>15</v>
      </c>
      <c r="E185" s="6" t="s">
        <v>46</v>
      </c>
      <c r="F185" s="6" t="s">
        <v>17</v>
      </c>
      <c r="G185" s="6" t="s">
        <v>31</v>
      </c>
      <c r="H185" s="7">
        <v>45108.0</v>
      </c>
      <c r="I185" s="8">
        <v>294.0</v>
      </c>
      <c r="J185" s="8">
        <v>316.95</v>
      </c>
      <c r="K185" s="8">
        <v>247.37</v>
      </c>
      <c r="L185" s="10">
        <f t="shared" si="2"/>
        <v>93183.3</v>
      </c>
      <c r="M185" s="10">
        <f t="shared" si="3"/>
        <v>72726.78</v>
      </c>
      <c r="N185" s="10">
        <f t="shared" si="4"/>
        <v>20456.52</v>
      </c>
      <c r="O185" s="11">
        <f t="shared" si="1"/>
        <v>0.2195298943</v>
      </c>
    </row>
    <row r="186" ht="14.25" customHeight="1">
      <c r="B186" s="6" t="s">
        <v>215</v>
      </c>
      <c r="C186" s="6" t="s">
        <v>52</v>
      </c>
      <c r="D186" s="6" t="s">
        <v>29</v>
      </c>
      <c r="E186" s="6" t="s">
        <v>26</v>
      </c>
      <c r="F186" s="6" t="s">
        <v>17</v>
      </c>
      <c r="G186" s="6" t="s">
        <v>18</v>
      </c>
      <c r="H186" s="7">
        <v>45109.0</v>
      </c>
      <c r="I186" s="8">
        <v>166.0</v>
      </c>
      <c r="J186" s="8">
        <v>306.87</v>
      </c>
      <c r="K186" s="8">
        <v>64.34</v>
      </c>
      <c r="L186" s="10">
        <f t="shared" si="2"/>
        <v>50940.42</v>
      </c>
      <c r="M186" s="10">
        <f t="shared" si="3"/>
        <v>10680.44</v>
      </c>
      <c r="N186" s="10">
        <f t="shared" si="4"/>
        <v>40259.98</v>
      </c>
      <c r="O186" s="11">
        <f t="shared" si="1"/>
        <v>0.7903346694</v>
      </c>
    </row>
    <row r="187" ht="14.25" customHeight="1">
      <c r="B187" s="6" t="s">
        <v>216</v>
      </c>
      <c r="C187" s="6" t="s">
        <v>14</v>
      </c>
      <c r="D187" s="6" t="s">
        <v>34</v>
      </c>
      <c r="E187" s="6" t="s">
        <v>22</v>
      </c>
      <c r="F187" s="6" t="s">
        <v>17</v>
      </c>
      <c r="G187" s="6" t="s">
        <v>31</v>
      </c>
      <c r="H187" s="7">
        <v>45110.0</v>
      </c>
      <c r="I187" s="8">
        <v>84.0</v>
      </c>
      <c r="J187" s="8">
        <v>283.9</v>
      </c>
      <c r="K187" s="8">
        <v>19.41</v>
      </c>
      <c r="L187" s="10">
        <f t="shared" si="2"/>
        <v>23847.6</v>
      </c>
      <c r="M187" s="10">
        <f t="shared" si="3"/>
        <v>1630.44</v>
      </c>
      <c r="N187" s="10">
        <f t="shared" si="4"/>
        <v>22217.16</v>
      </c>
      <c r="O187" s="11">
        <f t="shared" si="1"/>
        <v>0.9316308559</v>
      </c>
    </row>
    <row r="188" ht="14.25" customHeight="1">
      <c r="B188" s="6" t="s">
        <v>217</v>
      </c>
      <c r="C188" s="6" t="s">
        <v>25</v>
      </c>
      <c r="D188" s="6" t="s">
        <v>54</v>
      </c>
      <c r="E188" s="6" t="s">
        <v>22</v>
      </c>
      <c r="F188" s="6" t="s">
        <v>17</v>
      </c>
      <c r="G188" s="6" t="s">
        <v>31</v>
      </c>
      <c r="H188" s="7">
        <v>45111.0</v>
      </c>
      <c r="I188" s="8">
        <v>381.0</v>
      </c>
      <c r="J188" s="8">
        <v>193.31</v>
      </c>
      <c r="K188" s="8">
        <v>46.1</v>
      </c>
      <c r="L188" s="10">
        <f t="shared" si="2"/>
        <v>73651.11</v>
      </c>
      <c r="M188" s="10">
        <f t="shared" si="3"/>
        <v>17564.1</v>
      </c>
      <c r="N188" s="10">
        <f t="shared" si="4"/>
        <v>56087.01</v>
      </c>
      <c r="O188" s="11">
        <f t="shared" si="1"/>
        <v>0.7615229424</v>
      </c>
    </row>
    <row r="189" ht="14.25" customHeight="1">
      <c r="B189" s="6" t="s">
        <v>218</v>
      </c>
      <c r="C189" s="6" t="s">
        <v>25</v>
      </c>
      <c r="D189" s="6" t="s">
        <v>21</v>
      </c>
      <c r="E189" s="6" t="s">
        <v>46</v>
      </c>
      <c r="F189" s="6" t="s">
        <v>27</v>
      </c>
      <c r="G189" s="6" t="s">
        <v>23</v>
      </c>
      <c r="H189" s="7">
        <v>45112.0</v>
      </c>
      <c r="I189" s="8">
        <v>297.0</v>
      </c>
      <c r="J189" s="8">
        <v>276.51</v>
      </c>
      <c r="K189" s="8">
        <v>240.22</v>
      </c>
      <c r="L189" s="10">
        <f t="shared" si="2"/>
        <v>82123.47</v>
      </c>
      <c r="M189" s="10">
        <f t="shared" si="3"/>
        <v>71345.34</v>
      </c>
      <c r="N189" s="10">
        <f t="shared" si="4"/>
        <v>10778.13</v>
      </c>
      <c r="O189" s="11">
        <f t="shared" si="1"/>
        <v>0.131242993</v>
      </c>
    </row>
    <row r="190" ht="14.25" customHeight="1">
      <c r="B190" s="6" t="s">
        <v>219</v>
      </c>
      <c r="C190" s="6" t="s">
        <v>52</v>
      </c>
      <c r="D190" s="6" t="s">
        <v>54</v>
      </c>
      <c r="E190" s="6" t="s">
        <v>26</v>
      </c>
      <c r="F190" s="6" t="s">
        <v>27</v>
      </c>
      <c r="G190" s="6" t="s">
        <v>31</v>
      </c>
      <c r="H190" s="7">
        <v>45113.0</v>
      </c>
      <c r="I190" s="8">
        <v>139.0</v>
      </c>
      <c r="J190" s="8">
        <v>300.26</v>
      </c>
      <c r="K190" s="8">
        <v>39.81</v>
      </c>
      <c r="L190" s="10">
        <f t="shared" si="2"/>
        <v>41736.14</v>
      </c>
      <c r="M190" s="10">
        <f t="shared" si="3"/>
        <v>5533.59</v>
      </c>
      <c r="N190" s="10">
        <f t="shared" si="4"/>
        <v>36202.55</v>
      </c>
      <c r="O190" s="11">
        <f t="shared" si="1"/>
        <v>0.8674149071</v>
      </c>
    </row>
    <row r="191" ht="14.25" customHeight="1">
      <c r="B191" s="6" t="s">
        <v>220</v>
      </c>
      <c r="C191" s="6" t="s">
        <v>14</v>
      </c>
      <c r="D191" s="6" t="s">
        <v>15</v>
      </c>
      <c r="E191" s="6" t="s">
        <v>26</v>
      </c>
      <c r="F191" s="6" t="s">
        <v>17</v>
      </c>
      <c r="G191" s="6" t="s">
        <v>23</v>
      </c>
      <c r="H191" s="7">
        <v>45114.0</v>
      </c>
      <c r="I191" s="8">
        <v>184.0</v>
      </c>
      <c r="J191" s="8">
        <v>275.12</v>
      </c>
      <c r="K191" s="8">
        <v>151.65</v>
      </c>
      <c r="L191" s="10">
        <f t="shared" si="2"/>
        <v>50622.08</v>
      </c>
      <c r="M191" s="10">
        <f t="shared" si="3"/>
        <v>27903.6</v>
      </c>
      <c r="N191" s="10">
        <f t="shared" si="4"/>
        <v>22718.48</v>
      </c>
      <c r="O191" s="11">
        <f t="shared" si="1"/>
        <v>0.4487859843</v>
      </c>
    </row>
    <row r="192" ht="14.25" customHeight="1">
      <c r="B192" s="6" t="s">
        <v>221</v>
      </c>
      <c r="C192" s="6" t="s">
        <v>14</v>
      </c>
      <c r="D192" s="6" t="s">
        <v>54</v>
      </c>
      <c r="E192" s="6" t="s">
        <v>26</v>
      </c>
      <c r="F192" s="6" t="s">
        <v>17</v>
      </c>
      <c r="G192" s="6" t="s">
        <v>18</v>
      </c>
      <c r="H192" s="7">
        <v>45115.0</v>
      </c>
      <c r="I192" s="8">
        <v>471.0</v>
      </c>
      <c r="J192" s="8">
        <v>224.99</v>
      </c>
      <c r="K192" s="8">
        <v>220.94</v>
      </c>
      <c r="L192" s="10">
        <f t="shared" si="2"/>
        <v>105970.29</v>
      </c>
      <c r="M192" s="10">
        <f t="shared" si="3"/>
        <v>104062.74</v>
      </c>
      <c r="N192" s="10">
        <f t="shared" si="4"/>
        <v>1907.55</v>
      </c>
      <c r="O192" s="11">
        <f t="shared" si="1"/>
        <v>0.01800080004</v>
      </c>
    </row>
    <row r="193" ht="14.25" customHeight="1">
      <c r="B193" s="6" t="s">
        <v>222</v>
      </c>
      <c r="C193" s="6" t="s">
        <v>52</v>
      </c>
      <c r="D193" s="6" t="s">
        <v>21</v>
      </c>
      <c r="E193" s="6" t="s">
        <v>16</v>
      </c>
      <c r="F193" s="6" t="s">
        <v>27</v>
      </c>
      <c r="G193" s="6" t="s">
        <v>23</v>
      </c>
      <c r="H193" s="7">
        <v>45116.0</v>
      </c>
      <c r="I193" s="8">
        <v>93.0</v>
      </c>
      <c r="J193" s="8">
        <v>12.26</v>
      </c>
      <c r="K193" s="8">
        <v>156.68</v>
      </c>
      <c r="L193" s="10">
        <f t="shared" si="2"/>
        <v>1140.18</v>
      </c>
      <c r="M193" s="10">
        <f t="shared" si="3"/>
        <v>14571.24</v>
      </c>
      <c r="N193" s="10">
        <f t="shared" si="4"/>
        <v>-13431.06</v>
      </c>
      <c r="O193" s="11">
        <f t="shared" si="1"/>
        <v>-11.77977162</v>
      </c>
    </row>
    <row r="194" ht="14.25" customHeight="1">
      <c r="B194" s="6" t="s">
        <v>223</v>
      </c>
      <c r="C194" s="6" t="s">
        <v>14</v>
      </c>
      <c r="D194" s="6" t="s">
        <v>15</v>
      </c>
      <c r="E194" s="6" t="s">
        <v>30</v>
      </c>
      <c r="F194" s="6" t="s">
        <v>17</v>
      </c>
      <c r="G194" s="6" t="s">
        <v>18</v>
      </c>
      <c r="H194" s="7">
        <v>45117.0</v>
      </c>
      <c r="I194" s="8">
        <v>31.0</v>
      </c>
      <c r="J194" s="8">
        <v>295.6</v>
      </c>
      <c r="K194" s="8">
        <v>67.15</v>
      </c>
      <c r="L194" s="10">
        <f t="shared" si="2"/>
        <v>9163.6</v>
      </c>
      <c r="M194" s="10">
        <f t="shared" si="3"/>
        <v>2081.65</v>
      </c>
      <c r="N194" s="10">
        <f t="shared" si="4"/>
        <v>7081.95</v>
      </c>
      <c r="O194" s="11">
        <f t="shared" si="1"/>
        <v>0.772834912</v>
      </c>
    </row>
    <row r="195" ht="14.25" customHeight="1">
      <c r="B195" s="6" t="s">
        <v>224</v>
      </c>
      <c r="C195" s="6" t="s">
        <v>14</v>
      </c>
      <c r="D195" s="6" t="s">
        <v>54</v>
      </c>
      <c r="E195" s="6" t="s">
        <v>16</v>
      </c>
      <c r="F195" s="6" t="s">
        <v>17</v>
      </c>
      <c r="G195" s="6" t="s">
        <v>23</v>
      </c>
      <c r="H195" s="7">
        <v>45118.0</v>
      </c>
      <c r="I195" s="8">
        <v>468.0</v>
      </c>
      <c r="J195" s="8">
        <v>88.38</v>
      </c>
      <c r="K195" s="8">
        <v>110.97</v>
      </c>
      <c r="L195" s="10">
        <f t="shared" si="2"/>
        <v>41361.84</v>
      </c>
      <c r="M195" s="10">
        <f t="shared" si="3"/>
        <v>51933.96</v>
      </c>
      <c r="N195" s="10">
        <f t="shared" si="4"/>
        <v>-10572.12</v>
      </c>
      <c r="O195" s="11">
        <f t="shared" si="1"/>
        <v>-0.2556008147</v>
      </c>
    </row>
    <row r="196" ht="14.25" customHeight="1">
      <c r="B196" s="6" t="s">
        <v>225</v>
      </c>
      <c r="C196" s="6" t="s">
        <v>25</v>
      </c>
      <c r="D196" s="6" t="s">
        <v>15</v>
      </c>
      <c r="E196" s="6" t="s">
        <v>30</v>
      </c>
      <c r="F196" s="6" t="s">
        <v>17</v>
      </c>
      <c r="G196" s="6" t="s">
        <v>31</v>
      </c>
      <c r="H196" s="7">
        <v>45119.0</v>
      </c>
      <c r="I196" s="8">
        <v>36.0</v>
      </c>
      <c r="J196" s="8">
        <v>323.08</v>
      </c>
      <c r="K196" s="8">
        <v>371.47</v>
      </c>
      <c r="L196" s="10">
        <f t="shared" si="2"/>
        <v>11630.88</v>
      </c>
      <c r="M196" s="10">
        <f t="shared" si="3"/>
        <v>13372.92</v>
      </c>
      <c r="N196" s="10">
        <f t="shared" si="4"/>
        <v>-1742.04</v>
      </c>
      <c r="O196" s="11">
        <f t="shared" si="1"/>
        <v>-0.149777145</v>
      </c>
    </row>
    <row r="197" ht="14.25" customHeight="1">
      <c r="B197" s="6" t="s">
        <v>226</v>
      </c>
      <c r="C197" s="6" t="s">
        <v>14</v>
      </c>
      <c r="D197" s="6" t="s">
        <v>29</v>
      </c>
      <c r="E197" s="6" t="s">
        <v>26</v>
      </c>
      <c r="F197" s="6" t="s">
        <v>27</v>
      </c>
      <c r="G197" s="6" t="s">
        <v>23</v>
      </c>
      <c r="H197" s="7">
        <v>45120.0</v>
      </c>
      <c r="I197" s="8">
        <v>204.0</v>
      </c>
      <c r="J197" s="8">
        <v>380.88</v>
      </c>
      <c r="K197" s="8">
        <v>271.04</v>
      </c>
      <c r="L197" s="10">
        <f t="shared" si="2"/>
        <v>77699.52</v>
      </c>
      <c r="M197" s="10">
        <f t="shared" si="3"/>
        <v>55292.16</v>
      </c>
      <c r="N197" s="10">
        <f t="shared" si="4"/>
        <v>22407.36</v>
      </c>
      <c r="O197" s="11">
        <f t="shared" si="1"/>
        <v>0.2883847931</v>
      </c>
    </row>
    <row r="198" ht="14.25" customHeight="1">
      <c r="B198" s="6" t="s">
        <v>227</v>
      </c>
      <c r="C198" s="6" t="s">
        <v>14</v>
      </c>
      <c r="D198" s="6" t="s">
        <v>29</v>
      </c>
      <c r="E198" s="6" t="s">
        <v>26</v>
      </c>
      <c r="F198" s="6" t="s">
        <v>17</v>
      </c>
      <c r="G198" s="6" t="s">
        <v>23</v>
      </c>
      <c r="H198" s="7">
        <v>45121.0</v>
      </c>
      <c r="I198" s="8">
        <v>346.0</v>
      </c>
      <c r="J198" s="8">
        <v>252.72</v>
      </c>
      <c r="K198" s="8">
        <v>199.43</v>
      </c>
      <c r="L198" s="10">
        <f t="shared" si="2"/>
        <v>87441.12</v>
      </c>
      <c r="M198" s="10">
        <f t="shared" si="3"/>
        <v>69002.78</v>
      </c>
      <c r="N198" s="10">
        <f t="shared" si="4"/>
        <v>18438.34</v>
      </c>
      <c r="O198" s="11">
        <f t="shared" si="1"/>
        <v>0.2108657803</v>
      </c>
    </row>
    <row r="199" ht="14.25" customHeight="1">
      <c r="B199" s="6" t="s">
        <v>228</v>
      </c>
      <c r="C199" s="6" t="s">
        <v>52</v>
      </c>
      <c r="D199" s="6" t="s">
        <v>54</v>
      </c>
      <c r="E199" s="6" t="s">
        <v>16</v>
      </c>
      <c r="F199" s="6" t="s">
        <v>27</v>
      </c>
      <c r="G199" s="6" t="s">
        <v>18</v>
      </c>
      <c r="H199" s="7">
        <v>45122.0</v>
      </c>
      <c r="I199" s="8">
        <v>391.0</v>
      </c>
      <c r="J199" s="8">
        <v>273.47</v>
      </c>
      <c r="K199" s="8">
        <v>7.06</v>
      </c>
      <c r="L199" s="10">
        <f t="shared" si="2"/>
        <v>106926.77</v>
      </c>
      <c r="M199" s="10">
        <f t="shared" si="3"/>
        <v>2760.46</v>
      </c>
      <c r="N199" s="10">
        <f t="shared" si="4"/>
        <v>104166.31</v>
      </c>
      <c r="O199" s="11">
        <f t="shared" si="1"/>
        <v>0.9741836399</v>
      </c>
    </row>
    <row r="200" ht="14.25" customHeight="1">
      <c r="B200" s="6" t="s">
        <v>229</v>
      </c>
      <c r="C200" s="6" t="s">
        <v>52</v>
      </c>
      <c r="D200" s="6" t="s">
        <v>15</v>
      </c>
      <c r="E200" s="6" t="s">
        <v>16</v>
      </c>
      <c r="F200" s="6" t="s">
        <v>17</v>
      </c>
      <c r="G200" s="6" t="s">
        <v>31</v>
      </c>
      <c r="H200" s="7">
        <v>45123.0</v>
      </c>
      <c r="I200" s="8">
        <v>245.0</v>
      </c>
      <c r="J200" s="8">
        <v>475.98</v>
      </c>
      <c r="K200" s="8">
        <v>396.98</v>
      </c>
      <c r="L200" s="10">
        <f t="shared" si="2"/>
        <v>116615.1</v>
      </c>
      <c r="M200" s="10">
        <f t="shared" si="3"/>
        <v>97260.1</v>
      </c>
      <c r="N200" s="10">
        <f t="shared" si="4"/>
        <v>19355</v>
      </c>
      <c r="O200" s="11">
        <f t="shared" si="1"/>
        <v>0.1659733602</v>
      </c>
    </row>
    <row r="201" ht="14.25" customHeight="1">
      <c r="B201" s="6" t="s">
        <v>230</v>
      </c>
      <c r="C201" s="6" t="s">
        <v>20</v>
      </c>
      <c r="D201" s="6" t="s">
        <v>21</v>
      </c>
      <c r="E201" s="6" t="s">
        <v>30</v>
      </c>
      <c r="F201" s="6" t="s">
        <v>27</v>
      </c>
      <c r="G201" s="6" t="s">
        <v>23</v>
      </c>
      <c r="H201" s="7">
        <v>45124.0</v>
      </c>
      <c r="I201" s="8">
        <v>449.0</v>
      </c>
      <c r="J201" s="8">
        <v>424.35</v>
      </c>
      <c r="K201" s="8">
        <v>269.24</v>
      </c>
      <c r="L201" s="10">
        <f t="shared" si="2"/>
        <v>190533.15</v>
      </c>
      <c r="M201" s="10">
        <f t="shared" si="3"/>
        <v>120888.76</v>
      </c>
      <c r="N201" s="10">
        <f t="shared" si="4"/>
        <v>69644.39</v>
      </c>
      <c r="O201" s="11">
        <f t="shared" si="1"/>
        <v>0.3655237422</v>
      </c>
    </row>
    <row r="202" ht="14.25" customHeight="1">
      <c r="B202" s="6" t="s">
        <v>231</v>
      </c>
      <c r="C202" s="6" t="s">
        <v>25</v>
      </c>
      <c r="D202" s="6" t="s">
        <v>54</v>
      </c>
      <c r="E202" s="6" t="s">
        <v>22</v>
      </c>
      <c r="F202" s="6" t="s">
        <v>27</v>
      </c>
      <c r="G202" s="6" t="s">
        <v>31</v>
      </c>
      <c r="H202" s="7">
        <v>45125.0</v>
      </c>
      <c r="I202" s="8">
        <v>101.0</v>
      </c>
      <c r="J202" s="8">
        <v>457.55</v>
      </c>
      <c r="K202" s="8">
        <v>128.14</v>
      </c>
      <c r="L202" s="10">
        <f t="shared" si="2"/>
        <v>46212.55</v>
      </c>
      <c r="M202" s="10">
        <f t="shared" si="3"/>
        <v>12942.14</v>
      </c>
      <c r="N202" s="10">
        <f t="shared" si="4"/>
        <v>33270.41</v>
      </c>
      <c r="O202" s="11">
        <f t="shared" si="1"/>
        <v>0.7199431756</v>
      </c>
    </row>
    <row r="203" ht="14.25" customHeight="1">
      <c r="B203" s="6" t="s">
        <v>232</v>
      </c>
      <c r="C203" s="6" t="s">
        <v>14</v>
      </c>
      <c r="D203" s="6" t="s">
        <v>29</v>
      </c>
      <c r="E203" s="6" t="s">
        <v>30</v>
      </c>
      <c r="F203" s="6" t="s">
        <v>17</v>
      </c>
      <c r="G203" s="6" t="s">
        <v>23</v>
      </c>
      <c r="H203" s="7">
        <v>45126.0</v>
      </c>
      <c r="I203" s="6">
        <v>255.9029411764706</v>
      </c>
      <c r="J203" s="8">
        <v>407.81</v>
      </c>
      <c r="K203" s="8">
        <v>351.95</v>
      </c>
      <c r="L203" s="10">
        <f t="shared" si="2"/>
        <v>104359.7784</v>
      </c>
      <c r="M203" s="10">
        <f t="shared" si="3"/>
        <v>90065.04015</v>
      </c>
      <c r="N203" s="10">
        <f t="shared" si="4"/>
        <v>14294.73829</v>
      </c>
      <c r="O203" s="11">
        <f t="shared" si="1"/>
        <v>0.1369755523</v>
      </c>
    </row>
    <row r="204" ht="14.25" customHeight="1">
      <c r="B204" s="6" t="s">
        <v>233</v>
      </c>
      <c r="C204" s="6" t="s">
        <v>14</v>
      </c>
      <c r="D204" s="6" t="s">
        <v>29</v>
      </c>
      <c r="E204" s="6" t="s">
        <v>16</v>
      </c>
      <c r="F204" s="6" t="s">
        <v>27</v>
      </c>
      <c r="G204" s="6" t="s">
        <v>23</v>
      </c>
      <c r="H204" s="7">
        <v>45127.0</v>
      </c>
      <c r="I204" s="8">
        <v>30.0</v>
      </c>
      <c r="J204" s="8">
        <v>58.91</v>
      </c>
      <c r="K204" s="8">
        <v>104.86</v>
      </c>
      <c r="L204" s="10">
        <f t="shared" si="2"/>
        <v>1767.3</v>
      </c>
      <c r="M204" s="10">
        <f t="shared" si="3"/>
        <v>3145.8</v>
      </c>
      <c r="N204" s="10">
        <f t="shared" si="4"/>
        <v>-1378.5</v>
      </c>
      <c r="O204" s="11">
        <f t="shared" si="1"/>
        <v>-0.780003395</v>
      </c>
    </row>
    <row r="205" ht="14.25" customHeight="1">
      <c r="B205" s="6" t="s">
        <v>234</v>
      </c>
      <c r="C205" s="6" t="s">
        <v>20</v>
      </c>
      <c r="D205" s="6" t="s">
        <v>54</v>
      </c>
      <c r="E205" s="6" t="s">
        <v>16</v>
      </c>
      <c r="F205" s="6" t="s">
        <v>17</v>
      </c>
      <c r="G205" s="6" t="s">
        <v>31</v>
      </c>
      <c r="H205" s="7">
        <v>45128.0</v>
      </c>
      <c r="I205" s="8">
        <v>312.0</v>
      </c>
      <c r="J205" s="8">
        <v>78.75</v>
      </c>
      <c r="K205" s="8">
        <v>218.52</v>
      </c>
      <c r="L205" s="10">
        <f t="shared" si="2"/>
        <v>24570</v>
      </c>
      <c r="M205" s="10">
        <f t="shared" si="3"/>
        <v>68178.24</v>
      </c>
      <c r="N205" s="10">
        <f t="shared" si="4"/>
        <v>-43608.24</v>
      </c>
      <c r="O205" s="11">
        <f t="shared" si="1"/>
        <v>-1.774857143</v>
      </c>
    </row>
    <row r="206" ht="14.25" customHeight="1">
      <c r="B206" s="6" t="s">
        <v>235</v>
      </c>
      <c r="C206" s="6" t="s">
        <v>14</v>
      </c>
      <c r="D206" s="6" t="s">
        <v>15</v>
      </c>
      <c r="E206" s="6" t="s">
        <v>46</v>
      </c>
      <c r="F206" s="6" t="s">
        <v>27</v>
      </c>
      <c r="G206" s="6" t="s">
        <v>23</v>
      </c>
      <c r="H206" s="7">
        <v>45129.0</v>
      </c>
      <c r="I206" s="8">
        <v>473.0</v>
      </c>
      <c r="J206" s="8">
        <v>265.68</v>
      </c>
      <c r="K206" s="8">
        <v>255.16</v>
      </c>
      <c r="L206" s="10">
        <f t="shared" si="2"/>
        <v>125666.64</v>
      </c>
      <c r="M206" s="10">
        <f t="shared" si="3"/>
        <v>120690.68</v>
      </c>
      <c r="N206" s="10">
        <f t="shared" si="4"/>
        <v>4975.96</v>
      </c>
      <c r="O206" s="11">
        <f t="shared" si="1"/>
        <v>0.03959650708</v>
      </c>
    </row>
    <row r="207" ht="14.25" customHeight="1">
      <c r="B207" s="6" t="s">
        <v>236</v>
      </c>
      <c r="C207" s="6" t="s">
        <v>25</v>
      </c>
      <c r="D207" s="6" t="s">
        <v>29</v>
      </c>
      <c r="E207" s="6" t="s">
        <v>16</v>
      </c>
      <c r="F207" s="6" t="s">
        <v>17</v>
      </c>
      <c r="G207" s="6" t="s">
        <v>31</v>
      </c>
      <c r="H207" s="7">
        <v>45130.0</v>
      </c>
      <c r="I207" s="8">
        <v>366.0</v>
      </c>
      <c r="J207" s="8">
        <v>126.8</v>
      </c>
      <c r="K207" s="8">
        <v>89.98</v>
      </c>
      <c r="L207" s="10">
        <f t="shared" si="2"/>
        <v>46408.8</v>
      </c>
      <c r="M207" s="10">
        <f t="shared" si="3"/>
        <v>32932.68</v>
      </c>
      <c r="N207" s="10">
        <f t="shared" si="4"/>
        <v>13476.12</v>
      </c>
      <c r="O207" s="11">
        <f t="shared" si="1"/>
        <v>0.2903785489</v>
      </c>
    </row>
    <row r="208" ht="14.25" customHeight="1">
      <c r="B208" s="6" t="s">
        <v>237</v>
      </c>
      <c r="C208" s="6" t="s">
        <v>20</v>
      </c>
      <c r="D208" s="6" t="s">
        <v>15</v>
      </c>
      <c r="E208" s="6" t="s">
        <v>46</v>
      </c>
      <c r="F208" s="6" t="s">
        <v>17</v>
      </c>
      <c r="G208" s="6" t="s">
        <v>23</v>
      </c>
      <c r="H208" s="7">
        <v>45131.0</v>
      </c>
      <c r="I208" s="8">
        <v>452.0</v>
      </c>
      <c r="J208" s="8">
        <v>240.96</v>
      </c>
      <c r="K208" s="8">
        <v>391.4</v>
      </c>
      <c r="L208" s="10">
        <f t="shared" si="2"/>
        <v>108913.92</v>
      </c>
      <c r="M208" s="10">
        <f t="shared" si="3"/>
        <v>176912.8</v>
      </c>
      <c r="N208" s="10">
        <f t="shared" si="4"/>
        <v>-67998.88</v>
      </c>
      <c r="O208" s="11">
        <f t="shared" si="1"/>
        <v>-0.6243359894</v>
      </c>
    </row>
    <row r="209" ht="14.25" customHeight="1">
      <c r="B209" s="6" t="s">
        <v>238</v>
      </c>
      <c r="C209" s="6" t="s">
        <v>25</v>
      </c>
      <c r="D209" s="6" t="s">
        <v>29</v>
      </c>
      <c r="E209" s="6" t="s">
        <v>22</v>
      </c>
      <c r="F209" s="6" t="s">
        <v>27</v>
      </c>
      <c r="G209" s="6" t="s">
        <v>18</v>
      </c>
      <c r="H209" s="7">
        <v>45132.0</v>
      </c>
      <c r="I209" s="8">
        <v>93.0</v>
      </c>
      <c r="J209" s="8">
        <v>200.21</v>
      </c>
      <c r="K209" s="8">
        <v>299.78</v>
      </c>
      <c r="L209" s="10">
        <f t="shared" si="2"/>
        <v>18619.53</v>
      </c>
      <c r="M209" s="10">
        <f t="shared" si="3"/>
        <v>27879.54</v>
      </c>
      <c r="N209" s="10">
        <f t="shared" si="4"/>
        <v>-9260.01</v>
      </c>
      <c r="O209" s="11">
        <f t="shared" si="1"/>
        <v>-0.4973278058</v>
      </c>
    </row>
    <row r="210" ht="14.25" customHeight="1">
      <c r="B210" s="6" t="s">
        <v>239</v>
      </c>
      <c r="C210" s="6" t="s">
        <v>20</v>
      </c>
      <c r="D210" s="6" t="s">
        <v>29</v>
      </c>
      <c r="E210" s="6" t="s">
        <v>30</v>
      </c>
      <c r="F210" s="6" t="s">
        <v>17</v>
      </c>
      <c r="G210" s="6" t="s">
        <v>31</v>
      </c>
      <c r="H210" s="7">
        <v>45133.0</v>
      </c>
      <c r="I210" s="8">
        <v>271.0</v>
      </c>
      <c r="J210" s="8">
        <v>276.96</v>
      </c>
      <c r="K210" s="8">
        <v>224.01</v>
      </c>
      <c r="L210" s="10">
        <f t="shared" si="2"/>
        <v>75056.16</v>
      </c>
      <c r="M210" s="10">
        <f t="shared" si="3"/>
        <v>60706.71</v>
      </c>
      <c r="N210" s="10">
        <f t="shared" si="4"/>
        <v>14349.45</v>
      </c>
      <c r="O210" s="11">
        <f t="shared" si="1"/>
        <v>0.1911828423</v>
      </c>
    </row>
    <row r="211" ht="14.25" customHeight="1">
      <c r="B211" s="6" t="s">
        <v>240</v>
      </c>
      <c r="C211" s="6" t="s">
        <v>20</v>
      </c>
      <c r="D211" s="6" t="s">
        <v>34</v>
      </c>
      <c r="E211" s="6" t="s">
        <v>30</v>
      </c>
      <c r="F211" s="6" t="s">
        <v>17</v>
      </c>
      <c r="G211" s="6" t="s">
        <v>23</v>
      </c>
      <c r="H211" s="7">
        <v>45134.0</v>
      </c>
      <c r="I211" s="8">
        <v>156.0</v>
      </c>
      <c r="J211" s="8">
        <v>374.7</v>
      </c>
      <c r="K211" s="8">
        <v>73.88</v>
      </c>
      <c r="L211" s="10">
        <f t="shared" si="2"/>
        <v>58453.2</v>
      </c>
      <c r="M211" s="10">
        <f t="shared" si="3"/>
        <v>11525.28</v>
      </c>
      <c r="N211" s="10">
        <f t="shared" si="4"/>
        <v>46927.92</v>
      </c>
      <c r="O211" s="11">
        <f t="shared" si="1"/>
        <v>0.8028289298</v>
      </c>
    </row>
    <row r="212" ht="14.25" customHeight="1">
      <c r="B212" s="6" t="s">
        <v>241</v>
      </c>
      <c r="C212" s="6" t="s">
        <v>52</v>
      </c>
      <c r="D212" s="6" t="s">
        <v>29</v>
      </c>
      <c r="E212" s="6" t="s">
        <v>46</v>
      </c>
      <c r="F212" s="6" t="s">
        <v>27</v>
      </c>
      <c r="G212" s="6" t="s">
        <v>23</v>
      </c>
      <c r="H212" s="7">
        <v>45135.0</v>
      </c>
      <c r="I212" s="8">
        <v>450.0</v>
      </c>
      <c r="J212" s="8">
        <v>359.17</v>
      </c>
      <c r="K212" s="8">
        <v>23.44</v>
      </c>
      <c r="L212" s="10">
        <f t="shared" si="2"/>
        <v>161626.5</v>
      </c>
      <c r="M212" s="10">
        <f t="shared" si="3"/>
        <v>10548</v>
      </c>
      <c r="N212" s="10">
        <f t="shared" si="4"/>
        <v>151078.5</v>
      </c>
      <c r="O212" s="11">
        <f t="shared" si="1"/>
        <v>0.9347384247</v>
      </c>
    </row>
    <row r="213" ht="14.25" customHeight="1">
      <c r="B213" s="6" t="s">
        <v>242</v>
      </c>
      <c r="C213" s="6" t="s">
        <v>25</v>
      </c>
      <c r="D213" s="6" t="s">
        <v>21</v>
      </c>
      <c r="E213" s="6" t="s">
        <v>30</v>
      </c>
      <c r="F213" s="6" t="s">
        <v>17</v>
      </c>
      <c r="G213" s="6" t="s">
        <v>18</v>
      </c>
      <c r="H213" s="7">
        <v>45136.0</v>
      </c>
      <c r="I213" s="8">
        <v>462.0</v>
      </c>
      <c r="J213" s="8">
        <v>263.01</v>
      </c>
      <c r="K213" s="8">
        <v>129.38</v>
      </c>
      <c r="L213" s="10">
        <f t="shared" si="2"/>
        <v>121510.62</v>
      </c>
      <c r="M213" s="10">
        <f t="shared" si="3"/>
        <v>59773.56</v>
      </c>
      <c r="N213" s="10">
        <f t="shared" si="4"/>
        <v>61737.06</v>
      </c>
      <c r="O213" s="11">
        <f t="shared" si="1"/>
        <v>0.5080795407</v>
      </c>
    </row>
    <row r="214" ht="14.25" customHeight="1">
      <c r="B214" s="6" t="s">
        <v>243</v>
      </c>
      <c r="C214" s="6" t="s">
        <v>14</v>
      </c>
      <c r="D214" s="6" t="s">
        <v>54</v>
      </c>
      <c r="E214" s="6" t="s">
        <v>39</v>
      </c>
      <c r="F214" s="6" t="s">
        <v>17</v>
      </c>
      <c r="G214" s="6" t="s">
        <v>31</v>
      </c>
      <c r="H214" s="7">
        <v>45137.0</v>
      </c>
      <c r="I214" s="8">
        <v>396.0</v>
      </c>
      <c r="J214" s="8">
        <v>412.08</v>
      </c>
      <c r="K214" s="8">
        <v>301.77</v>
      </c>
      <c r="L214" s="10">
        <f t="shared" si="2"/>
        <v>163183.68</v>
      </c>
      <c r="M214" s="10">
        <f t="shared" si="3"/>
        <v>119500.92</v>
      </c>
      <c r="N214" s="10">
        <f t="shared" si="4"/>
        <v>43682.76</v>
      </c>
      <c r="O214" s="11">
        <f t="shared" si="1"/>
        <v>0.2676907397</v>
      </c>
    </row>
    <row r="215" ht="14.25" customHeight="1">
      <c r="B215" s="6" t="s">
        <v>244</v>
      </c>
      <c r="C215" s="6" t="s">
        <v>14</v>
      </c>
      <c r="D215" s="6" t="s">
        <v>54</v>
      </c>
      <c r="E215" s="6" t="s">
        <v>26</v>
      </c>
      <c r="F215" s="6" t="s">
        <v>27</v>
      </c>
      <c r="G215" s="6" t="s">
        <v>23</v>
      </c>
      <c r="H215" s="7">
        <v>45138.0</v>
      </c>
      <c r="I215" s="8">
        <v>266.0</v>
      </c>
      <c r="J215" s="8">
        <v>218.28</v>
      </c>
      <c r="K215" s="8">
        <v>109.19</v>
      </c>
      <c r="L215" s="10">
        <f t="shared" si="2"/>
        <v>58062.48</v>
      </c>
      <c r="M215" s="10">
        <f t="shared" si="3"/>
        <v>29044.54</v>
      </c>
      <c r="N215" s="10">
        <f t="shared" si="4"/>
        <v>29017.94</v>
      </c>
      <c r="O215" s="11">
        <f t="shared" si="1"/>
        <v>0.4997709364</v>
      </c>
    </row>
    <row r="216" ht="14.25" customHeight="1">
      <c r="B216" s="6" t="s">
        <v>245</v>
      </c>
      <c r="C216" s="6" t="s">
        <v>25</v>
      </c>
      <c r="D216" s="6" t="s">
        <v>15</v>
      </c>
      <c r="E216" s="6" t="s">
        <v>46</v>
      </c>
      <c r="F216" s="6" t="s">
        <v>27</v>
      </c>
      <c r="G216" s="6" t="s">
        <v>18</v>
      </c>
      <c r="H216" s="7">
        <v>45139.0</v>
      </c>
      <c r="I216" s="8">
        <v>67.0</v>
      </c>
      <c r="J216" s="8">
        <v>448.87</v>
      </c>
      <c r="K216" s="8">
        <v>216.74</v>
      </c>
      <c r="L216" s="10">
        <f t="shared" si="2"/>
        <v>30074.29</v>
      </c>
      <c r="M216" s="10">
        <f t="shared" si="3"/>
        <v>14521.58</v>
      </c>
      <c r="N216" s="10">
        <f t="shared" si="4"/>
        <v>15552.71</v>
      </c>
      <c r="O216" s="11">
        <f t="shared" si="1"/>
        <v>0.5171430481</v>
      </c>
    </row>
    <row r="217" ht="14.25" customHeight="1">
      <c r="B217" s="6" t="s">
        <v>246</v>
      </c>
      <c r="C217" s="6" t="s">
        <v>14</v>
      </c>
      <c r="D217" s="6" t="s">
        <v>29</v>
      </c>
      <c r="E217" s="6" t="s">
        <v>30</v>
      </c>
      <c r="F217" s="6" t="s">
        <v>17</v>
      </c>
      <c r="G217" s="6" t="s">
        <v>23</v>
      </c>
      <c r="H217" s="7">
        <v>45140.0</v>
      </c>
      <c r="I217" s="8">
        <v>389.0</v>
      </c>
      <c r="J217" s="8">
        <v>40.28</v>
      </c>
      <c r="K217" s="8">
        <v>291.72</v>
      </c>
      <c r="L217" s="10">
        <f t="shared" si="2"/>
        <v>15668.92</v>
      </c>
      <c r="M217" s="10">
        <f t="shared" si="3"/>
        <v>113479.08</v>
      </c>
      <c r="N217" s="10">
        <f t="shared" si="4"/>
        <v>-97810.16</v>
      </c>
      <c r="O217" s="11">
        <f t="shared" si="1"/>
        <v>-6.242303873</v>
      </c>
    </row>
    <row r="218" ht="14.25" customHeight="1">
      <c r="B218" s="6" t="s">
        <v>247</v>
      </c>
      <c r="C218" s="6" t="s">
        <v>14</v>
      </c>
      <c r="D218" s="6" t="s">
        <v>21</v>
      </c>
      <c r="E218" s="6" t="s">
        <v>46</v>
      </c>
      <c r="F218" s="6" t="s">
        <v>17</v>
      </c>
      <c r="G218" s="6" t="s">
        <v>31</v>
      </c>
      <c r="H218" s="7">
        <v>45141.0</v>
      </c>
      <c r="I218" s="8">
        <v>431.0</v>
      </c>
      <c r="J218" s="8">
        <v>477.56</v>
      </c>
      <c r="K218" s="8">
        <v>44.96</v>
      </c>
      <c r="L218" s="10">
        <f t="shared" si="2"/>
        <v>205828.36</v>
      </c>
      <c r="M218" s="10">
        <f t="shared" si="3"/>
        <v>19377.76</v>
      </c>
      <c r="N218" s="10">
        <f t="shared" si="4"/>
        <v>186450.6</v>
      </c>
      <c r="O218" s="11">
        <f t="shared" si="1"/>
        <v>0.9058547617</v>
      </c>
    </row>
    <row r="219" ht="14.25" customHeight="1">
      <c r="B219" s="6" t="s">
        <v>248</v>
      </c>
      <c r="C219" s="6" t="s">
        <v>25</v>
      </c>
      <c r="D219" s="6" t="s">
        <v>15</v>
      </c>
      <c r="E219" s="6" t="s">
        <v>46</v>
      </c>
      <c r="F219" s="6" t="s">
        <v>27</v>
      </c>
      <c r="G219" s="6" t="s">
        <v>23</v>
      </c>
      <c r="H219" s="7">
        <v>45142.0</v>
      </c>
      <c r="I219" s="8">
        <v>24.0</v>
      </c>
      <c r="J219" s="8">
        <v>329.07</v>
      </c>
      <c r="K219" s="8">
        <v>274.75</v>
      </c>
      <c r="L219" s="10">
        <f t="shared" si="2"/>
        <v>7897.68</v>
      </c>
      <c r="M219" s="10">
        <f t="shared" si="3"/>
        <v>6594</v>
      </c>
      <c r="N219" s="10">
        <f t="shared" si="4"/>
        <v>1303.68</v>
      </c>
      <c r="O219" s="11">
        <f t="shared" si="1"/>
        <v>0.1650712614</v>
      </c>
    </row>
    <row r="220" ht="14.25" customHeight="1">
      <c r="B220" s="6" t="s">
        <v>249</v>
      </c>
      <c r="C220" s="6" t="s">
        <v>20</v>
      </c>
      <c r="D220" s="6" t="s">
        <v>34</v>
      </c>
      <c r="E220" s="6" t="s">
        <v>26</v>
      </c>
      <c r="F220" s="6" t="s">
        <v>27</v>
      </c>
      <c r="G220" s="6" t="s">
        <v>23</v>
      </c>
      <c r="H220" s="7">
        <v>45143.0</v>
      </c>
      <c r="I220" s="8">
        <v>171.0</v>
      </c>
      <c r="J220" s="8">
        <v>193.14</v>
      </c>
      <c r="K220" s="8">
        <v>38.56</v>
      </c>
      <c r="L220" s="10">
        <f t="shared" si="2"/>
        <v>33026.94</v>
      </c>
      <c r="M220" s="10">
        <f t="shared" si="3"/>
        <v>6593.76</v>
      </c>
      <c r="N220" s="10">
        <f t="shared" si="4"/>
        <v>26433.18</v>
      </c>
      <c r="O220" s="11">
        <f t="shared" si="1"/>
        <v>0.8003520762</v>
      </c>
    </row>
    <row r="221" ht="14.25" customHeight="1">
      <c r="B221" s="6" t="s">
        <v>250</v>
      </c>
      <c r="C221" s="6" t="s">
        <v>25</v>
      </c>
      <c r="D221" s="6" t="s">
        <v>15</v>
      </c>
      <c r="E221" s="6" t="s">
        <v>16</v>
      </c>
      <c r="F221" s="6" t="s">
        <v>17</v>
      </c>
      <c r="G221" s="6" t="s">
        <v>23</v>
      </c>
      <c r="H221" s="7">
        <v>45144.0</v>
      </c>
      <c r="I221" s="8">
        <v>454.0</v>
      </c>
      <c r="J221" s="8">
        <v>102.59</v>
      </c>
      <c r="K221" s="8">
        <v>386.12</v>
      </c>
      <c r="L221" s="10">
        <f t="shared" si="2"/>
        <v>46575.86</v>
      </c>
      <c r="M221" s="10">
        <f t="shared" si="3"/>
        <v>175298.48</v>
      </c>
      <c r="N221" s="10">
        <f t="shared" si="4"/>
        <v>-128722.62</v>
      </c>
      <c r="O221" s="11">
        <f t="shared" si="1"/>
        <v>-2.763719661</v>
      </c>
    </row>
    <row r="222" ht="14.25" customHeight="1">
      <c r="B222" s="6" t="s">
        <v>251</v>
      </c>
      <c r="C222" s="6" t="s">
        <v>20</v>
      </c>
      <c r="D222" s="6" t="s">
        <v>15</v>
      </c>
      <c r="E222" s="6" t="s">
        <v>46</v>
      </c>
      <c r="F222" s="6" t="s">
        <v>27</v>
      </c>
      <c r="G222" s="6" t="s">
        <v>23</v>
      </c>
      <c r="H222" s="7">
        <v>45145.0</v>
      </c>
      <c r="I222" s="8">
        <v>172.0</v>
      </c>
      <c r="J222" s="8">
        <v>242.2</v>
      </c>
      <c r="K222" s="8">
        <v>196.38</v>
      </c>
      <c r="L222" s="10">
        <f t="shared" si="2"/>
        <v>41658.4</v>
      </c>
      <c r="M222" s="10">
        <f t="shared" si="3"/>
        <v>33777.36</v>
      </c>
      <c r="N222" s="10">
        <f t="shared" si="4"/>
        <v>7881.04</v>
      </c>
      <c r="O222" s="11">
        <f t="shared" si="1"/>
        <v>0.1891824938</v>
      </c>
    </row>
    <row r="223" ht="14.25" customHeight="1">
      <c r="B223" s="6" t="s">
        <v>252</v>
      </c>
      <c r="C223" s="6" t="s">
        <v>14</v>
      </c>
      <c r="D223" s="6" t="s">
        <v>29</v>
      </c>
      <c r="E223" s="6" t="s">
        <v>30</v>
      </c>
      <c r="F223" s="6" t="s">
        <v>17</v>
      </c>
      <c r="G223" s="6" t="s">
        <v>18</v>
      </c>
      <c r="H223" s="7">
        <v>45146.0</v>
      </c>
      <c r="I223" s="8">
        <v>329.0</v>
      </c>
      <c r="J223" s="8">
        <v>101.31</v>
      </c>
      <c r="K223" s="8">
        <v>61.97</v>
      </c>
      <c r="L223" s="10">
        <f t="shared" si="2"/>
        <v>33330.99</v>
      </c>
      <c r="M223" s="10">
        <f t="shared" si="3"/>
        <v>20388.13</v>
      </c>
      <c r="N223" s="10">
        <f t="shared" si="4"/>
        <v>12942.86</v>
      </c>
      <c r="O223" s="11">
        <f t="shared" si="1"/>
        <v>0.3883130984</v>
      </c>
    </row>
    <row r="224" ht="14.25" customHeight="1">
      <c r="B224" s="6" t="s">
        <v>253</v>
      </c>
      <c r="C224" s="6" t="s">
        <v>14</v>
      </c>
      <c r="D224" s="6" t="s">
        <v>34</v>
      </c>
      <c r="E224" s="6" t="s">
        <v>22</v>
      </c>
      <c r="F224" s="6" t="s">
        <v>17</v>
      </c>
      <c r="G224" s="6" t="s">
        <v>18</v>
      </c>
      <c r="H224" s="7">
        <v>45147.0</v>
      </c>
      <c r="I224" s="8">
        <v>290.0</v>
      </c>
      <c r="J224" s="8">
        <v>87.33</v>
      </c>
      <c r="K224" s="8">
        <v>138.27</v>
      </c>
      <c r="L224" s="10">
        <f t="shared" si="2"/>
        <v>25325.7</v>
      </c>
      <c r="M224" s="10">
        <f t="shared" si="3"/>
        <v>40098.3</v>
      </c>
      <c r="N224" s="10">
        <f t="shared" si="4"/>
        <v>-14772.6</v>
      </c>
      <c r="O224" s="11">
        <f t="shared" si="1"/>
        <v>-0.5833047063</v>
      </c>
    </row>
    <row r="225" ht="14.25" customHeight="1">
      <c r="B225" s="6" t="s">
        <v>254</v>
      </c>
      <c r="C225" s="6" t="s">
        <v>39</v>
      </c>
      <c r="D225" s="6" t="s">
        <v>15</v>
      </c>
      <c r="E225" s="6" t="s">
        <v>46</v>
      </c>
      <c r="F225" s="6" t="s">
        <v>17</v>
      </c>
      <c r="G225" s="6" t="s">
        <v>31</v>
      </c>
      <c r="H225" s="7">
        <v>45148.0</v>
      </c>
      <c r="I225" s="8">
        <v>289.0</v>
      </c>
      <c r="J225" s="8">
        <v>310.59</v>
      </c>
      <c r="K225" s="8">
        <v>166.54</v>
      </c>
      <c r="L225" s="10">
        <f t="shared" si="2"/>
        <v>89760.51</v>
      </c>
      <c r="M225" s="10">
        <f t="shared" si="3"/>
        <v>48130.06</v>
      </c>
      <c r="N225" s="10">
        <f t="shared" si="4"/>
        <v>41630.45</v>
      </c>
      <c r="O225" s="11">
        <f t="shared" si="1"/>
        <v>0.4637947133</v>
      </c>
    </row>
    <row r="226" ht="14.25" customHeight="1">
      <c r="B226" s="6" t="s">
        <v>255</v>
      </c>
      <c r="C226" s="6" t="s">
        <v>52</v>
      </c>
      <c r="D226" s="6" t="s">
        <v>21</v>
      </c>
      <c r="E226" s="6" t="s">
        <v>46</v>
      </c>
      <c r="F226" s="6" t="s">
        <v>17</v>
      </c>
      <c r="G226" s="6" t="s">
        <v>18</v>
      </c>
      <c r="H226" s="7">
        <v>45149.0</v>
      </c>
      <c r="I226" s="8">
        <v>21.0</v>
      </c>
      <c r="J226" s="8">
        <v>263.93</v>
      </c>
      <c r="K226" s="8">
        <v>303.76</v>
      </c>
      <c r="L226" s="10">
        <f t="shared" si="2"/>
        <v>5542.53</v>
      </c>
      <c r="M226" s="10">
        <f t="shared" si="3"/>
        <v>6378.96</v>
      </c>
      <c r="N226" s="10">
        <f t="shared" si="4"/>
        <v>-836.43</v>
      </c>
      <c r="O226" s="11">
        <f t="shared" si="1"/>
        <v>-0.1509112265</v>
      </c>
    </row>
    <row r="227" ht="14.25" customHeight="1">
      <c r="B227" s="6" t="s">
        <v>256</v>
      </c>
      <c r="C227" s="6" t="s">
        <v>20</v>
      </c>
      <c r="D227" s="6" t="s">
        <v>21</v>
      </c>
      <c r="E227" s="6" t="s">
        <v>26</v>
      </c>
      <c r="F227" s="6" t="s">
        <v>17</v>
      </c>
      <c r="G227" s="6" t="s">
        <v>18</v>
      </c>
      <c r="H227" s="7">
        <v>45150.0</v>
      </c>
      <c r="I227" s="8">
        <v>283.0</v>
      </c>
      <c r="J227" s="8">
        <v>336.7</v>
      </c>
      <c r="K227" s="8">
        <v>297.88</v>
      </c>
      <c r="L227" s="10">
        <f t="shared" si="2"/>
        <v>95286.1</v>
      </c>
      <c r="M227" s="10">
        <f t="shared" si="3"/>
        <v>84300.04</v>
      </c>
      <c r="N227" s="10">
        <f t="shared" si="4"/>
        <v>10986.06</v>
      </c>
      <c r="O227" s="11">
        <f t="shared" si="1"/>
        <v>0.1152955153</v>
      </c>
    </row>
    <row r="228" ht="14.25" customHeight="1">
      <c r="B228" s="6" t="s">
        <v>257</v>
      </c>
      <c r="C228" s="6" t="s">
        <v>52</v>
      </c>
      <c r="D228" s="6" t="s">
        <v>54</v>
      </c>
      <c r="E228" s="6" t="s">
        <v>16</v>
      </c>
      <c r="F228" s="6" t="s">
        <v>27</v>
      </c>
      <c r="G228" s="6" t="s">
        <v>31</v>
      </c>
      <c r="H228" s="7">
        <v>45151.0</v>
      </c>
      <c r="I228" s="8">
        <v>280.0</v>
      </c>
      <c r="J228" s="8">
        <v>465.15</v>
      </c>
      <c r="K228" s="8">
        <v>245.55</v>
      </c>
      <c r="L228" s="10">
        <f t="shared" si="2"/>
        <v>130242</v>
      </c>
      <c r="M228" s="10">
        <f t="shared" si="3"/>
        <v>68754</v>
      </c>
      <c r="N228" s="10">
        <f t="shared" si="4"/>
        <v>61488</v>
      </c>
      <c r="O228" s="11">
        <f t="shared" si="1"/>
        <v>0.4721057723</v>
      </c>
    </row>
    <row r="229" ht="14.25" customHeight="1">
      <c r="B229" s="6" t="s">
        <v>258</v>
      </c>
      <c r="C229" s="6" t="s">
        <v>52</v>
      </c>
      <c r="D229" s="6" t="s">
        <v>34</v>
      </c>
      <c r="E229" s="6" t="s">
        <v>22</v>
      </c>
      <c r="F229" s="6" t="s">
        <v>27</v>
      </c>
      <c r="G229" s="6" t="s">
        <v>18</v>
      </c>
      <c r="H229" s="7">
        <v>45152.0</v>
      </c>
      <c r="I229" s="8">
        <v>217.0</v>
      </c>
      <c r="J229" s="8">
        <v>268.47</v>
      </c>
      <c r="K229" s="8">
        <v>44.16</v>
      </c>
      <c r="L229" s="10">
        <f t="shared" si="2"/>
        <v>58257.99</v>
      </c>
      <c r="M229" s="10">
        <f t="shared" si="3"/>
        <v>9582.72</v>
      </c>
      <c r="N229" s="10">
        <f t="shared" si="4"/>
        <v>48675.27</v>
      </c>
      <c r="O229" s="11">
        <f t="shared" si="1"/>
        <v>0.8355123477</v>
      </c>
    </row>
    <row r="230" ht="14.25" customHeight="1">
      <c r="B230" s="6" t="s">
        <v>259</v>
      </c>
      <c r="C230" s="6" t="s">
        <v>25</v>
      </c>
      <c r="D230" s="6" t="s">
        <v>34</v>
      </c>
      <c r="E230" s="6" t="s">
        <v>30</v>
      </c>
      <c r="F230" s="6" t="s">
        <v>27</v>
      </c>
      <c r="G230" s="6" t="s">
        <v>18</v>
      </c>
      <c r="H230" s="7">
        <v>45153.0</v>
      </c>
      <c r="I230" s="8">
        <v>36.0</v>
      </c>
      <c r="J230" s="8">
        <v>292.56</v>
      </c>
      <c r="K230" s="8">
        <v>62.32</v>
      </c>
      <c r="L230" s="10">
        <f t="shared" si="2"/>
        <v>10532.16</v>
      </c>
      <c r="M230" s="10">
        <f t="shared" si="3"/>
        <v>2243.52</v>
      </c>
      <c r="N230" s="10">
        <f t="shared" si="4"/>
        <v>8288.64</v>
      </c>
      <c r="O230" s="11">
        <f t="shared" si="1"/>
        <v>0.7869838666</v>
      </c>
    </row>
    <row r="231" ht="14.25" customHeight="1">
      <c r="B231" s="6" t="s">
        <v>260</v>
      </c>
      <c r="C231" s="6" t="s">
        <v>52</v>
      </c>
      <c r="D231" s="6" t="s">
        <v>54</v>
      </c>
      <c r="E231" s="6" t="s">
        <v>22</v>
      </c>
      <c r="F231" s="6" t="s">
        <v>27</v>
      </c>
      <c r="G231" s="6" t="s">
        <v>31</v>
      </c>
      <c r="H231" s="7">
        <v>45154.0</v>
      </c>
      <c r="I231" s="6">
        <v>255.9029411764706</v>
      </c>
      <c r="J231" s="8">
        <v>49.37</v>
      </c>
      <c r="K231" s="8">
        <v>39.32</v>
      </c>
      <c r="L231" s="10">
        <f t="shared" si="2"/>
        <v>12633.92821</v>
      </c>
      <c r="M231" s="10">
        <f t="shared" si="3"/>
        <v>10062.10365</v>
      </c>
      <c r="N231" s="10">
        <f t="shared" si="4"/>
        <v>2571.824559</v>
      </c>
      <c r="O231" s="11">
        <f t="shared" si="1"/>
        <v>0.203564918</v>
      </c>
    </row>
    <row r="232" ht="14.25" customHeight="1">
      <c r="B232" s="6" t="s">
        <v>261</v>
      </c>
      <c r="C232" s="6" t="s">
        <v>25</v>
      </c>
      <c r="D232" s="6" t="s">
        <v>15</v>
      </c>
      <c r="E232" s="6" t="s">
        <v>30</v>
      </c>
      <c r="F232" s="6" t="s">
        <v>17</v>
      </c>
      <c r="G232" s="6" t="s">
        <v>31</v>
      </c>
      <c r="H232" s="7">
        <v>45155.0</v>
      </c>
      <c r="I232" s="8">
        <v>69.0</v>
      </c>
      <c r="J232" s="8">
        <v>360.23</v>
      </c>
      <c r="K232" s="8">
        <v>231.71</v>
      </c>
      <c r="L232" s="10">
        <f t="shared" si="2"/>
        <v>24855.87</v>
      </c>
      <c r="M232" s="10">
        <f t="shared" si="3"/>
        <v>15987.99</v>
      </c>
      <c r="N232" s="10">
        <f t="shared" si="4"/>
        <v>8867.88</v>
      </c>
      <c r="O232" s="11">
        <f t="shared" si="1"/>
        <v>0.3567720623</v>
      </c>
    </row>
    <row r="233" ht="14.25" customHeight="1">
      <c r="B233" s="6" t="s">
        <v>262</v>
      </c>
      <c r="C233" s="6" t="s">
        <v>25</v>
      </c>
      <c r="D233" s="6" t="s">
        <v>34</v>
      </c>
      <c r="E233" s="6" t="s">
        <v>16</v>
      </c>
      <c r="F233" s="6" t="s">
        <v>17</v>
      </c>
      <c r="G233" s="6" t="s">
        <v>31</v>
      </c>
      <c r="H233" s="7">
        <v>45156.0</v>
      </c>
      <c r="I233" s="8">
        <v>439.0</v>
      </c>
      <c r="J233" s="8">
        <v>202.95</v>
      </c>
      <c r="K233" s="8">
        <v>351.1</v>
      </c>
      <c r="L233" s="10">
        <f t="shared" si="2"/>
        <v>89095.05</v>
      </c>
      <c r="M233" s="10">
        <f t="shared" si="3"/>
        <v>154132.9</v>
      </c>
      <c r="N233" s="10">
        <f t="shared" si="4"/>
        <v>-65037.85</v>
      </c>
      <c r="O233" s="11">
        <f t="shared" si="1"/>
        <v>-0.7299827544</v>
      </c>
    </row>
    <row r="234" ht="14.25" customHeight="1">
      <c r="B234" s="6" t="s">
        <v>263</v>
      </c>
      <c r="C234" s="6" t="s">
        <v>52</v>
      </c>
      <c r="D234" s="6" t="s">
        <v>21</v>
      </c>
      <c r="E234" s="6" t="s">
        <v>30</v>
      </c>
      <c r="F234" s="6" t="s">
        <v>17</v>
      </c>
      <c r="G234" s="6" t="s">
        <v>23</v>
      </c>
      <c r="H234" s="7">
        <v>45157.0</v>
      </c>
      <c r="I234" s="8">
        <v>482.0</v>
      </c>
      <c r="J234" s="8">
        <v>488.48</v>
      </c>
      <c r="K234" s="8">
        <v>174.65</v>
      </c>
      <c r="L234" s="10">
        <f t="shared" si="2"/>
        <v>235447.36</v>
      </c>
      <c r="M234" s="10">
        <f t="shared" si="3"/>
        <v>84181.3</v>
      </c>
      <c r="N234" s="10">
        <f t="shared" si="4"/>
        <v>151266.06</v>
      </c>
      <c r="O234" s="11">
        <f t="shared" si="1"/>
        <v>0.6424623321</v>
      </c>
    </row>
    <row r="235" ht="14.25" customHeight="1">
      <c r="B235" s="6" t="s">
        <v>264</v>
      </c>
      <c r="C235" s="6" t="s">
        <v>20</v>
      </c>
      <c r="D235" s="6" t="s">
        <v>21</v>
      </c>
      <c r="E235" s="6" t="s">
        <v>26</v>
      </c>
      <c r="F235" s="6" t="s">
        <v>17</v>
      </c>
      <c r="G235" s="6" t="s">
        <v>23</v>
      </c>
      <c r="H235" s="7">
        <v>45158.0</v>
      </c>
      <c r="I235" s="8">
        <v>154.0</v>
      </c>
      <c r="J235" s="8">
        <v>412.47</v>
      </c>
      <c r="K235" s="8">
        <v>66.02</v>
      </c>
      <c r="L235" s="10">
        <f t="shared" si="2"/>
        <v>63520.38</v>
      </c>
      <c r="M235" s="10">
        <f t="shared" si="3"/>
        <v>10167.08</v>
      </c>
      <c r="N235" s="10">
        <f t="shared" si="4"/>
        <v>53353.3</v>
      </c>
      <c r="O235" s="11">
        <f t="shared" si="1"/>
        <v>0.8399398744</v>
      </c>
    </row>
    <row r="236" ht="14.25" customHeight="1">
      <c r="B236" s="6" t="s">
        <v>265</v>
      </c>
      <c r="C236" s="6" t="s">
        <v>20</v>
      </c>
      <c r="D236" s="6" t="s">
        <v>29</v>
      </c>
      <c r="E236" s="6" t="s">
        <v>26</v>
      </c>
      <c r="F236" s="6" t="s">
        <v>27</v>
      </c>
      <c r="G236" s="6" t="s">
        <v>31</v>
      </c>
      <c r="H236" s="7">
        <v>45159.0</v>
      </c>
      <c r="I236" s="8">
        <v>102.0</v>
      </c>
      <c r="J236" s="8">
        <v>263.63</v>
      </c>
      <c r="K236" s="8">
        <v>224.1</v>
      </c>
      <c r="L236" s="10">
        <f t="shared" si="2"/>
        <v>26890.26</v>
      </c>
      <c r="M236" s="10">
        <f t="shared" si="3"/>
        <v>22858.2</v>
      </c>
      <c r="N236" s="10">
        <f t="shared" si="4"/>
        <v>4032.06</v>
      </c>
      <c r="O236" s="11">
        <f t="shared" si="1"/>
        <v>0.1499449987</v>
      </c>
    </row>
    <row r="237" ht="14.25" customHeight="1">
      <c r="B237" s="6" t="s">
        <v>266</v>
      </c>
      <c r="C237" s="6" t="s">
        <v>20</v>
      </c>
      <c r="D237" s="6" t="s">
        <v>34</v>
      </c>
      <c r="E237" s="6" t="s">
        <v>26</v>
      </c>
      <c r="F237" s="6" t="s">
        <v>17</v>
      </c>
      <c r="G237" s="6" t="s">
        <v>31</v>
      </c>
      <c r="H237" s="7">
        <v>45160.0</v>
      </c>
      <c r="I237" s="8">
        <v>318.0</v>
      </c>
      <c r="J237" s="8">
        <v>66.0</v>
      </c>
      <c r="K237" s="8">
        <v>325.08</v>
      </c>
      <c r="L237" s="10">
        <f t="shared" si="2"/>
        <v>20988</v>
      </c>
      <c r="M237" s="10">
        <f t="shared" si="3"/>
        <v>103375.44</v>
      </c>
      <c r="N237" s="10">
        <f t="shared" si="4"/>
        <v>-82387.44</v>
      </c>
      <c r="O237" s="11">
        <f t="shared" si="1"/>
        <v>-3.925454545</v>
      </c>
    </row>
    <row r="238" ht="14.25" customHeight="1">
      <c r="B238" s="6" t="s">
        <v>267</v>
      </c>
      <c r="C238" s="6" t="s">
        <v>20</v>
      </c>
      <c r="D238" s="6" t="s">
        <v>15</v>
      </c>
      <c r="E238" s="6" t="s">
        <v>26</v>
      </c>
      <c r="F238" s="6" t="s">
        <v>17</v>
      </c>
      <c r="G238" s="6" t="s">
        <v>31</v>
      </c>
      <c r="H238" s="7">
        <v>45161.0</v>
      </c>
      <c r="I238" s="8">
        <v>17.0</v>
      </c>
      <c r="J238" s="8">
        <v>430.41</v>
      </c>
      <c r="K238" s="8">
        <v>297.2</v>
      </c>
      <c r="L238" s="10">
        <f t="shared" si="2"/>
        <v>7316.97</v>
      </c>
      <c r="M238" s="10">
        <f t="shared" si="3"/>
        <v>5052.4</v>
      </c>
      <c r="N238" s="10">
        <f t="shared" si="4"/>
        <v>2264.57</v>
      </c>
      <c r="O238" s="11">
        <f t="shared" si="1"/>
        <v>0.3094955972</v>
      </c>
    </row>
    <row r="239" ht="14.25" customHeight="1">
      <c r="B239" s="6" t="s">
        <v>268</v>
      </c>
      <c r="C239" s="6" t="s">
        <v>20</v>
      </c>
      <c r="D239" s="6" t="s">
        <v>54</v>
      </c>
      <c r="E239" s="6" t="s">
        <v>22</v>
      </c>
      <c r="F239" s="6" t="s">
        <v>27</v>
      </c>
      <c r="G239" s="6" t="s">
        <v>23</v>
      </c>
      <c r="H239" s="7">
        <v>45162.0</v>
      </c>
      <c r="I239" s="8">
        <v>88.0</v>
      </c>
      <c r="J239" s="8">
        <v>400.89</v>
      </c>
      <c r="K239" s="8">
        <v>352.82</v>
      </c>
      <c r="L239" s="10">
        <f t="shared" si="2"/>
        <v>35278.32</v>
      </c>
      <c r="M239" s="10">
        <f t="shared" si="3"/>
        <v>31048.16</v>
      </c>
      <c r="N239" s="10">
        <f t="shared" si="4"/>
        <v>4230.16</v>
      </c>
      <c r="O239" s="11">
        <f t="shared" si="1"/>
        <v>0.1199082042</v>
      </c>
    </row>
    <row r="240" ht="14.25" customHeight="1">
      <c r="B240" s="6" t="s">
        <v>269</v>
      </c>
      <c r="C240" s="6" t="s">
        <v>52</v>
      </c>
      <c r="D240" s="6" t="s">
        <v>54</v>
      </c>
      <c r="E240" s="6" t="s">
        <v>16</v>
      </c>
      <c r="F240" s="6" t="s">
        <v>27</v>
      </c>
      <c r="G240" s="6" t="s">
        <v>23</v>
      </c>
      <c r="H240" s="7">
        <v>45163.0</v>
      </c>
      <c r="I240" s="8">
        <v>36.0</v>
      </c>
      <c r="J240" s="8">
        <v>96.37</v>
      </c>
      <c r="K240" s="8">
        <v>112.61</v>
      </c>
      <c r="L240" s="10">
        <f t="shared" si="2"/>
        <v>3469.32</v>
      </c>
      <c r="M240" s="10">
        <f t="shared" si="3"/>
        <v>4053.96</v>
      </c>
      <c r="N240" s="10">
        <f t="shared" si="4"/>
        <v>-584.64</v>
      </c>
      <c r="O240" s="11">
        <f t="shared" si="1"/>
        <v>-0.1685171734</v>
      </c>
    </row>
    <row r="241" ht="14.25" customHeight="1">
      <c r="B241" s="6" t="s">
        <v>270</v>
      </c>
      <c r="C241" s="6" t="s">
        <v>52</v>
      </c>
      <c r="D241" s="6" t="s">
        <v>15</v>
      </c>
      <c r="E241" s="6" t="s">
        <v>30</v>
      </c>
      <c r="F241" s="6" t="s">
        <v>27</v>
      </c>
      <c r="G241" s="6" t="s">
        <v>18</v>
      </c>
      <c r="H241" s="7">
        <v>45164.0</v>
      </c>
      <c r="I241" s="8">
        <v>183.0</v>
      </c>
      <c r="J241" s="8">
        <v>151.16</v>
      </c>
      <c r="K241" s="8">
        <v>79.19</v>
      </c>
      <c r="L241" s="10">
        <f t="shared" si="2"/>
        <v>27662.28</v>
      </c>
      <c r="M241" s="10">
        <f t="shared" si="3"/>
        <v>14491.77</v>
      </c>
      <c r="N241" s="10">
        <f t="shared" si="4"/>
        <v>13170.51</v>
      </c>
      <c r="O241" s="11">
        <f t="shared" si="1"/>
        <v>0.4761180206</v>
      </c>
    </row>
    <row r="242" ht="14.25" customHeight="1">
      <c r="B242" s="6" t="s">
        <v>271</v>
      </c>
      <c r="C242" s="6" t="s">
        <v>14</v>
      </c>
      <c r="D242" s="6" t="s">
        <v>29</v>
      </c>
      <c r="E242" s="6" t="s">
        <v>30</v>
      </c>
      <c r="F242" s="6" t="s">
        <v>27</v>
      </c>
      <c r="G242" s="6" t="s">
        <v>18</v>
      </c>
      <c r="H242" s="7">
        <v>45165.0</v>
      </c>
      <c r="I242" s="8">
        <v>59.0</v>
      </c>
      <c r="J242" s="8">
        <v>397.74</v>
      </c>
      <c r="K242" s="8">
        <v>352.17</v>
      </c>
      <c r="L242" s="10">
        <f t="shared" si="2"/>
        <v>23466.66</v>
      </c>
      <c r="M242" s="10">
        <f t="shared" si="3"/>
        <v>20778.03</v>
      </c>
      <c r="N242" s="10">
        <f t="shared" si="4"/>
        <v>2688.63</v>
      </c>
      <c r="O242" s="11">
        <f t="shared" si="1"/>
        <v>0.1145723337</v>
      </c>
    </row>
    <row r="243" ht="14.25" customHeight="1">
      <c r="B243" s="6" t="s">
        <v>272</v>
      </c>
      <c r="C243" s="6" t="s">
        <v>20</v>
      </c>
      <c r="D243" s="6" t="s">
        <v>54</v>
      </c>
      <c r="E243" s="6" t="s">
        <v>26</v>
      </c>
      <c r="F243" s="6" t="s">
        <v>17</v>
      </c>
      <c r="G243" s="6" t="s">
        <v>31</v>
      </c>
      <c r="H243" s="7">
        <v>45166.0</v>
      </c>
      <c r="I243" s="8">
        <v>208.0</v>
      </c>
      <c r="J243" s="8">
        <v>96.69</v>
      </c>
      <c r="K243" s="8">
        <v>263.71</v>
      </c>
      <c r="L243" s="10">
        <f t="shared" si="2"/>
        <v>20111.52</v>
      </c>
      <c r="M243" s="10">
        <f t="shared" si="3"/>
        <v>54851.68</v>
      </c>
      <c r="N243" s="10">
        <f t="shared" si="4"/>
        <v>-34740.16</v>
      </c>
      <c r="O243" s="11">
        <f t="shared" si="1"/>
        <v>-1.727376151</v>
      </c>
    </row>
    <row r="244" ht="14.25" customHeight="1">
      <c r="B244" s="6" t="s">
        <v>273</v>
      </c>
      <c r="C244" s="6" t="s">
        <v>52</v>
      </c>
      <c r="D244" s="6" t="s">
        <v>34</v>
      </c>
      <c r="E244" s="6" t="s">
        <v>26</v>
      </c>
      <c r="F244" s="6" t="s">
        <v>17</v>
      </c>
      <c r="G244" s="6" t="s">
        <v>23</v>
      </c>
      <c r="H244" s="7">
        <v>45167.0</v>
      </c>
      <c r="I244" s="8">
        <v>396.0</v>
      </c>
      <c r="J244" s="8">
        <v>459.29</v>
      </c>
      <c r="K244" s="8">
        <v>125.75</v>
      </c>
      <c r="L244" s="10">
        <f t="shared" si="2"/>
        <v>181878.84</v>
      </c>
      <c r="M244" s="10">
        <f t="shared" si="3"/>
        <v>49797</v>
      </c>
      <c r="N244" s="10">
        <f t="shared" si="4"/>
        <v>132081.84</v>
      </c>
      <c r="O244" s="11">
        <f t="shared" si="1"/>
        <v>0.7262078425</v>
      </c>
    </row>
    <row r="245" ht="14.25" customHeight="1">
      <c r="B245" s="6" t="s">
        <v>274</v>
      </c>
      <c r="C245" s="6" t="s">
        <v>14</v>
      </c>
      <c r="D245" s="6" t="s">
        <v>29</v>
      </c>
      <c r="E245" s="6" t="s">
        <v>46</v>
      </c>
      <c r="F245" s="6" t="s">
        <v>27</v>
      </c>
      <c r="G245" s="6" t="s">
        <v>23</v>
      </c>
      <c r="H245" s="7">
        <v>45168.0</v>
      </c>
      <c r="I245" s="8">
        <v>358.0</v>
      </c>
      <c r="J245" s="8">
        <v>215.14</v>
      </c>
      <c r="K245" s="8">
        <v>297.45</v>
      </c>
      <c r="L245" s="10">
        <f t="shared" si="2"/>
        <v>77020.12</v>
      </c>
      <c r="M245" s="10">
        <f t="shared" si="3"/>
        <v>106487.1</v>
      </c>
      <c r="N245" s="10">
        <f t="shared" si="4"/>
        <v>-29466.98</v>
      </c>
      <c r="O245" s="11">
        <f t="shared" si="1"/>
        <v>-0.3825880822</v>
      </c>
    </row>
    <row r="246" ht="14.25" customHeight="1">
      <c r="B246" s="6" t="s">
        <v>275</v>
      </c>
      <c r="C246" s="6" t="s">
        <v>20</v>
      </c>
      <c r="D246" s="6" t="s">
        <v>34</v>
      </c>
      <c r="E246" s="6" t="s">
        <v>16</v>
      </c>
      <c r="F246" s="6" t="s">
        <v>17</v>
      </c>
      <c r="G246" s="6" t="s">
        <v>23</v>
      </c>
      <c r="H246" s="7">
        <v>45169.0</v>
      </c>
      <c r="I246" s="8">
        <v>457.0</v>
      </c>
      <c r="J246" s="8">
        <v>48.08</v>
      </c>
      <c r="K246" s="8">
        <v>326.42</v>
      </c>
      <c r="L246" s="10">
        <f t="shared" si="2"/>
        <v>21972.56</v>
      </c>
      <c r="M246" s="10">
        <f t="shared" si="3"/>
        <v>149173.94</v>
      </c>
      <c r="N246" s="10">
        <f t="shared" si="4"/>
        <v>-127201.38</v>
      </c>
      <c r="O246" s="11">
        <f t="shared" si="1"/>
        <v>-5.789101498</v>
      </c>
    </row>
    <row r="247" ht="14.25" customHeight="1">
      <c r="B247" s="6" t="s">
        <v>276</v>
      </c>
      <c r="C247" s="6" t="s">
        <v>25</v>
      </c>
      <c r="D247" s="6" t="s">
        <v>21</v>
      </c>
      <c r="E247" s="6" t="s">
        <v>22</v>
      </c>
      <c r="F247" s="6" t="s">
        <v>17</v>
      </c>
      <c r="G247" s="6" t="s">
        <v>31</v>
      </c>
      <c r="H247" s="7">
        <v>45170.0</v>
      </c>
      <c r="I247" s="8">
        <v>437.0</v>
      </c>
      <c r="J247" s="8">
        <v>408.8</v>
      </c>
      <c r="K247" s="8">
        <v>246.76</v>
      </c>
      <c r="L247" s="10">
        <f t="shared" si="2"/>
        <v>178645.6</v>
      </c>
      <c r="M247" s="10">
        <f t="shared" si="3"/>
        <v>107834.12</v>
      </c>
      <c r="N247" s="10">
        <f t="shared" si="4"/>
        <v>70811.48</v>
      </c>
      <c r="O247" s="11">
        <f t="shared" si="1"/>
        <v>0.3963796477</v>
      </c>
    </row>
    <row r="248" ht="14.25" customHeight="1">
      <c r="B248" s="6" t="s">
        <v>277</v>
      </c>
      <c r="C248" s="6" t="s">
        <v>14</v>
      </c>
      <c r="D248" s="6" t="s">
        <v>29</v>
      </c>
      <c r="E248" s="6" t="s">
        <v>30</v>
      </c>
      <c r="F248" s="6" t="s">
        <v>17</v>
      </c>
      <c r="G248" s="6" t="s">
        <v>18</v>
      </c>
      <c r="H248" s="7">
        <v>45171.0</v>
      </c>
      <c r="I248" s="8">
        <v>190.0</v>
      </c>
      <c r="J248" s="8">
        <v>189.89</v>
      </c>
      <c r="K248" s="8">
        <v>275.78</v>
      </c>
      <c r="L248" s="10">
        <f t="shared" si="2"/>
        <v>36079.1</v>
      </c>
      <c r="M248" s="10">
        <f t="shared" si="3"/>
        <v>52398.2</v>
      </c>
      <c r="N248" s="10">
        <f t="shared" si="4"/>
        <v>-16319.1</v>
      </c>
      <c r="O248" s="11">
        <f t="shared" si="1"/>
        <v>-0.4523144979</v>
      </c>
    </row>
    <row r="249" ht="14.25" customHeight="1">
      <c r="B249" s="6" t="s">
        <v>278</v>
      </c>
      <c r="C249" s="6" t="s">
        <v>52</v>
      </c>
      <c r="D249" s="6" t="s">
        <v>54</v>
      </c>
      <c r="E249" s="6" t="s">
        <v>46</v>
      </c>
      <c r="F249" s="6" t="s">
        <v>27</v>
      </c>
      <c r="G249" s="6" t="s">
        <v>31</v>
      </c>
      <c r="H249" s="7">
        <v>45172.0</v>
      </c>
      <c r="I249" s="8">
        <v>33.0</v>
      </c>
      <c r="J249" s="8">
        <v>265.62</v>
      </c>
      <c r="K249" s="8">
        <v>151.35</v>
      </c>
      <c r="L249" s="10">
        <f t="shared" si="2"/>
        <v>8765.46</v>
      </c>
      <c r="M249" s="10">
        <f t="shared" si="3"/>
        <v>4994.55</v>
      </c>
      <c r="N249" s="10">
        <f t="shared" si="4"/>
        <v>3770.91</v>
      </c>
      <c r="O249" s="11">
        <f t="shared" si="1"/>
        <v>0.4302010391</v>
      </c>
    </row>
    <row r="250" ht="14.25" customHeight="1">
      <c r="B250" s="6" t="s">
        <v>279</v>
      </c>
      <c r="C250" s="6" t="s">
        <v>25</v>
      </c>
      <c r="D250" s="6" t="s">
        <v>29</v>
      </c>
      <c r="E250" s="6" t="s">
        <v>46</v>
      </c>
      <c r="F250" s="6" t="s">
        <v>17</v>
      </c>
      <c r="G250" s="6" t="s">
        <v>18</v>
      </c>
      <c r="H250" s="7">
        <v>45173.0</v>
      </c>
      <c r="I250" s="8">
        <v>325.0</v>
      </c>
      <c r="J250" s="8">
        <v>60.59</v>
      </c>
      <c r="K250" s="8">
        <v>216.4</v>
      </c>
      <c r="L250" s="10">
        <f t="shared" si="2"/>
        <v>19691.75</v>
      </c>
      <c r="M250" s="10">
        <f t="shared" si="3"/>
        <v>70330</v>
      </c>
      <c r="N250" s="10">
        <f t="shared" si="4"/>
        <v>-50638.25</v>
      </c>
      <c r="O250" s="11">
        <f t="shared" si="1"/>
        <v>-2.57154646</v>
      </c>
    </row>
    <row r="251" ht="14.25" customHeight="1">
      <c r="B251" s="6" t="s">
        <v>280</v>
      </c>
      <c r="C251" s="6" t="s">
        <v>25</v>
      </c>
      <c r="D251" s="6" t="s">
        <v>29</v>
      </c>
      <c r="E251" s="6" t="s">
        <v>30</v>
      </c>
      <c r="F251" s="6" t="s">
        <v>27</v>
      </c>
      <c r="G251" s="6" t="s">
        <v>18</v>
      </c>
      <c r="H251" s="7">
        <v>45174.0</v>
      </c>
      <c r="I251" s="8">
        <v>387.0</v>
      </c>
      <c r="J251" s="8">
        <v>6.28</v>
      </c>
      <c r="K251" s="8">
        <v>210.62</v>
      </c>
      <c r="L251" s="10">
        <f t="shared" si="2"/>
        <v>2430.36</v>
      </c>
      <c r="M251" s="10">
        <f t="shared" si="3"/>
        <v>81509.94</v>
      </c>
      <c r="N251" s="10">
        <f t="shared" si="4"/>
        <v>-79079.58</v>
      </c>
      <c r="O251" s="11">
        <f t="shared" si="1"/>
        <v>-32.53821656</v>
      </c>
    </row>
    <row r="252" ht="14.25" customHeight="1">
      <c r="B252" s="6" t="s">
        <v>281</v>
      </c>
      <c r="C252" s="6" t="s">
        <v>25</v>
      </c>
      <c r="D252" s="6" t="s">
        <v>29</v>
      </c>
      <c r="E252" s="6" t="s">
        <v>22</v>
      </c>
      <c r="F252" s="6" t="s">
        <v>17</v>
      </c>
      <c r="G252" s="6" t="s">
        <v>31</v>
      </c>
      <c r="H252" s="7">
        <v>45175.0</v>
      </c>
      <c r="I252" s="8">
        <v>396.0</v>
      </c>
      <c r="J252" s="8">
        <v>320.8</v>
      </c>
      <c r="K252" s="8">
        <v>339.52</v>
      </c>
      <c r="L252" s="10">
        <f t="shared" si="2"/>
        <v>127036.8</v>
      </c>
      <c r="M252" s="10">
        <f t="shared" si="3"/>
        <v>134449.92</v>
      </c>
      <c r="N252" s="10">
        <f t="shared" si="4"/>
        <v>-7413.12</v>
      </c>
      <c r="O252" s="11">
        <f t="shared" si="1"/>
        <v>-0.05835411471</v>
      </c>
    </row>
    <row r="253" ht="14.25" customHeight="1">
      <c r="B253" s="6" t="s">
        <v>282</v>
      </c>
      <c r="C253" s="6" t="s">
        <v>14</v>
      </c>
      <c r="D253" s="6" t="s">
        <v>29</v>
      </c>
      <c r="E253" s="6" t="s">
        <v>46</v>
      </c>
      <c r="F253" s="6" t="s">
        <v>17</v>
      </c>
      <c r="G253" s="6" t="s">
        <v>18</v>
      </c>
      <c r="H253" s="7">
        <v>45176.0</v>
      </c>
      <c r="I253" s="8">
        <v>413.0</v>
      </c>
      <c r="J253" s="8">
        <v>260.01</v>
      </c>
      <c r="K253" s="8">
        <v>336.31</v>
      </c>
      <c r="L253" s="10">
        <f t="shared" si="2"/>
        <v>107384.13</v>
      </c>
      <c r="M253" s="10">
        <f t="shared" si="3"/>
        <v>138896.03</v>
      </c>
      <c r="N253" s="10">
        <f t="shared" si="4"/>
        <v>-31511.9</v>
      </c>
      <c r="O253" s="11">
        <f t="shared" si="1"/>
        <v>-0.2934502519</v>
      </c>
    </row>
    <row r="254" ht="14.25" customHeight="1">
      <c r="B254" s="6" t="s">
        <v>283</v>
      </c>
      <c r="C254" s="6" t="s">
        <v>52</v>
      </c>
      <c r="D254" s="6" t="s">
        <v>34</v>
      </c>
      <c r="E254" s="6" t="s">
        <v>46</v>
      </c>
      <c r="F254" s="6" t="s">
        <v>17</v>
      </c>
      <c r="G254" s="6" t="s">
        <v>18</v>
      </c>
      <c r="H254" s="7">
        <v>45177.0</v>
      </c>
      <c r="I254" s="6">
        <v>255.9029411764706</v>
      </c>
      <c r="J254" s="8">
        <v>298.8</v>
      </c>
      <c r="K254" s="8">
        <v>333.41</v>
      </c>
      <c r="L254" s="10">
        <f t="shared" si="2"/>
        <v>76463.79882</v>
      </c>
      <c r="M254" s="10">
        <f t="shared" si="3"/>
        <v>85320.59962</v>
      </c>
      <c r="N254" s="10">
        <f t="shared" si="4"/>
        <v>-8856.800794</v>
      </c>
      <c r="O254" s="11">
        <f t="shared" si="1"/>
        <v>-0.1158299866</v>
      </c>
    </row>
    <row r="255" ht="14.25" customHeight="1">
      <c r="B255" s="6" t="s">
        <v>284</v>
      </c>
      <c r="C255" s="6" t="s">
        <v>25</v>
      </c>
      <c r="D255" s="6" t="s">
        <v>21</v>
      </c>
      <c r="E255" s="6" t="s">
        <v>16</v>
      </c>
      <c r="F255" s="6" t="s">
        <v>27</v>
      </c>
      <c r="G255" s="6" t="s">
        <v>23</v>
      </c>
      <c r="H255" s="7">
        <v>45178.0</v>
      </c>
      <c r="I255" s="8">
        <v>24.0</v>
      </c>
      <c r="J255" s="8">
        <v>397.9</v>
      </c>
      <c r="K255" s="8">
        <v>6.39</v>
      </c>
      <c r="L255" s="10">
        <f t="shared" si="2"/>
        <v>9549.6</v>
      </c>
      <c r="M255" s="10">
        <f t="shared" si="3"/>
        <v>153.36</v>
      </c>
      <c r="N255" s="10">
        <f t="shared" si="4"/>
        <v>9396.24</v>
      </c>
      <c r="O255" s="11">
        <f t="shared" si="1"/>
        <v>0.9839406886</v>
      </c>
    </row>
    <row r="256" ht="14.25" customHeight="1">
      <c r="B256" s="6" t="s">
        <v>285</v>
      </c>
      <c r="C256" s="6" t="s">
        <v>20</v>
      </c>
      <c r="D256" s="6" t="s">
        <v>15</v>
      </c>
      <c r="E256" s="6" t="s">
        <v>39</v>
      </c>
      <c r="F256" s="6" t="s">
        <v>17</v>
      </c>
      <c r="G256" s="6" t="s">
        <v>18</v>
      </c>
      <c r="H256" s="7">
        <v>45179.0</v>
      </c>
      <c r="I256" s="8">
        <v>162.0</v>
      </c>
      <c r="J256" s="8">
        <v>325.07</v>
      </c>
      <c r="K256" s="8">
        <v>300.32</v>
      </c>
      <c r="L256" s="10">
        <f t="shared" si="2"/>
        <v>52661.34</v>
      </c>
      <c r="M256" s="10">
        <f t="shared" si="3"/>
        <v>48651.84</v>
      </c>
      <c r="N256" s="10">
        <f t="shared" si="4"/>
        <v>4009.5</v>
      </c>
      <c r="O256" s="11">
        <f t="shared" si="1"/>
        <v>0.07613744732</v>
      </c>
    </row>
    <row r="257" ht="14.25" customHeight="1">
      <c r="B257" s="6" t="s">
        <v>286</v>
      </c>
      <c r="C257" s="6" t="s">
        <v>25</v>
      </c>
      <c r="D257" s="6" t="s">
        <v>29</v>
      </c>
      <c r="E257" s="6" t="s">
        <v>46</v>
      </c>
      <c r="F257" s="6" t="s">
        <v>27</v>
      </c>
      <c r="G257" s="6" t="s">
        <v>31</v>
      </c>
      <c r="H257" s="7">
        <v>45180.0</v>
      </c>
      <c r="I257" s="8">
        <v>231.0</v>
      </c>
      <c r="J257" s="8">
        <v>91.51</v>
      </c>
      <c r="K257" s="8">
        <v>303.95</v>
      </c>
      <c r="L257" s="10">
        <f t="shared" si="2"/>
        <v>21138.81</v>
      </c>
      <c r="M257" s="10">
        <f t="shared" si="3"/>
        <v>70212.45</v>
      </c>
      <c r="N257" s="10">
        <f t="shared" si="4"/>
        <v>-49073.64</v>
      </c>
      <c r="O257" s="11">
        <f t="shared" si="1"/>
        <v>-2.321494919</v>
      </c>
    </row>
    <row r="258" ht="14.25" customHeight="1">
      <c r="B258" s="6" t="s">
        <v>287</v>
      </c>
      <c r="C258" s="6" t="s">
        <v>25</v>
      </c>
      <c r="D258" s="6" t="s">
        <v>54</v>
      </c>
      <c r="E258" s="6" t="s">
        <v>22</v>
      </c>
      <c r="F258" s="6" t="s">
        <v>27</v>
      </c>
      <c r="G258" s="6" t="s">
        <v>31</v>
      </c>
      <c r="H258" s="7">
        <v>45181.0</v>
      </c>
      <c r="I258" s="8">
        <v>215.0</v>
      </c>
      <c r="J258" s="8">
        <v>183.58</v>
      </c>
      <c r="K258" s="8">
        <v>271.99</v>
      </c>
      <c r="L258" s="10">
        <f t="shared" si="2"/>
        <v>39469.7</v>
      </c>
      <c r="M258" s="10">
        <f t="shared" si="3"/>
        <v>58477.85</v>
      </c>
      <c r="N258" s="10">
        <f t="shared" si="4"/>
        <v>-19008.15</v>
      </c>
      <c r="O258" s="11">
        <f t="shared" si="1"/>
        <v>-0.4815884083</v>
      </c>
    </row>
    <row r="259" ht="14.25" customHeight="1">
      <c r="B259" s="6" t="s">
        <v>288</v>
      </c>
      <c r="C259" s="6" t="s">
        <v>14</v>
      </c>
      <c r="D259" s="6" t="s">
        <v>29</v>
      </c>
      <c r="E259" s="6" t="s">
        <v>30</v>
      </c>
      <c r="F259" s="6" t="s">
        <v>27</v>
      </c>
      <c r="G259" s="6" t="s">
        <v>18</v>
      </c>
      <c r="H259" s="7">
        <v>45182.0</v>
      </c>
      <c r="I259" s="8">
        <v>464.0</v>
      </c>
      <c r="J259" s="8">
        <v>453.42</v>
      </c>
      <c r="K259" s="8">
        <v>302.99</v>
      </c>
      <c r="L259" s="10">
        <f t="shared" si="2"/>
        <v>210386.88</v>
      </c>
      <c r="M259" s="10">
        <f t="shared" si="3"/>
        <v>140587.36</v>
      </c>
      <c r="N259" s="10">
        <f t="shared" si="4"/>
        <v>69799.52</v>
      </c>
      <c r="O259" s="11">
        <f t="shared" si="1"/>
        <v>0.3317674562</v>
      </c>
    </row>
    <row r="260" ht="14.25" customHeight="1">
      <c r="B260" s="6" t="s">
        <v>289</v>
      </c>
      <c r="C260" s="6" t="s">
        <v>14</v>
      </c>
      <c r="D260" s="6" t="s">
        <v>54</v>
      </c>
      <c r="E260" s="6" t="s">
        <v>26</v>
      </c>
      <c r="F260" s="6" t="s">
        <v>17</v>
      </c>
      <c r="G260" s="6" t="s">
        <v>23</v>
      </c>
      <c r="H260" s="7">
        <v>45183.0</v>
      </c>
      <c r="I260" s="8">
        <v>282.0</v>
      </c>
      <c r="J260" s="6">
        <v>249.64520588235297</v>
      </c>
      <c r="K260" s="8">
        <v>337.1</v>
      </c>
      <c r="L260" s="10">
        <f t="shared" si="2"/>
        <v>70399.94806</v>
      </c>
      <c r="M260" s="10">
        <f t="shared" si="3"/>
        <v>95062.2</v>
      </c>
      <c r="N260" s="10">
        <f t="shared" si="4"/>
        <v>-24662.25194</v>
      </c>
      <c r="O260" s="11">
        <f t="shared" si="1"/>
        <v>-0.3503163372</v>
      </c>
    </row>
    <row r="261" ht="14.25" customHeight="1">
      <c r="B261" s="6" t="s">
        <v>290</v>
      </c>
      <c r="C261" s="6" t="s">
        <v>52</v>
      </c>
      <c r="D261" s="6" t="s">
        <v>34</v>
      </c>
      <c r="E261" s="6" t="s">
        <v>46</v>
      </c>
      <c r="F261" s="6" t="s">
        <v>17</v>
      </c>
      <c r="G261" s="6" t="s">
        <v>23</v>
      </c>
      <c r="H261" s="7">
        <v>45184.0</v>
      </c>
      <c r="I261" s="8">
        <v>391.0</v>
      </c>
      <c r="J261" s="8">
        <v>280.54</v>
      </c>
      <c r="K261" s="8">
        <v>189.19</v>
      </c>
      <c r="L261" s="10">
        <f t="shared" si="2"/>
        <v>109691.14</v>
      </c>
      <c r="M261" s="10">
        <f t="shared" si="3"/>
        <v>73973.29</v>
      </c>
      <c r="N261" s="10">
        <f t="shared" si="4"/>
        <v>35717.85</v>
      </c>
      <c r="O261" s="11">
        <f t="shared" si="1"/>
        <v>0.3256220147</v>
      </c>
    </row>
    <row r="262" ht="14.25" customHeight="1">
      <c r="B262" s="6" t="s">
        <v>291</v>
      </c>
      <c r="C262" s="6" t="s">
        <v>20</v>
      </c>
      <c r="D262" s="6" t="s">
        <v>54</v>
      </c>
      <c r="E262" s="6" t="s">
        <v>16</v>
      </c>
      <c r="F262" s="6" t="s">
        <v>17</v>
      </c>
      <c r="G262" s="6" t="s">
        <v>18</v>
      </c>
      <c r="H262" s="7">
        <v>45185.0</v>
      </c>
      <c r="I262" s="8">
        <v>245.0</v>
      </c>
      <c r="J262" s="8">
        <v>131.54</v>
      </c>
      <c r="K262" s="8">
        <v>201.82</v>
      </c>
      <c r="L262" s="10">
        <f t="shared" si="2"/>
        <v>32227.3</v>
      </c>
      <c r="M262" s="10">
        <f t="shared" si="3"/>
        <v>49445.9</v>
      </c>
      <c r="N262" s="10">
        <f t="shared" si="4"/>
        <v>-17218.6</v>
      </c>
      <c r="O262" s="11">
        <f t="shared" si="1"/>
        <v>-0.5342861487</v>
      </c>
    </row>
    <row r="263" ht="14.25" customHeight="1">
      <c r="B263" s="6" t="s">
        <v>292</v>
      </c>
      <c r="C263" s="6" t="s">
        <v>14</v>
      </c>
      <c r="D263" s="6" t="s">
        <v>15</v>
      </c>
      <c r="E263" s="6" t="s">
        <v>30</v>
      </c>
      <c r="F263" s="6" t="s">
        <v>17</v>
      </c>
      <c r="G263" s="6" t="s">
        <v>18</v>
      </c>
      <c r="H263" s="7">
        <v>45186.0</v>
      </c>
      <c r="I263" s="8">
        <v>349.0</v>
      </c>
      <c r="J263" s="8">
        <v>154.52</v>
      </c>
      <c r="K263" s="8">
        <v>51.64</v>
      </c>
      <c r="L263" s="10">
        <f t="shared" si="2"/>
        <v>53927.48</v>
      </c>
      <c r="M263" s="10">
        <f t="shared" si="3"/>
        <v>18022.36</v>
      </c>
      <c r="N263" s="10">
        <f t="shared" si="4"/>
        <v>35905.12</v>
      </c>
      <c r="O263" s="11">
        <f t="shared" si="1"/>
        <v>0.6658037794</v>
      </c>
    </row>
    <row r="264" ht="14.25" customHeight="1">
      <c r="B264" s="6" t="s">
        <v>293</v>
      </c>
      <c r="C264" s="6" t="s">
        <v>25</v>
      </c>
      <c r="D264" s="6" t="s">
        <v>21</v>
      </c>
      <c r="E264" s="6" t="s">
        <v>22</v>
      </c>
      <c r="F264" s="6" t="s">
        <v>27</v>
      </c>
      <c r="G264" s="6" t="s">
        <v>31</v>
      </c>
      <c r="H264" s="7">
        <v>45187.0</v>
      </c>
      <c r="I264" s="8">
        <v>237.0</v>
      </c>
      <c r="J264" s="6">
        <v>249.64520588235297</v>
      </c>
      <c r="K264" s="8">
        <v>155.38</v>
      </c>
      <c r="L264" s="10">
        <f t="shared" si="2"/>
        <v>59165.91379</v>
      </c>
      <c r="M264" s="10">
        <f t="shared" si="3"/>
        <v>36825.06</v>
      </c>
      <c r="N264" s="10">
        <f t="shared" si="4"/>
        <v>22340.85379</v>
      </c>
      <c r="O264" s="11">
        <f t="shared" si="1"/>
        <v>0.3775966999</v>
      </c>
    </row>
    <row r="265" ht="14.25" customHeight="1">
      <c r="B265" s="6" t="s">
        <v>294</v>
      </c>
      <c r="C265" s="6" t="s">
        <v>52</v>
      </c>
      <c r="D265" s="6" t="s">
        <v>54</v>
      </c>
      <c r="E265" s="6" t="s">
        <v>30</v>
      </c>
      <c r="F265" s="6" t="s">
        <v>27</v>
      </c>
      <c r="G265" s="6" t="s">
        <v>18</v>
      </c>
      <c r="H265" s="7">
        <v>45188.0</v>
      </c>
      <c r="I265" s="8">
        <v>18.0</v>
      </c>
      <c r="J265" s="8">
        <v>426.33</v>
      </c>
      <c r="K265" s="8">
        <v>258.06</v>
      </c>
      <c r="L265" s="10">
        <f t="shared" si="2"/>
        <v>7673.94</v>
      </c>
      <c r="M265" s="10">
        <f t="shared" si="3"/>
        <v>4645.08</v>
      </c>
      <c r="N265" s="10">
        <f t="shared" si="4"/>
        <v>3028.86</v>
      </c>
      <c r="O265" s="11">
        <f t="shared" si="1"/>
        <v>0.3946942509</v>
      </c>
    </row>
    <row r="266" ht="14.25" customHeight="1">
      <c r="B266" s="6" t="s">
        <v>295</v>
      </c>
      <c r="C266" s="6" t="s">
        <v>25</v>
      </c>
      <c r="D266" s="6" t="s">
        <v>54</v>
      </c>
      <c r="E266" s="6" t="s">
        <v>46</v>
      </c>
      <c r="F266" s="6" t="s">
        <v>27</v>
      </c>
      <c r="G266" s="6" t="s">
        <v>23</v>
      </c>
      <c r="H266" s="7">
        <v>45189.0</v>
      </c>
      <c r="I266" s="8">
        <v>175.0</v>
      </c>
      <c r="J266" s="8">
        <v>337.36</v>
      </c>
      <c r="K266" s="8">
        <v>312.6</v>
      </c>
      <c r="L266" s="10">
        <f t="shared" si="2"/>
        <v>59038</v>
      </c>
      <c r="M266" s="10">
        <f t="shared" si="3"/>
        <v>54705</v>
      </c>
      <c r="N266" s="10">
        <f t="shared" si="4"/>
        <v>4333</v>
      </c>
      <c r="O266" s="11">
        <f t="shared" si="1"/>
        <v>0.07339340764</v>
      </c>
    </row>
    <row r="267" ht="14.25" customHeight="1">
      <c r="B267" s="6" t="s">
        <v>296</v>
      </c>
      <c r="C267" s="6" t="s">
        <v>25</v>
      </c>
      <c r="D267" s="6" t="s">
        <v>21</v>
      </c>
      <c r="E267" s="6" t="s">
        <v>39</v>
      </c>
      <c r="F267" s="6" t="s">
        <v>17</v>
      </c>
      <c r="G267" s="6" t="s">
        <v>18</v>
      </c>
      <c r="H267" s="7">
        <v>45190.0</v>
      </c>
      <c r="I267" s="8">
        <v>441.0</v>
      </c>
      <c r="J267" s="8">
        <v>405.72</v>
      </c>
      <c r="K267" s="8">
        <v>88.45</v>
      </c>
      <c r="L267" s="10">
        <f t="shared" si="2"/>
        <v>178922.52</v>
      </c>
      <c r="M267" s="10">
        <f t="shared" si="3"/>
        <v>39006.45</v>
      </c>
      <c r="N267" s="10">
        <f t="shared" si="4"/>
        <v>139916.07</v>
      </c>
      <c r="O267" s="11">
        <f t="shared" si="1"/>
        <v>0.7819925071</v>
      </c>
    </row>
    <row r="268" ht="14.25" customHeight="1">
      <c r="B268" s="6" t="s">
        <v>297</v>
      </c>
      <c r="C268" s="6" t="s">
        <v>14</v>
      </c>
      <c r="D268" s="6" t="s">
        <v>15</v>
      </c>
      <c r="E268" s="6" t="s">
        <v>26</v>
      </c>
      <c r="F268" s="6" t="s">
        <v>27</v>
      </c>
      <c r="G268" s="6" t="s">
        <v>31</v>
      </c>
      <c r="H268" s="7">
        <v>45191.0</v>
      </c>
      <c r="I268" s="8">
        <v>453.0</v>
      </c>
      <c r="J268" s="8">
        <v>384.49</v>
      </c>
      <c r="K268" s="8">
        <v>56.85</v>
      </c>
      <c r="L268" s="10">
        <f t="shared" si="2"/>
        <v>174173.97</v>
      </c>
      <c r="M268" s="10">
        <f t="shared" si="3"/>
        <v>25753.05</v>
      </c>
      <c r="N268" s="10">
        <f t="shared" si="4"/>
        <v>148420.92</v>
      </c>
      <c r="O268" s="11">
        <f t="shared" si="1"/>
        <v>0.8521417982</v>
      </c>
    </row>
    <row r="269" ht="14.25" customHeight="1">
      <c r="B269" s="6" t="s">
        <v>298</v>
      </c>
      <c r="C269" s="6" t="s">
        <v>52</v>
      </c>
      <c r="D269" s="6" t="s">
        <v>29</v>
      </c>
      <c r="E269" s="6" t="s">
        <v>30</v>
      </c>
      <c r="F269" s="6" t="s">
        <v>17</v>
      </c>
      <c r="G269" s="6" t="s">
        <v>31</v>
      </c>
      <c r="H269" s="7">
        <v>45192.0</v>
      </c>
      <c r="I269" s="8">
        <v>328.0</v>
      </c>
      <c r="J269" s="8">
        <v>79.1</v>
      </c>
      <c r="K269" s="8">
        <v>265.89</v>
      </c>
      <c r="L269" s="10">
        <f t="shared" si="2"/>
        <v>25944.8</v>
      </c>
      <c r="M269" s="10">
        <f t="shared" si="3"/>
        <v>87211.92</v>
      </c>
      <c r="N269" s="10">
        <f t="shared" si="4"/>
        <v>-61267.12</v>
      </c>
      <c r="O269" s="11">
        <f t="shared" si="1"/>
        <v>-2.361441214</v>
      </c>
    </row>
    <row r="270" ht="14.25" customHeight="1">
      <c r="B270" s="6" t="s">
        <v>299</v>
      </c>
      <c r="C270" s="6" t="s">
        <v>20</v>
      </c>
      <c r="D270" s="6" t="s">
        <v>54</v>
      </c>
      <c r="E270" s="6" t="s">
        <v>46</v>
      </c>
      <c r="F270" s="6" t="s">
        <v>27</v>
      </c>
      <c r="G270" s="6" t="s">
        <v>31</v>
      </c>
      <c r="H270" s="7">
        <v>45193.0</v>
      </c>
      <c r="I270" s="8">
        <v>223.0</v>
      </c>
      <c r="J270" s="8">
        <v>214.85</v>
      </c>
      <c r="K270" s="8">
        <v>2.75</v>
      </c>
      <c r="L270" s="10">
        <f t="shared" si="2"/>
        <v>47911.55</v>
      </c>
      <c r="M270" s="10">
        <f t="shared" si="3"/>
        <v>613.25</v>
      </c>
      <c r="N270" s="10">
        <f t="shared" si="4"/>
        <v>47298.3</v>
      </c>
      <c r="O270" s="11">
        <f t="shared" si="1"/>
        <v>0.9872003724</v>
      </c>
    </row>
    <row r="271" ht="14.25" customHeight="1">
      <c r="B271" s="6" t="s">
        <v>300</v>
      </c>
      <c r="C271" s="6" t="s">
        <v>20</v>
      </c>
      <c r="D271" s="6" t="s">
        <v>21</v>
      </c>
      <c r="E271" s="6" t="s">
        <v>16</v>
      </c>
      <c r="F271" s="6" t="s">
        <v>17</v>
      </c>
      <c r="G271" s="6" t="s">
        <v>31</v>
      </c>
      <c r="H271" s="7">
        <v>45194.0</v>
      </c>
      <c r="I271" s="8">
        <v>126.0</v>
      </c>
      <c r="J271" s="8">
        <v>80.73</v>
      </c>
      <c r="K271" s="8">
        <v>72.99</v>
      </c>
      <c r="L271" s="10">
        <f t="shared" si="2"/>
        <v>10171.98</v>
      </c>
      <c r="M271" s="10">
        <f t="shared" si="3"/>
        <v>9196.74</v>
      </c>
      <c r="N271" s="10">
        <f t="shared" si="4"/>
        <v>975.24</v>
      </c>
      <c r="O271" s="11">
        <f t="shared" si="1"/>
        <v>0.09587513935</v>
      </c>
    </row>
    <row r="272" ht="14.25" customHeight="1">
      <c r="B272" s="6" t="s">
        <v>301</v>
      </c>
      <c r="C272" s="6" t="s">
        <v>14</v>
      </c>
      <c r="D272" s="6" t="s">
        <v>34</v>
      </c>
      <c r="E272" s="6" t="s">
        <v>22</v>
      </c>
      <c r="F272" s="6" t="s">
        <v>17</v>
      </c>
      <c r="G272" s="6" t="s">
        <v>31</v>
      </c>
      <c r="H272" s="7">
        <v>45195.0</v>
      </c>
      <c r="I272" s="8">
        <v>395.0</v>
      </c>
      <c r="J272" s="8">
        <v>121.44</v>
      </c>
      <c r="K272" s="8">
        <v>13.57</v>
      </c>
      <c r="L272" s="10">
        <f t="shared" si="2"/>
        <v>47968.8</v>
      </c>
      <c r="M272" s="10">
        <f t="shared" si="3"/>
        <v>5360.15</v>
      </c>
      <c r="N272" s="10">
        <f t="shared" si="4"/>
        <v>42608.65</v>
      </c>
      <c r="O272" s="11">
        <f t="shared" si="1"/>
        <v>0.8882575758</v>
      </c>
    </row>
    <row r="273" ht="14.25" customHeight="1">
      <c r="B273" s="6" t="s">
        <v>302</v>
      </c>
      <c r="C273" s="6" t="s">
        <v>14</v>
      </c>
      <c r="D273" s="6" t="s">
        <v>21</v>
      </c>
      <c r="E273" s="6" t="s">
        <v>30</v>
      </c>
      <c r="F273" s="6" t="s">
        <v>27</v>
      </c>
      <c r="G273" s="6" t="s">
        <v>18</v>
      </c>
      <c r="H273" s="7">
        <v>45196.0</v>
      </c>
      <c r="I273" s="8">
        <v>353.0</v>
      </c>
      <c r="J273" s="8">
        <v>435.28</v>
      </c>
      <c r="K273" s="8">
        <v>68.42</v>
      </c>
      <c r="L273" s="10">
        <f t="shared" si="2"/>
        <v>153653.84</v>
      </c>
      <c r="M273" s="10">
        <f t="shared" si="3"/>
        <v>24152.26</v>
      </c>
      <c r="N273" s="10">
        <f t="shared" si="4"/>
        <v>129501.58</v>
      </c>
      <c r="O273" s="11">
        <f t="shared" si="1"/>
        <v>0.842813821</v>
      </c>
    </row>
    <row r="274" ht="14.25" customHeight="1">
      <c r="B274" s="6" t="s">
        <v>303</v>
      </c>
      <c r="C274" s="6" t="s">
        <v>52</v>
      </c>
      <c r="D274" s="6" t="s">
        <v>34</v>
      </c>
      <c r="E274" s="6" t="s">
        <v>30</v>
      </c>
      <c r="F274" s="6" t="s">
        <v>27</v>
      </c>
      <c r="G274" s="6" t="s">
        <v>18</v>
      </c>
      <c r="H274" s="7">
        <v>45197.0</v>
      </c>
      <c r="I274" s="8">
        <v>81.0</v>
      </c>
      <c r="J274" s="8">
        <v>239.08</v>
      </c>
      <c r="K274" s="8">
        <v>74.17</v>
      </c>
      <c r="L274" s="10">
        <f t="shared" si="2"/>
        <v>19365.48</v>
      </c>
      <c r="M274" s="10">
        <f t="shared" si="3"/>
        <v>6007.77</v>
      </c>
      <c r="N274" s="10">
        <f t="shared" si="4"/>
        <v>13357.71</v>
      </c>
      <c r="O274" s="11">
        <f t="shared" si="1"/>
        <v>0.6897691149</v>
      </c>
    </row>
    <row r="275" ht="14.25" customHeight="1">
      <c r="B275" s="6" t="s">
        <v>304</v>
      </c>
      <c r="C275" s="6" t="s">
        <v>20</v>
      </c>
      <c r="D275" s="6" t="s">
        <v>15</v>
      </c>
      <c r="E275" s="6" t="s">
        <v>26</v>
      </c>
      <c r="F275" s="6" t="s">
        <v>27</v>
      </c>
      <c r="G275" s="6" t="s">
        <v>18</v>
      </c>
      <c r="H275" s="7">
        <v>45198.0</v>
      </c>
      <c r="I275" s="8">
        <v>404.0</v>
      </c>
      <c r="J275" s="8">
        <v>270.0</v>
      </c>
      <c r="K275" s="8">
        <v>156.29</v>
      </c>
      <c r="L275" s="10">
        <f t="shared" si="2"/>
        <v>109080</v>
      </c>
      <c r="M275" s="10">
        <f t="shared" si="3"/>
        <v>63141.16</v>
      </c>
      <c r="N275" s="10">
        <f t="shared" si="4"/>
        <v>45938.84</v>
      </c>
      <c r="O275" s="11">
        <f t="shared" si="1"/>
        <v>0.4211481481</v>
      </c>
    </row>
    <row r="276" ht="14.25" customHeight="1">
      <c r="B276" s="6" t="s">
        <v>305</v>
      </c>
      <c r="C276" s="6" t="s">
        <v>20</v>
      </c>
      <c r="D276" s="6" t="s">
        <v>29</v>
      </c>
      <c r="E276" s="6" t="s">
        <v>26</v>
      </c>
      <c r="F276" s="6" t="s">
        <v>27</v>
      </c>
      <c r="G276" s="6" t="s">
        <v>18</v>
      </c>
      <c r="H276" s="7">
        <v>45199.0</v>
      </c>
      <c r="I276" s="8">
        <v>73.0</v>
      </c>
      <c r="J276" s="8">
        <v>93.33</v>
      </c>
      <c r="K276" s="8">
        <v>162.13</v>
      </c>
      <c r="L276" s="10">
        <f t="shared" si="2"/>
        <v>6813.09</v>
      </c>
      <c r="M276" s="10">
        <f t="shared" si="3"/>
        <v>11835.49</v>
      </c>
      <c r="N276" s="10">
        <f t="shared" si="4"/>
        <v>-5022.4</v>
      </c>
      <c r="O276" s="11">
        <f t="shared" si="1"/>
        <v>-0.7371691846</v>
      </c>
    </row>
    <row r="277" ht="14.25" customHeight="1">
      <c r="B277" s="6" t="s">
        <v>306</v>
      </c>
      <c r="C277" s="6" t="s">
        <v>20</v>
      </c>
      <c r="D277" s="6" t="s">
        <v>21</v>
      </c>
      <c r="E277" s="6" t="s">
        <v>16</v>
      </c>
      <c r="F277" s="6" t="s">
        <v>17</v>
      </c>
      <c r="G277" s="6" t="s">
        <v>31</v>
      </c>
      <c r="H277" s="7">
        <v>45200.0</v>
      </c>
      <c r="I277" s="8">
        <v>214.0</v>
      </c>
      <c r="J277" s="8">
        <v>159.57</v>
      </c>
      <c r="K277" s="8">
        <v>349.96</v>
      </c>
      <c r="L277" s="10">
        <f t="shared" si="2"/>
        <v>34147.98</v>
      </c>
      <c r="M277" s="10">
        <f t="shared" si="3"/>
        <v>74891.44</v>
      </c>
      <c r="N277" s="10">
        <f t="shared" si="4"/>
        <v>-40743.46</v>
      </c>
      <c r="O277" s="11">
        <f t="shared" si="1"/>
        <v>-1.193144075</v>
      </c>
    </row>
    <row r="278" ht="14.25" customHeight="1">
      <c r="B278" s="6" t="s">
        <v>307</v>
      </c>
      <c r="C278" s="6" t="s">
        <v>25</v>
      </c>
      <c r="D278" s="6" t="s">
        <v>54</v>
      </c>
      <c r="E278" s="6" t="s">
        <v>16</v>
      </c>
      <c r="F278" s="6" t="s">
        <v>27</v>
      </c>
      <c r="G278" s="6" t="s">
        <v>23</v>
      </c>
      <c r="H278" s="7">
        <v>45201.0</v>
      </c>
      <c r="I278" s="8">
        <v>218.0</v>
      </c>
      <c r="J278" s="8">
        <v>118.97</v>
      </c>
      <c r="K278" s="8">
        <v>205.02</v>
      </c>
      <c r="L278" s="10">
        <f t="shared" si="2"/>
        <v>25935.46</v>
      </c>
      <c r="M278" s="10">
        <f t="shared" si="3"/>
        <v>44694.36</v>
      </c>
      <c r="N278" s="10">
        <f t="shared" si="4"/>
        <v>-18758.9</v>
      </c>
      <c r="O278" s="11">
        <f t="shared" si="1"/>
        <v>-0.7232915861</v>
      </c>
    </row>
    <row r="279" ht="14.25" customHeight="1">
      <c r="B279" s="6" t="s">
        <v>308</v>
      </c>
      <c r="C279" s="6" t="s">
        <v>20</v>
      </c>
      <c r="D279" s="6" t="s">
        <v>15</v>
      </c>
      <c r="E279" s="6" t="s">
        <v>46</v>
      </c>
      <c r="F279" s="6" t="s">
        <v>27</v>
      </c>
      <c r="G279" s="6" t="s">
        <v>18</v>
      </c>
      <c r="H279" s="7">
        <v>45202.0</v>
      </c>
      <c r="I279" s="8">
        <v>81.0</v>
      </c>
      <c r="J279" s="8">
        <v>107.06</v>
      </c>
      <c r="K279" s="8">
        <v>289.92</v>
      </c>
      <c r="L279" s="10">
        <f t="shared" si="2"/>
        <v>8671.86</v>
      </c>
      <c r="M279" s="10">
        <f t="shared" si="3"/>
        <v>23483.52</v>
      </c>
      <c r="N279" s="10">
        <f t="shared" si="4"/>
        <v>-14811.66</v>
      </c>
      <c r="O279" s="11">
        <f t="shared" si="1"/>
        <v>-1.708014198</v>
      </c>
    </row>
    <row r="280" ht="14.25" customHeight="1">
      <c r="B280" s="6" t="s">
        <v>309</v>
      </c>
      <c r="C280" s="6" t="s">
        <v>25</v>
      </c>
      <c r="D280" s="6" t="s">
        <v>21</v>
      </c>
      <c r="E280" s="6" t="s">
        <v>46</v>
      </c>
      <c r="F280" s="6" t="s">
        <v>27</v>
      </c>
      <c r="G280" s="6" t="s">
        <v>23</v>
      </c>
      <c r="H280" s="7">
        <v>45203.0</v>
      </c>
      <c r="I280" s="8">
        <v>286.0</v>
      </c>
      <c r="J280" s="8">
        <v>320.79</v>
      </c>
      <c r="K280" s="8">
        <v>43.45</v>
      </c>
      <c r="L280" s="10">
        <f t="shared" si="2"/>
        <v>91745.94</v>
      </c>
      <c r="M280" s="10">
        <f t="shared" si="3"/>
        <v>12426.7</v>
      </c>
      <c r="N280" s="10">
        <f t="shared" si="4"/>
        <v>79319.24</v>
      </c>
      <c r="O280" s="11">
        <f t="shared" si="1"/>
        <v>0.8645531344</v>
      </c>
    </row>
    <row r="281" ht="14.25" customHeight="1">
      <c r="B281" s="6" t="s">
        <v>310</v>
      </c>
      <c r="C281" s="6" t="s">
        <v>52</v>
      </c>
      <c r="D281" s="6" t="s">
        <v>54</v>
      </c>
      <c r="E281" s="6" t="s">
        <v>16</v>
      </c>
      <c r="F281" s="6" t="s">
        <v>17</v>
      </c>
      <c r="G281" s="6" t="s">
        <v>18</v>
      </c>
      <c r="H281" s="7">
        <v>45204.0</v>
      </c>
      <c r="I281" s="8">
        <v>283.0</v>
      </c>
      <c r="J281" s="8">
        <v>132.16</v>
      </c>
      <c r="K281" s="8">
        <v>91.72</v>
      </c>
      <c r="L281" s="10">
        <f t="shared" si="2"/>
        <v>37401.28</v>
      </c>
      <c r="M281" s="10">
        <f t="shared" si="3"/>
        <v>25956.76</v>
      </c>
      <c r="N281" s="10">
        <f t="shared" si="4"/>
        <v>11444.52</v>
      </c>
      <c r="O281" s="11">
        <f t="shared" si="1"/>
        <v>0.3059927361</v>
      </c>
    </row>
    <row r="282" ht="14.25" customHeight="1">
      <c r="B282" s="6" t="s">
        <v>311</v>
      </c>
      <c r="C282" s="6" t="s">
        <v>25</v>
      </c>
      <c r="D282" s="6" t="s">
        <v>21</v>
      </c>
      <c r="E282" s="6" t="s">
        <v>16</v>
      </c>
      <c r="F282" s="6" t="s">
        <v>17</v>
      </c>
      <c r="G282" s="6" t="s">
        <v>18</v>
      </c>
      <c r="H282" s="7">
        <v>45205.0</v>
      </c>
      <c r="I282" s="8">
        <v>487.0</v>
      </c>
      <c r="J282" s="8">
        <v>317.85</v>
      </c>
      <c r="K282" s="8">
        <v>281.77</v>
      </c>
      <c r="L282" s="10">
        <f t="shared" si="2"/>
        <v>154792.95</v>
      </c>
      <c r="M282" s="10">
        <f t="shared" si="3"/>
        <v>137221.99</v>
      </c>
      <c r="N282" s="10">
        <f t="shared" si="4"/>
        <v>17570.96</v>
      </c>
      <c r="O282" s="11">
        <f t="shared" si="1"/>
        <v>0.1135126632</v>
      </c>
    </row>
    <row r="283" ht="14.25" customHeight="1">
      <c r="B283" s="6" t="s">
        <v>312</v>
      </c>
      <c r="C283" s="6" t="s">
        <v>52</v>
      </c>
      <c r="D283" s="6" t="s">
        <v>34</v>
      </c>
      <c r="E283" s="6" t="s">
        <v>22</v>
      </c>
      <c r="F283" s="6" t="s">
        <v>27</v>
      </c>
      <c r="G283" s="6" t="s">
        <v>23</v>
      </c>
      <c r="H283" s="7">
        <v>45206.0</v>
      </c>
      <c r="I283" s="8">
        <v>329.0</v>
      </c>
      <c r="J283" s="8">
        <v>33.94</v>
      </c>
      <c r="K283" s="8">
        <v>23.02</v>
      </c>
      <c r="L283" s="10">
        <f t="shared" si="2"/>
        <v>11166.26</v>
      </c>
      <c r="M283" s="10">
        <f t="shared" si="3"/>
        <v>7573.58</v>
      </c>
      <c r="N283" s="10">
        <f t="shared" si="4"/>
        <v>3592.68</v>
      </c>
      <c r="O283" s="11">
        <f t="shared" si="1"/>
        <v>0.3217442546</v>
      </c>
    </row>
    <row r="284" ht="14.25" customHeight="1">
      <c r="B284" s="6" t="s">
        <v>313</v>
      </c>
      <c r="C284" s="6" t="s">
        <v>20</v>
      </c>
      <c r="D284" s="6" t="s">
        <v>21</v>
      </c>
      <c r="E284" s="6" t="s">
        <v>26</v>
      </c>
      <c r="F284" s="6" t="s">
        <v>17</v>
      </c>
      <c r="G284" s="6" t="s">
        <v>31</v>
      </c>
      <c r="H284" s="7">
        <v>45207.0</v>
      </c>
      <c r="I284" s="8">
        <v>347.0</v>
      </c>
      <c r="J284" s="8">
        <v>75.18</v>
      </c>
      <c r="K284" s="8">
        <v>195.67</v>
      </c>
      <c r="L284" s="10">
        <f t="shared" si="2"/>
        <v>26087.46</v>
      </c>
      <c r="M284" s="10">
        <f t="shared" si="3"/>
        <v>67897.49</v>
      </c>
      <c r="N284" s="10">
        <f t="shared" si="4"/>
        <v>-41810.03</v>
      </c>
      <c r="O284" s="11">
        <f t="shared" si="1"/>
        <v>-1.602686885</v>
      </c>
    </row>
    <row r="285" ht="14.25" customHeight="1">
      <c r="B285" s="6" t="s">
        <v>314</v>
      </c>
      <c r="C285" s="6" t="s">
        <v>20</v>
      </c>
      <c r="D285" s="6" t="s">
        <v>21</v>
      </c>
      <c r="E285" s="6" t="s">
        <v>46</v>
      </c>
      <c r="F285" s="6" t="s">
        <v>27</v>
      </c>
      <c r="G285" s="6" t="s">
        <v>18</v>
      </c>
      <c r="H285" s="7">
        <v>45208.0</v>
      </c>
      <c r="I285" s="8">
        <v>375.0</v>
      </c>
      <c r="J285" s="8">
        <v>140.9</v>
      </c>
      <c r="K285" s="8">
        <v>240.55</v>
      </c>
      <c r="L285" s="10">
        <f t="shared" si="2"/>
        <v>52837.5</v>
      </c>
      <c r="M285" s="10">
        <f t="shared" si="3"/>
        <v>90206.25</v>
      </c>
      <c r="N285" s="10">
        <f t="shared" si="4"/>
        <v>-37368.75</v>
      </c>
      <c r="O285" s="11">
        <f t="shared" si="1"/>
        <v>-0.7072391767</v>
      </c>
    </row>
    <row r="286" ht="14.25" customHeight="1">
      <c r="B286" s="6" t="s">
        <v>315</v>
      </c>
      <c r="C286" s="6" t="s">
        <v>52</v>
      </c>
      <c r="D286" s="6" t="s">
        <v>21</v>
      </c>
      <c r="E286" s="6" t="s">
        <v>26</v>
      </c>
      <c r="F286" s="6" t="s">
        <v>17</v>
      </c>
      <c r="G286" s="6" t="s">
        <v>18</v>
      </c>
      <c r="H286" s="7">
        <v>45209.0</v>
      </c>
      <c r="I286" s="8">
        <v>104.0</v>
      </c>
      <c r="J286" s="8">
        <v>300.54</v>
      </c>
      <c r="K286" s="8">
        <v>241.65</v>
      </c>
      <c r="L286" s="10">
        <f t="shared" si="2"/>
        <v>31256.16</v>
      </c>
      <c r="M286" s="10">
        <f t="shared" si="3"/>
        <v>25131.6</v>
      </c>
      <c r="N286" s="10">
        <f t="shared" si="4"/>
        <v>6124.56</v>
      </c>
      <c r="O286" s="11">
        <f t="shared" si="1"/>
        <v>0.1959472949</v>
      </c>
    </row>
    <row r="287" ht="14.25" customHeight="1">
      <c r="B287" s="6" t="s">
        <v>316</v>
      </c>
      <c r="C287" s="6" t="s">
        <v>14</v>
      </c>
      <c r="D287" s="6" t="s">
        <v>15</v>
      </c>
      <c r="E287" s="6" t="s">
        <v>39</v>
      </c>
      <c r="F287" s="6" t="s">
        <v>17</v>
      </c>
      <c r="G287" s="6" t="s">
        <v>18</v>
      </c>
      <c r="H287" s="7">
        <v>45210.0</v>
      </c>
      <c r="I287" s="8">
        <v>175.0</v>
      </c>
      <c r="J287" s="8">
        <v>339.54</v>
      </c>
      <c r="K287" s="8">
        <v>11.13</v>
      </c>
      <c r="L287" s="10">
        <f t="shared" si="2"/>
        <v>59419.5</v>
      </c>
      <c r="M287" s="10">
        <f t="shared" si="3"/>
        <v>1947.75</v>
      </c>
      <c r="N287" s="10">
        <f t="shared" si="4"/>
        <v>57471.75</v>
      </c>
      <c r="O287" s="11">
        <f t="shared" si="1"/>
        <v>0.967220357</v>
      </c>
    </row>
    <row r="288" ht="14.25" customHeight="1">
      <c r="B288" s="6" t="s">
        <v>317</v>
      </c>
      <c r="C288" s="6" t="s">
        <v>52</v>
      </c>
      <c r="D288" s="6" t="s">
        <v>21</v>
      </c>
      <c r="E288" s="6" t="s">
        <v>16</v>
      </c>
      <c r="F288" s="6" t="s">
        <v>17</v>
      </c>
      <c r="G288" s="6" t="s">
        <v>23</v>
      </c>
      <c r="H288" s="7">
        <v>45211.0</v>
      </c>
      <c r="I288" s="8">
        <v>41.0</v>
      </c>
      <c r="J288" s="8">
        <v>224.14</v>
      </c>
      <c r="K288" s="8">
        <v>130.2</v>
      </c>
      <c r="L288" s="10">
        <f t="shared" si="2"/>
        <v>9189.74</v>
      </c>
      <c r="M288" s="10">
        <f t="shared" si="3"/>
        <v>5338.2</v>
      </c>
      <c r="N288" s="10">
        <f t="shared" si="4"/>
        <v>3851.54</v>
      </c>
      <c r="O288" s="11">
        <f t="shared" si="1"/>
        <v>0.4191130543</v>
      </c>
    </row>
    <row r="289" ht="14.25" customHeight="1">
      <c r="B289" s="6" t="s">
        <v>318</v>
      </c>
      <c r="C289" s="6" t="s">
        <v>14</v>
      </c>
      <c r="D289" s="6" t="s">
        <v>54</v>
      </c>
      <c r="E289" s="6" t="s">
        <v>22</v>
      </c>
      <c r="F289" s="6" t="s">
        <v>17</v>
      </c>
      <c r="G289" s="6" t="s">
        <v>31</v>
      </c>
      <c r="H289" s="7">
        <v>45212.0</v>
      </c>
      <c r="I289" s="8">
        <v>20.0</v>
      </c>
      <c r="J289" s="8">
        <v>225.67</v>
      </c>
      <c r="K289" s="8">
        <v>255.32</v>
      </c>
      <c r="L289" s="10">
        <f t="shared" si="2"/>
        <v>4513.4</v>
      </c>
      <c r="M289" s="10">
        <f t="shared" si="3"/>
        <v>5106.4</v>
      </c>
      <c r="N289" s="10">
        <f t="shared" si="4"/>
        <v>-593</v>
      </c>
      <c r="O289" s="11">
        <f t="shared" si="1"/>
        <v>-0.1313865379</v>
      </c>
    </row>
    <row r="290" ht="14.25" customHeight="1">
      <c r="B290" s="6" t="s">
        <v>319</v>
      </c>
      <c r="C290" s="6" t="s">
        <v>25</v>
      </c>
      <c r="D290" s="6" t="s">
        <v>34</v>
      </c>
      <c r="E290" s="6" t="s">
        <v>30</v>
      </c>
      <c r="F290" s="6" t="s">
        <v>27</v>
      </c>
      <c r="G290" s="6" t="s">
        <v>23</v>
      </c>
      <c r="H290" s="7">
        <v>45213.0</v>
      </c>
      <c r="I290" s="8">
        <v>310.0</v>
      </c>
      <c r="J290" s="8">
        <v>363.64</v>
      </c>
      <c r="K290" s="8">
        <v>61.3</v>
      </c>
      <c r="L290" s="10">
        <f t="shared" si="2"/>
        <v>112728.4</v>
      </c>
      <c r="M290" s="10">
        <f t="shared" si="3"/>
        <v>19003</v>
      </c>
      <c r="N290" s="10">
        <f t="shared" si="4"/>
        <v>93725.4</v>
      </c>
      <c r="O290" s="11">
        <f t="shared" si="1"/>
        <v>0.8314266857</v>
      </c>
    </row>
    <row r="291" ht="14.25" customHeight="1">
      <c r="B291" s="6" t="s">
        <v>320</v>
      </c>
      <c r="C291" s="6" t="s">
        <v>25</v>
      </c>
      <c r="D291" s="6" t="s">
        <v>34</v>
      </c>
      <c r="E291" s="6" t="s">
        <v>22</v>
      </c>
      <c r="F291" s="6" t="s">
        <v>27</v>
      </c>
      <c r="G291" s="6" t="s">
        <v>23</v>
      </c>
      <c r="H291" s="7">
        <v>45214.0</v>
      </c>
      <c r="I291" s="8">
        <v>226.0</v>
      </c>
      <c r="J291" s="6">
        <v>249.64520588235297</v>
      </c>
      <c r="K291" s="8">
        <v>278.78</v>
      </c>
      <c r="L291" s="10">
        <f t="shared" si="2"/>
        <v>56419.81653</v>
      </c>
      <c r="M291" s="10">
        <f t="shared" si="3"/>
        <v>63004.28</v>
      </c>
      <c r="N291" s="10">
        <f t="shared" si="4"/>
        <v>-6584.463471</v>
      </c>
      <c r="O291" s="11">
        <f t="shared" si="1"/>
        <v>-0.1167048012</v>
      </c>
    </row>
    <row r="292" ht="14.25" customHeight="1">
      <c r="B292" s="6" t="s">
        <v>321</v>
      </c>
      <c r="C292" s="6" t="s">
        <v>25</v>
      </c>
      <c r="D292" s="6" t="s">
        <v>21</v>
      </c>
      <c r="E292" s="6" t="s">
        <v>22</v>
      </c>
      <c r="F292" s="6" t="s">
        <v>27</v>
      </c>
      <c r="G292" s="6" t="s">
        <v>31</v>
      </c>
      <c r="H292" s="7">
        <v>45215.0</v>
      </c>
      <c r="I292" s="6">
        <v>255.9029411764706</v>
      </c>
      <c r="J292" s="8">
        <v>173.84</v>
      </c>
      <c r="K292" s="8">
        <v>298.88</v>
      </c>
      <c r="L292" s="10">
        <f t="shared" si="2"/>
        <v>44486.16729</v>
      </c>
      <c r="M292" s="10">
        <f t="shared" si="3"/>
        <v>76484.27106</v>
      </c>
      <c r="N292" s="10">
        <f t="shared" si="4"/>
        <v>-31998.10376</v>
      </c>
      <c r="O292" s="11">
        <f t="shared" si="1"/>
        <v>-0.7192820985</v>
      </c>
    </row>
    <row r="293" ht="14.25" customHeight="1">
      <c r="B293" s="6" t="s">
        <v>322</v>
      </c>
      <c r="C293" s="6" t="s">
        <v>20</v>
      </c>
      <c r="D293" s="6" t="s">
        <v>15</v>
      </c>
      <c r="E293" s="6" t="s">
        <v>26</v>
      </c>
      <c r="F293" s="6" t="s">
        <v>17</v>
      </c>
      <c r="G293" s="6" t="s">
        <v>23</v>
      </c>
      <c r="H293" s="7">
        <v>45216.0</v>
      </c>
      <c r="I293" s="8">
        <v>111.0</v>
      </c>
      <c r="J293" s="8">
        <v>410.26</v>
      </c>
      <c r="K293" s="8">
        <v>392.82</v>
      </c>
      <c r="L293" s="10">
        <f t="shared" si="2"/>
        <v>45538.86</v>
      </c>
      <c r="M293" s="10">
        <f t="shared" si="3"/>
        <v>43603.02</v>
      </c>
      <c r="N293" s="10">
        <f t="shared" si="4"/>
        <v>1935.84</v>
      </c>
      <c r="O293" s="11">
        <f t="shared" si="1"/>
        <v>0.04250962804</v>
      </c>
    </row>
    <row r="294" ht="14.25" customHeight="1">
      <c r="B294" s="6" t="s">
        <v>323</v>
      </c>
      <c r="C294" s="6" t="s">
        <v>25</v>
      </c>
      <c r="D294" s="6" t="s">
        <v>15</v>
      </c>
      <c r="E294" s="6" t="s">
        <v>22</v>
      </c>
      <c r="F294" s="6" t="s">
        <v>27</v>
      </c>
      <c r="G294" s="6" t="s">
        <v>31</v>
      </c>
      <c r="H294" s="7">
        <v>45217.0</v>
      </c>
      <c r="I294" s="8">
        <v>434.0</v>
      </c>
      <c r="J294" s="8">
        <v>303.59</v>
      </c>
      <c r="K294" s="8">
        <v>85.52</v>
      </c>
      <c r="L294" s="10">
        <f t="shared" si="2"/>
        <v>131758.06</v>
      </c>
      <c r="M294" s="10">
        <f t="shared" si="3"/>
        <v>37115.68</v>
      </c>
      <c r="N294" s="10">
        <f t="shared" si="4"/>
        <v>94642.38</v>
      </c>
      <c r="O294" s="11">
        <f t="shared" si="1"/>
        <v>0.718304292</v>
      </c>
    </row>
    <row r="295" ht="14.25" customHeight="1">
      <c r="B295" s="6" t="s">
        <v>324</v>
      </c>
      <c r="C295" s="6" t="s">
        <v>14</v>
      </c>
      <c r="D295" s="6" t="s">
        <v>54</v>
      </c>
      <c r="E295" s="6" t="s">
        <v>46</v>
      </c>
      <c r="F295" s="6" t="s">
        <v>27</v>
      </c>
      <c r="G295" s="6" t="s">
        <v>18</v>
      </c>
      <c r="H295" s="7">
        <v>45218.0</v>
      </c>
      <c r="I295" s="8">
        <v>401.0</v>
      </c>
      <c r="J295" s="8">
        <v>171.93</v>
      </c>
      <c r="K295" s="8">
        <v>330.4</v>
      </c>
      <c r="L295" s="10">
        <f t="shared" si="2"/>
        <v>68943.93</v>
      </c>
      <c r="M295" s="10">
        <f t="shared" si="3"/>
        <v>132490.4</v>
      </c>
      <c r="N295" s="10">
        <f t="shared" si="4"/>
        <v>-63546.47</v>
      </c>
      <c r="O295" s="11">
        <f t="shared" si="1"/>
        <v>-0.9217123248</v>
      </c>
    </row>
    <row r="296" ht="14.25" customHeight="1">
      <c r="B296" s="6" t="s">
        <v>325</v>
      </c>
      <c r="C296" s="6" t="s">
        <v>25</v>
      </c>
      <c r="D296" s="6" t="s">
        <v>21</v>
      </c>
      <c r="E296" s="6" t="s">
        <v>26</v>
      </c>
      <c r="F296" s="6" t="s">
        <v>27</v>
      </c>
      <c r="G296" s="6" t="s">
        <v>31</v>
      </c>
      <c r="H296" s="7">
        <v>45219.0</v>
      </c>
      <c r="I296" s="8">
        <v>276.0</v>
      </c>
      <c r="J296" s="8">
        <v>453.23</v>
      </c>
      <c r="K296" s="8">
        <v>209.08</v>
      </c>
      <c r="L296" s="10">
        <f t="shared" si="2"/>
        <v>125091.48</v>
      </c>
      <c r="M296" s="10">
        <f t="shared" si="3"/>
        <v>57706.08</v>
      </c>
      <c r="N296" s="10">
        <f t="shared" si="4"/>
        <v>67385.4</v>
      </c>
      <c r="O296" s="11">
        <f t="shared" si="1"/>
        <v>0.5386889659</v>
      </c>
    </row>
    <row r="297" ht="14.25" customHeight="1">
      <c r="B297" s="6" t="s">
        <v>326</v>
      </c>
      <c r="C297" s="6" t="s">
        <v>52</v>
      </c>
      <c r="D297" s="6" t="s">
        <v>34</v>
      </c>
      <c r="E297" s="6" t="s">
        <v>46</v>
      </c>
      <c r="F297" s="6" t="s">
        <v>17</v>
      </c>
      <c r="G297" s="6" t="s">
        <v>18</v>
      </c>
      <c r="H297" s="7">
        <v>45220.0</v>
      </c>
      <c r="I297" s="6">
        <v>255.9029411764706</v>
      </c>
      <c r="J297" s="8">
        <v>387.45</v>
      </c>
      <c r="K297" s="8">
        <v>150.64</v>
      </c>
      <c r="L297" s="10">
        <f t="shared" si="2"/>
        <v>99149.59456</v>
      </c>
      <c r="M297" s="10">
        <f t="shared" si="3"/>
        <v>38549.21906</v>
      </c>
      <c r="N297" s="10">
        <f t="shared" si="4"/>
        <v>60600.3755</v>
      </c>
      <c r="O297" s="11">
        <f t="shared" si="1"/>
        <v>0.6112014453</v>
      </c>
    </row>
    <row r="298" ht="14.25" customHeight="1">
      <c r="B298" s="6" t="s">
        <v>327</v>
      </c>
      <c r="C298" s="6" t="s">
        <v>52</v>
      </c>
      <c r="D298" s="6" t="s">
        <v>15</v>
      </c>
      <c r="E298" s="6" t="s">
        <v>30</v>
      </c>
      <c r="F298" s="6" t="s">
        <v>17</v>
      </c>
      <c r="G298" s="6" t="s">
        <v>23</v>
      </c>
      <c r="H298" s="7">
        <v>45221.0</v>
      </c>
      <c r="I298" s="8">
        <v>188.0</v>
      </c>
      <c r="J298" s="8">
        <v>136.12</v>
      </c>
      <c r="K298" s="8">
        <v>50.71</v>
      </c>
      <c r="L298" s="10">
        <f t="shared" si="2"/>
        <v>25590.56</v>
      </c>
      <c r="M298" s="10">
        <f t="shared" si="3"/>
        <v>9533.48</v>
      </c>
      <c r="N298" s="10">
        <f t="shared" si="4"/>
        <v>16057.08</v>
      </c>
      <c r="O298" s="11">
        <f t="shared" si="1"/>
        <v>0.6274610638</v>
      </c>
    </row>
    <row r="299" ht="14.25" customHeight="1">
      <c r="B299" s="6" t="s">
        <v>328</v>
      </c>
      <c r="C299" s="6" t="s">
        <v>20</v>
      </c>
      <c r="D299" s="6" t="s">
        <v>21</v>
      </c>
      <c r="E299" s="6" t="s">
        <v>26</v>
      </c>
      <c r="F299" s="6" t="s">
        <v>17</v>
      </c>
      <c r="G299" s="6" t="s">
        <v>23</v>
      </c>
      <c r="H299" s="7">
        <v>45222.0</v>
      </c>
      <c r="I299" s="8">
        <v>97.0</v>
      </c>
      <c r="J299" s="8">
        <v>324.42</v>
      </c>
      <c r="K299" s="8">
        <v>294.73</v>
      </c>
      <c r="L299" s="10">
        <f t="shared" si="2"/>
        <v>31468.74</v>
      </c>
      <c r="M299" s="10">
        <f t="shared" si="3"/>
        <v>28588.81</v>
      </c>
      <c r="N299" s="10">
        <f t="shared" si="4"/>
        <v>2879.93</v>
      </c>
      <c r="O299" s="11">
        <f t="shared" si="1"/>
        <v>0.0915171691</v>
      </c>
    </row>
    <row r="300" ht="14.25" customHeight="1">
      <c r="B300" s="6" t="s">
        <v>329</v>
      </c>
      <c r="C300" s="6" t="s">
        <v>52</v>
      </c>
      <c r="D300" s="6" t="s">
        <v>15</v>
      </c>
      <c r="E300" s="6" t="s">
        <v>30</v>
      </c>
      <c r="F300" s="6" t="s">
        <v>27</v>
      </c>
      <c r="G300" s="6" t="s">
        <v>18</v>
      </c>
      <c r="H300" s="7">
        <v>45223.0</v>
      </c>
      <c r="I300" s="8">
        <v>50.0</v>
      </c>
      <c r="J300" s="8">
        <v>299.9</v>
      </c>
      <c r="K300" s="8">
        <v>95.87</v>
      </c>
      <c r="L300" s="10">
        <f t="shared" si="2"/>
        <v>14995</v>
      </c>
      <c r="M300" s="10">
        <f t="shared" si="3"/>
        <v>4793.5</v>
      </c>
      <c r="N300" s="10">
        <f t="shared" si="4"/>
        <v>10201.5</v>
      </c>
      <c r="O300" s="11">
        <f t="shared" si="1"/>
        <v>0.6803267756</v>
      </c>
    </row>
    <row r="301" ht="14.25" customHeight="1">
      <c r="B301" s="6" t="s">
        <v>330</v>
      </c>
      <c r="C301" s="6" t="s">
        <v>14</v>
      </c>
      <c r="D301" s="6" t="s">
        <v>15</v>
      </c>
      <c r="E301" s="6" t="s">
        <v>26</v>
      </c>
      <c r="F301" s="6" t="s">
        <v>27</v>
      </c>
      <c r="G301" s="6" t="s">
        <v>23</v>
      </c>
      <c r="H301" s="7">
        <v>45224.0</v>
      </c>
      <c r="I301" s="8">
        <v>410.0</v>
      </c>
      <c r="J301" s="8">
        <v>203.59</v>
      </c>
      <c r="K301" s="8">
        <v>149.83</v>
      </c>
      <c r="L301" s="10">
        <f t="shared" si="2"/>
        <v>83471.9</v>
      </c>
      <c r="M301" s="10">
        <f t="shared" si="3"/>
        <v>61430.3</v>
      </c>
      <c r="N301" s="10">
        <f t="shared" si="4"/>
        <v>22041.6</v>
      </c>
      <c r="O301" s="11">
        <f t="shared" si="1"/>
        <v>0.2640601208</v>
      </c>
    </row>
    <row r="302" ht="14.25" customHeight="1">
      <c r="B302" s="6" t="s">
        <v>331</v>
      </c>
      <c r="C302" s="6" t="s">
        <v>25</v>
      </c>
      <c r="D302" s="6" t="s">
        <v>34</v>
      </c>
      <c r="E302" s="6" t="s">
        <v>16</v>
      </c>
      <c r="F302" s="6" t="s">
        <v>27</v>
      </c>
      <c r="G302" s="6" t="s">
        <v>31</v>
      </c>
      <c r="H302" s="7">
        <v>45225.0</v>
      </c>
      <c r="I302" s="8">
        <v>85.0</v>
      </c>
      <c r="J302" s="8">
        <v>186.64</v>
      </c>
      <c r="K302" s="8">
        <v>26.89</v>
      </c>
      <c r="L302" s="10">
        <f t="shared" si="2"/>
        <v>15864.4</v>
      </c>
      <c r="M302" s="10">
        <f t="shared" si="3"/>
        <v>2285.65</v>
      </c>
      <c r="N302" s="10">
        <f t="shared" si="4"/>
        <v>13578.75</v>
      </c>
      <c r="O302" s="11">
        <f t="shared" si="1"/>
        <v>0.8559258465</v>
      </c>
    </row>
    <row r="303" ht="14.25" customHeight="1">
      <c r="B303" s="6" t="s">
        <v>332</v>
      </c>
      <c r="C303" s="6" t="s">
        <v>20</v>
      </c>
      <c r="D303" s="6" t="s">
        <v>29</v>
      </c>
      <c r="E303" s="6" t="s">
        <v>22</v>
      </c>
      <c r="F303" s="6" t="s">
        <v>17</v>
      </c>
      <c r="G303" s="6" t="s">
        <v>18</v>
      </c>
      <c r="H303" s="7">
        <v>45226.0</v>
      </c>
      <c r="I303" s="8">
        <v>386.0</v>
      </c>
      <c r="J303" s="8">
        <v>175.06</v>
      </c>
      <c r="K303" s="8">
        <v>320.94</v>
      </c>
      <c r="L303" s="10">
        <f t="shared" si="2"/>
        <v>67573.16</v>
      </c>
      <c r="M303" s="10">
        <f t="shared" si="3"/>
        <v>123882.84</v>
      </c>
      <c r="N303" s="10">
        <f t="shared" si="4"/>
        <v>-56309.68</v>
      </c>
      <c r="O303" s="11">
        <f t="shared" si="1"/>
        <v>-0.8333142922</v>
      </c>
    </row>
    <row r="304" ht="14.25" customHeight="1">
      <c r="B304" s="6" t="s">
        <v>333</v>
      </c>
      <c r="C304" s="6" t="s">
        <v>25</v>
      </c>
      <c r="D304" s="6" t="s">
        <v>54</v>
      </c>
      <c r="E304" s="6" t="s">
        <v>16</v>
      </c>
      <c r="F304" s="6" t="s">
        <v>17</v>
      </c>
      <c r="G304" s="6" t="s">
        <v>23</v>
      </c>
      <c r="H304" s="7">
        <v>45227.0</v>
      </c>
      <c r="I304" s="8">
        <v>55.0</v>
      </c>
      <c r="J304" s="8">
        <v>310.49</v>
      </c>
      <c r="K304" s="8">
        <v>307.1</v>
      </c>
      <c r="L304" s="10">
        <f t="shared" si="2"/>
        <v>17076.95</v>
      </c>
      <c r="M304" s="10">
        <f t="shared" si="3"/>
        <v>16890.5</v>
      </c>
      <c r="N304" s="10">
        <f t="shared" si="4"/>
        <v>186.45</v>
      </c>
      <c r="O304" s="11">
        <f t="shared" si="1"/>
        <v>0.01091822603</v>
      </c>
    </row>
    <row r="305" ht="14.25" customHeight="1">
      <c r="B305" s="6" t="s">
        <v>334</v>
      </c>
      <c r="C305" s="6" t="s">
        <v>25</v>
      </c>
      <c r="D305" s="6" t="s">
        <v>54</v>
      </c>
      <c r="E305" s="6" t="s">
        <v>30</v>
      </c>
      <c r="F305" s="6" t="s">
        <v>27</v>
      </c>
      <c r="G305" s="6" t="s">
        <v>18</v>
      </c>
      <c r="H305" s="7">
        <v>45228.0</v>
      </c>
      <c r="I305" s="8">
        <v>169.0</v>
      </c>
      <c r="J305" s="8">
        <v>223.99</v>
      </c>
      <c r="K305" s="8">
        <v>293.98</v>
      </c>
      <c r="L305" s="10">
        <f t="shared" si="2"/>
        <v>37854.31</v>
      </c>
      <c r="M305" s="10">
        <f t="shared" si="3"/>
        <v>49682.62</v>
      </c>
      <c r="N305" s="10">
        <f t="shared" si="4"/>
        <v>-11828.31</v>
      </c>
      <c r="O305" s="11">
        <f t="shared" si="1"/>
        <v>-0.3124693067</v>
      </c>
    </row>
    <row r="306" ht="14.25" customHeight="1">
      <c r="B306" s="6" t="s">
        <v>335</v>
      </c>
      <c r="C306" s="6" t="s">
        <v>14</v>
      </c>
      <c r="D306" s="6" t="s">
        <v>34</v>
      </c>
      <c r="E306" s="6" t="s">
        <v>22</v>
      </c>
      <c r="F306" s="6" t="s">
        <v>17</v>
      </c>
      <c r="G306" s="6" t="s">
        <v>31</v>
      </c>
      <c r="H306" s="7">
        <v>45229.0</v>
      </c>
      <c r="I306" s="8">
        <v>472.0</v>
      </c>
      <c r="J306" s="8">
        <v>416.77</v>
      </c>
      <c r="K306" s="8">
        <v>121.18</v>
      </c>
      <c r="L306" s="10">
        <f t="shared" si="2"/>
        <v>196715.44</v>
      </c>
      <c r="M306" s="10">
        <f t="shared" si="3"/>
        <v>57196.96</v>
      </c>
      <c r="N306" s="10">
        <f t="shared" si="4"/>
        <v>139518.48</v>
      </c>
      <c r="O306" s="11">
        <f t="shared" si="1"/>
        <v>0.7092401085</v>
      </c>
    </row>
    <row r="307" ht="14.25" customHeight="1">
      <c r="B307" s="6" t="s">
        <v>336</v>
      </c>
      <c r="C307" s="6" t="s">
        <v>52</v>
      </c>
      <c r="D307" s="6" t="s">
        <v>15</v>
      </c>
      <c r="E307" s="6" t="s">
        <v>26</v>
      </c>
      <c r="F307" s="6" t="s">
        <v>17</v>
      </c>
      <c r="G307" s="6" t="s">
        <v>31</v>
      </c>
      <c r="H307" s="7">
        <v>45230.0</v>
      </c>
      <c r="I307" s="8">
        <v>89.0</v>
      </c>
      <c r="J307" s="8">
        <v>336.45</v>
      </c>
      <c r="K307" s="8">
        <v>71.05</v>
      </c>
      <c r="L307" s="10">
        <f t="shared" si="2"/>
        <v>29944.05</v>
      </c>
      <c r="M307" s="10">
        <f t="shared" si="3"/>
        <v>6323.45</v>
      </c>
      <c r="N307" s="10">
        <f t="shared" si="4"/>
        <v>23620.6</v>
      </c>
      <c r="O307" s="11">
        <f t="shared" si="1"/>
        <v>0.788824491</v>
      </c>
    </row>
    <row r="308" ht="14.25" customHeight="1">
      <c r="B308" s="6" t="s">
        <v>337</v>
      </c>
      <c r="C308" s="6" t="s">
        <v>52</v>
      </c>
      <c r="D308" s="6" t="s">
        <v>21</v>
      </c>
      <c r="E308" s="6" t="s">
        <v>22</v>
      </c>
      <c r="F308" s="6" t="s">
        <v>17</v>
      </c>
      <c r="G308" s="6" t="s">
        <v>23</v>
      </c>
      <c r="H308" s="7">
        <v>45231.0</v>
      </c>
      <c r="I308" s="8">
        <v>319.0</v>
      </c>
      <c r="J308" s="8">
        <v>39.62</v>
      </c>
      <c r="K308" s="8">
        <v>255.75</v>
      </c>
      <c r="L308" s="10">
        <f t="shared" si="2"/>
        <v>12638.78</v>
      </c>
      <c r="M308" s="10">
        <f t="shared" si="3"/>
        <v>81584.25</v>
      </c>
      <c r="N308" s="10">
        <f t="shared" si="4"/>
        <v>-68945.47</v>
      </c>
      <c r="O308" s="11">
        <f t="shared" si="1"/>
        <v>-5.455073195</v>
      </c>
    </row>
    <row r="309" ht="14.25" customHeight="1">
      <c r="B309" s="6" t="s">
        <v>338</v>
      </c>
      <c r="C309" s="6" t="s">
        <v>25</v>
      </c>
      <c r="D309" s="6" t="s">
        <v>15</v>
      </c>
      <c r="E309" s="6" t="s">
        <v>39</v>
      </c>
      <c r="F309" s="6" t="s">
        <v>17</v>
      </c>
      <c r="G309" s="6" t="s">
        <v>31</v>
      </c>
      <c r="H309" s="7">
        <v>45232.0</v>
      </c>
      <c r="I309" s="8">
        <v>95.0</v>
      </c>
      <c r="J309" s="8">
        <v>321.88</v>
      </c>
      <c r="K309" s="8">
        <v>199.47</v>
      </c>
      <c r="L309" s="10">
        <f t="shared" si="2"/>
        <v>30578.6</v>
      </c>
      <c r="M309" s="10">
        <f t="shared" si="3"/>
        <v>18949.65</v>
      </c>
      <c r="N309" s="10">
        <f t="shared" si="4"/>
        <v>11628.95</v>
      </c>
      <c r="O309" s="11">
        <f t="shared" si="1"/>
        <v>0.3802970051</v>
      </c>
    </row>
    <row r="310" ht="14.25" customHeight="1">
      <c r="B310" s="6" t="s">
        <v>339</v>
      </c>
      <c r="C310" s="6" t="s">
        <v>20</v>
      </c>
      <c r="D310" s="6" t="s">
        <v>34</v>
      </c>
      <c r="E310" s="6" t="s">
        <v>39</v>
      </c>
      <c r="F310" s="6" t="s">
        <v>27</v>
      </c>
      <c r="G310" s="6" t="s">
        <v>18</v>
      </c>
      <c r="H310" s="7">
        <v>45233.0</v>
      </c>
      <c r="I310" s="8">
        <v>101.0</v>
      </c>
      <c r="J310" s="8">
        <v>139.22</v>
      </c>
      <c r="K310" s="8">
        <v>72.94</v>
      </c>
      <c r="L310" s="10">
        <f t="shared" si="2"/>
        <v>14061.22</v>
      </c>
      <c r="M310" s="10">
        <f t="shared" si="3"/>
        <v>7366.94</v>
      </c>
      <c r="N310" s="10">
        <f t="shared" si="4"/>
        <v>6694.28</v>
      </c>
      <c r="O310" s="11">
        <f t="shared" si="1"/>
        <v>0.4760810228</v>
      </c>
    </row>
    <row r="311" ht="14.25" customHeight="1">
      <c r="B311" s="6" t="s">
        <v>340</v>
      </c>
      <c r="C311" s="6" t="s">
        <v>52</v>
      </c>
      <c r="D311" s="6" t="s">
        <v>54</v>
      </c>
      <c r="E311" s="6" t="s">
        <v>39</v>
      </c>
      <c r="F311" s="6" t="s">
        <v>17</v>
      </c>
      <c r="G311" s="6" t="s">
        <v>31</v>
      </c>
      <c r="H311" s="7">
        <v>45234.0</v>
      </c>
      <c r="I311" s="8">
        <v>157.0</v>
      </c>
      <c r="J311" s="6">
        <v>249.64520588235297</v>
      </c>
      <c r="K311" s="8">
        <v>274.99</v>
      </c>
      <c r="L311" s="10">
        <f t="shared" si="2"/>
        <v>39194.29732</v>
      </c>
      <c r="M311" s="10">
        <f t="shared" si="3"/>
        <v>43173.43</v>
      </c>
      <c r="N311" s="10">
        <f t="shared" si="4"/>
        <v>-3979.132676</v>
      </c>
      <c r="O311" s="11">
        <f t="shared" si="1"/>
        <v>-0.1015232559</v>
      </c>
    </row>
    <row r="312" ht="14.25" customHeight="1">
      <c r="B312" s="6" t="s">
        <v>341</v>
      </c>
      <c r="C312" s="6" t="s">
        <v>20</v>
      </c>
      <c r="D312" s="6" t="s">
        <v>15</v>
      </c>
      <c r="E312" s="6" t="s">
        <v>22</v>
      </c>
      <c r="F312" s="6" t="s">
        <v>17</v>
      </c>
      <c r="G312" s="6" t="s">
        <v>18</v>
      </c>
      <c r="H312" s="7">
        <v>45235.0</v>
      </c>
      <c r="I312" s="8">
        <v>170.0</v>
      </c>
      <c r="J312" s="8">
        <v>341.67</v>
      </c>
      <c r="K312" s="8">
        <v>396.47</v>
      </c>
      <c r="L312" s="10">
        <f t="shared" si="2"/>
        <v>58083.9</v>
      </c>
      <c r="M312" s="10">
        <f t="shared" si="3"/>
        <v>67399.9</v>
      </c>
      <c r="N312" s="10">
        <f t="shared" si="4"/>
        <v>-9316</v>
      </c>
      <c r="O312" s="11">
        <f t="shared" si="1"/>
        <v>-0.1603886791</v>
      </c>
    </row>
    <row r="313" ht="14.25" customHeight="1">
      <c r="B313" s="6" t="s">
        <v>342</v>
      </c>
      <c r="C313" s="6" t="s">
        <v>52</v>
      </c>
      <c r="D313" s="6" t="s">
        <v>54</v>
      </c>
      <c r="E313" s="6" t="s">
        <v>46</v>
      </c>
      <c r="F313" s="6" t="s">
        <v>17</v>
      </c>
      <c r="G313" s="6" t="s">
        <v>18</v>
      </c>
      <c r="H313" s="7">
        <v>45236.0</v>
      </c>
      <c r="I313" s="8">
        <v>211.0</v>
      </c>
      <c r="J313" s="8">
        <v>119.26</v>
      </c>
      <c r="K313" s="8">
        <v>299.39</v>
      </c>
      <c r="L313" s="10">
        <f t="shared" si="2"/>
        <v>25163.86</v>
      </c>
      <c r="M313" s="10">
        <f t="shared" si="3"/>
        <v>63171.29</v>
      </c>
      <c r="N313" s="10">
        <f t="shared" si="4"/>
        <v>-38007.43</v>
      </c>
      <c r="O313" s="11">
        <f t="shared" si="1"/>
        <v>-1.510397451</v>
      </c>
    </row>
    <row r="314" ht="14.25" customHeight="1">
      <c r="B314" s="6" t="s">
        <v>343</v>
      </c>
      <c r="C314" s="6" t="s">
        <v>20</v>
      </c>
      <c r="D314" s="6" t="s">
        <v>21</v>
      </c>
      <c r="E314" s="6" t="s">
        <v>30</v>
      </c>
      <c r="F314" s="6" t="s">
        <v>17</v>
      </c>
      <c r="G314" s="6" t="s">
        <v>31</v>
      </c>
      <c r="H314" s="7">
        <v>45237.0</v>
      </c>
      <c r="I314" s="8">
        <v>433.0</v>
      </c>
      <c r="J314" s="8">
        <v>231.15</v>
      </c>
      <c r="K314" s="8">
        <v>296.51</v>
      </c>
      <c r="L314" s="10">
        <f t="shared" si="2"/>
        <v>100087.95</v>
      </c>
      <c r="M314" s="10">
        <f t="shared" si="3"/>
        <v>128388.83</v>
      </c>
      <c r="N314" s="10">
        <f t="shared" si="4"/>
        <v>-28300.88</v>
      </c>
      <c r="O314" s="11">
        <f t="shared" si="1"/>
        <v>-0.2827601125</v>
      </c>
    </row>
    <row r="315" ht="14.25" customHeight="1">
      <c r="B315" s="6" t="s">
        <v>344</v>
      </c>
      <c r="C315" s="6" t="s">
        <v>14</v>
      </c>
      <c r="D315" s="6" t="s">
        <v>54</v>
      </c>
      <c r="E315" s="6" t="s">
        <v>16</v>
      </c>
      <c r="F315" s="6" t="s">
        <v>27</v>
      </c>
      <c r="G315" s="6" t="s">
        <v>23</v>
      </c>
      <c r="H315" s="7">
        <v>45238.0</v>
      </c>
      <c r="I315" s="8">
        <v>425.0</v>
      </c>
      <c r="J315" s="8">
        <v>99.21</v>
      </c>
      <c r="K315" s="8">
        <v>380.22</v>
      </c>
      <c r="L315" s="10">
        <f t="shared" si="2"/>
        <v>42164.25</v>
      </c>
      <c r="M315" s="10">
        <f t="shared" si="3"/>
        <v>161593.5</v>
      </c>
      <c r="N315" s="10">
        <f t="shared" si="4"/>
        <v>-119429.25</v>
      </c>
      <c r="O315" s="11">
        <f t="shared" si="1"/>
        <v>-2.832476565</v>
      </c>
    </row>
    <row r="316" ht="14.25" customHeight="1">
      <c r="B316" s="6" t="s">
        <v>345</v>
      </c>
      <c r="C316" s="6" t="s">
        <v>20</v>
      </c>
      <c r="D316" s="6" t="s">
        <v>54</v>
      </c>
      <c r="E316" s="6" t="s">
        <v>26</v>
      </c>
      <c r="F316" s="6" t="s">
        <v>27</v>
      </c>
      <c r="G316" s="6" t="s">
        <v>31</v>
      </c>
      <c r="H316" s="7">
        <v>45239.0</v>
      </c>
      <c r="I316" s="8">
        <v>251.0</v>
      </c>
      <c r="J316" s="8">
        <v>30.91</v>
      </c>
      <c r="K316" s="8">
        <v>82.77</v>
      </c>
      <c r="L316" s="10">
        <f t="shared" si="2"/>
        <v>7758.41</v>
      </c>
      <c r="M316" s="10">
        <f t="shared" si="3"/>
        <v>20775.27</v>
      </c>
      <c r="N316" s="10">
        <f t="shared" si="4"/>
        <v>-13016.86</v>
      </c>
      <c r="O316" s="11">
        <f t="shared" si="1"/>
        <v>-1.677774183</v>
      </c>
    </row>
    <row r="317" ht="14.25" customHeight="1">
      <c r="B317" s="6" t="s">
        <v>346</v>
      </c>
      <c r="C317" s="6" t="s">
        <v>14</v>
      </c>
      <c r="D317" s="6" t="s">
        <v>29</v>
      </c>
      <c r="E317" s="6" t="s">
        <v>22</v>
      </c>
      <c r="F317" s="6" t="s">
        <v>17</v>
      </c>
      <c r="G317" s="6" t="s">
        <v>18</v>
      </c>
      <c r="H317" s="7">
        <v>45240.0</v>
      </c>
      <c r="I317" s="6">
        <v>255.9029411764706</v>
      </c>
      <c r="J317" s="8">
        <v>192.35</v>
      </c>
      <c r="K317" s="8">
        <v>227.09</v>
      </c>
      <c r="L317" s="10">
        <f t="shared" si="2"/>
        <v>49222.93074</v>
      </c>
      <c r="M317" s="10">
        <f t="shared" si="3"/>
        <v>58112.99891</v>
      </c>
      <c r="N317" s="10">
        <f t="shared" si="4"/>
        <v>-8890.068176</v>
      </c>
      <c r="O317" s="11">
        <f t="shared" si="1"/>
        <v>-0.1806082662</v>
      </c>
    </row>
    <row r="318" ht="14.25" customHeight="1">
      <c r="B318" s="6" t="s">
        <v>347</v>
      </c>
      <c r="C318" s="6" t="s">
        <v>14</v>
      </c>
      <c r="D318" s="6" t="s">
        <v>29</v>
      </c>
      <c r="E318" s="6" t="s">
        <v>16</v>
      </c>
      <c r="F318" s="6" t="s">
        <v>17</v>
      </c>
      <c r="G318" s="6" t="s">
        <v>18</v>
      </c>
      <c r="H318" s="7">
        <v>45241.0</v>
      </c>
      <c r="I318" s="8">
        <v>11.0</v>
      </c>
      <c r="J318" s="8">
        <v>184.66</v>
      </c>
      <c r="K318" s="8">
        <v>391.9</v>
      </c>
      <c r="L318" s="10">
        <f t="shared" si="2"/>
        <v>2031.26</v>
      </c>
      <c r="M318" s="10">
        <f t="shared" si="3"/>
        <v>4310.9</v>
      </c>
      <c r="N318" s="10">
        <f t="shared" si="4"/>
        <v>-2279.64</v>
      </c>
      <c r="O318" s="11">
        <f t="shared" si="1"/>
        <v>-1.122278783</v>
      </c>
    </row>
    <row r="319" ht="14.25" customHeight="1">
      <c r="B319" s="6" t="s">
        <v>348</v>
      </c>
      <c r="C319" s="6" t="s">
        <v>20</v>
      </c>
      <c r="D319" s="6" t="s">
        <v>29</v>
      </c>
      <c r="E319" s="6" t="s">
        <v>26</v>
      </c>
      <c r="F319" s="6" t="s">
        <v>17</v>
      </c>
      <c r="G319" s="6" t="s">
        <v>31</v>
      </c>
      <c r="H319" s="7">
        <v>45242.0</v>
      </c>
      <c r="I319" s="8">
        <v>234.0</v>
      </c>
      <c r="J319" s="8">
        <v>497.76</v>
      </c>
      <c r="K319" s="8">
        <v>67.79</v>
      </c>
      <c r="L319" s="10">
        <f t="shared" si="2"/>
        <v>116475.84</v>
      </c>
      <c r="M319" s="10">
        <f t="shared" si="3"/>
        <v>15862.86</v>
      </c>
      <c r="N319" s="10">
        <f t="shared" si="4"/>
        <v>100612.98</v>
      </c>
      <c r="O319" s="11">
        <f t="shared" si="1"/>
        <v>0.8638098682</v>
      </c>
    </row>
    <row r="320" ht="14.25" customHeight="1">
      <c r="B320" s="6" t="s">
        <v>349</v>
      </c>
      <c r="C320" s="6" t="s">
        <v>14</v>
      </c>
      <c r="D320" s="6" t="s">
        <v>54</v>
      </c>
      <c r="E320" s="6" t="s">
        <v>26</v>
      </c>
      <c r="F320" s="6" t="s">
        <v>17</v>
      </c>
      <c r="G320" s="6" t="s">
        <v>23</v>
      </c>
      <c r="H320" s="7">
        <v>45243.0</v>
      </c>
      <c r="I320" s="6">
        <v>255.9029411764706</v>
      </c>
      <c r="J320" s="8">
        <v>225.94</v>
      </c>
      <c r="K320" s="8">
        <v>280.7</v>
      </c>
      <c r="L320" s="10">
        <f t="shared" si="2"/>
        <v>57818.71053</v>
      </c>
      <c r="M320" s="10">
        <f t="shared" si="3"/>
        <v>71831.95559</v>
      </c>
      <c r="N320" s="10">
        <f t="shared" si="4"/>
        <v>-14013.24506</v>
      </c>
      <c r="O320" s="11">
        <f t="shared" si="1"/>
        <v>-0.2423652297</v>
      </c>
    </row>
    <row r="321" ht="14.25" customHeight="1">
      <c r="B321" s="6" t="s">
        <v>350</v>
      </c>
      <c r="C321" s="6" t="s">
        <v>25</v>
      </c>
      <c r="D321" s="6" t="s">
        <v>34</v>
      </c>
      <c r="E321" s="6" t="s">
        <v>46</v>
      </c>
      <c r="F321" s="6" t="s">
        <v>17</v>
      </c>
      <c r="G321" s="6" t="s">
        <v>23</v>
      </c>
      <c r="H321" s="7">
        <v>45244.0</v>
      </c>
      <c r="I321" s="8">
        <v>242.0</v>
      </c>
      <c r="J321" s="8">
        <v>170.12</v>
      </c>
      <c r="K321" s="8">
        <v>235.15</v>
      </c>
      <c r="L321" s="10">
        <f t="shared" si="2"/>
        <v>41169.04</v>
      </c>
      <c r="M321" s="10">
        <f t="shared" si="3"/>
        <v>56906.3</v>
      </c>
      <c r="N321" s="10">
        <f t="shared" si="4"/>
        <v>-15737.26</v>
      </c>
      <c r="O321" s="11">
        <f t="shared" si="1"/>
        <v>-0.3822595815</v>
      </c>
    </row>
    <row r="322" ht="14.25" customHeight="1">
      <c r="B322" s="6" t="s">
        <v>351</v>
      </c>
      <c r="C322" s="6" t="s">
        <v>14</v>
      </c>
      <c r="D322" s="6" t="s">
        <v>54</v>
      </c>
      <c r="E322" s="6" t="s">
        <v>30</v>
      </c>
      <c r="F322" s="6" t="s">
        <v>17</v>
      </c>
      <c r="G322" s="6" t="s">
        <v>18</v>
      </c>
      <c r="H322" s="7">
        <v>45245.0</v>
      </c>
      <c r="I322" s="8">
        <v>470.0</v>
      </c>
      <c r="J322" s="8">
        <v>292.34</v>
      </c>
      <c r="K322" s="8">
        <v>235.42</v>
      </c>
      <c r="L322" s="10">
        <f t="shared" si="2"/>
        <v>137399.8</v>
      </c>
      <c r="M322" s="10">
        <f t="shared" si="3"/>
        <v>110647.4</v>
      </c>
      <c r="N322" s="10">
        <f t="shared" si="4"/>
        <v>26752.4</v>
      </c>
      <c r="O322" s="11">
        <f t="shared" si="1"/>
        <v>0.1947047958</v>
      </c>
    </row>
    <row r="323" ht="14.25" customHeight="1">
      <c r="B323" s="6" t="s">
        <v>352</v>
      </c>
      <c r="C323" s="6" t="s">
        <v>52</v>
      </c>
      <c r="D323" s="6" t="s">
        <v>34</v>
      </c>
      <c r="E323" s="6" t="s">
        <v>30</v>
      </c>
      <c r="F323" s="6" t="s">
        <v>27</v>
      </c>
      <c r="G323" s="6" t="s">
        <v>18</v>
      </c>
      <c r="H323" s="7">
        <v>45246.0</v>
      </c>
      <c r="I323" s="8">
        <v>423.0</v>
      </c>
      <c r="J323" s="8">
        <v>48.94</v>
      </c>
      <c r="K323" s="8">
        <v>279.67</v>
      </c>
      <c r="L323" s="10">
        <f t="shared" si="2"/>
        <v>20701.62</v>
      </c>
      <c r="M323" s="10">
        <f t="shared" si="3"/>
        <v>118300.41</v>
      </c>
      <c r="N323" s="10">
        <f t="shared" si="4"/>
        <v>-97598.79</v>
      </c>
      <c r="O323" s="11">
        <f t="shared" si="1"/>
        <v>-4.714548427</v>
      </c>
    </row>
    <row r="324" ht="14.25" customHeight="1">
      <c r="B324" s="6" t="s">
        <v>353</v>
      </c>
      <c r="C324" s="6" t="s">
        <v>20</v>
      </c>
      <c r="D324" s="6" t="s">
        <v>34</v>
      </c>
      <c r="E324" s="6" t="s">
        <v>16</v>
      </c>
      <c r="F324" s="6" t="s">
        <v>17</v>
      </c>
      <c r="G324" s="6" t="s">
        <v>23</v>
      </c>
      <c r="H324" s="7">
        <v>45247.0</v>
      </c>
      <c r="I324" s="8">
        <v>426.0</v>
      </c>
      <c r="J324" s="8">
        <v>481.02</v>
      </c>
      <c r="K324" s="8">
        <v>371.99</v>
      </c>
      <c r="L324" s="10">
        <f t="shared" si="2"/>
        <v>204914.52</v>
      </c>
      <c r="M324" s="10">
        <f t="shared" si="3"/>
        <v>158467.74</v>
      </c>
      <c r="N324" s="10">
        <f t="shared" si="4"/>
        <v>46446.78</v>
      </c>
      <c r="O324" s="11">
        <f t="shared" si="1"/>
        <v>0.226664172</v>
      </c>
    </row>
    <row r="325" ht="14.25" customHeight="1">
      <c r="B325" s="6" t="s">
        <v>354</v>
      </c>
      <c r="C325" s="6" t="s">
        <v>25</v>
      </c>
      <c r="D325" s="6" t="s">
        <v>29</v>
      </c>
      <c r="E325" s="6" t="s">
        <v>30</v>
      </c>
      <c r="F325" s="6" t="s">
        <v>27</v>
      </c>
      <c r="G325" s="6" t="s">
        <v>31</v>
      </c>
      <c r="H325" s="7">
        <v>45248.0</v>
      </c>
      <c r="I325" s="8">
        <v>86.0</v>
      </c>
      <c r="J325" s="8">
        <v>319.31</v>
      </c>
      <c r="K325" s="8">
        <v>313.47</v>
      </c>
      <c r="L325" s="10">
        <f t="shared" si="2"/>
        <v>27460.66</v>
      </c>
      <c r="M325" s="10">
        <f t="shared" si="3"/>
        <v>26958.42</v>
      </c>
      <c r="N325" s="10">
        <f t="shared" si="4"/>
        <v>502.24</v>
      </c>
      <c r="O325" s="11">
        <f t="shared" si="1"/>
        <v>0.0182894366</v>
      </c>
    </row>
    <row r="326" ht="14.25" customHeight="1">
      <c r="B326" s="6" t="s">
        <v>355</v>
      </c>
      <c r="C326" s="6" t="s">
        <v>20</v>
      </c>
      <c r="D326" s="6" t="s">
        <v>15</v>
      </c>
      <c r="E326" s="6" t="s">
        <v>22</v>
      </c>
      <c r="F326" s="6" t="s">
        <v>27</v>
      </c>
      <c r="G326" s="6" t="s">
        <v>18</v>
      </c>
      <c r="H326" s="7">
        <v>45249.0</v>
      </c>
      <c r="I326" s="8">
        <v>125.0</v>
      </c>
      <c r="J326" s="8">
        <v>378.64</v>
      </c>
      <c r="K326" s="8">
        <v>24.34</v>
      </c>
      <c r="L326" s="10">
        <f t="shared" si="2"/>
        <v>47330</v>
      </c>
      <c r="M326" s="10">
        <f t="shared" si="3"/>
        <v>3042.5</v>
      </c>
      <c r="N326" s="10">
        <f t="shared" si="4"/>
        <v>44287.5</v>
      </c>
      <c r="O326" s="11">
        <f t="shared" si="1"/>
        <v>0.935717304</v>
      </c>
    </row>
    <row r="327" ht="14.25" customHeight="1">
      <c r="B327" s="6" t="s">
        <v>356</v>
      </c>
      <c r="C327" s="6" t="s">
        <v>52</v>
      </c>
      <c r="D327" s="6" t="s">
        <v>21</v>
      </c>
      <c r="E327" s="6" t="s">
        <v>39</v>
      </c>
      <c r="F327" s="6" t="s">
        <v>17</v>
      </c>
      <c r="G327" s="6" t="s">
        <v>18</v>
      </c>
      <c r="H327" s="7">
        <v>45250.0</v>
      </c>
      <c r="I327" s="8">
        <v>163.0</v>
      </c>
      <c r="J327" s="8">
        <v>89.39</v>
      </c>
      <c r="K327" s="8">
        <v>341.39</v>
      </c>
      <c r="L327" s="10">
        <f t="shared" si="2"/>
        <v>14570.57</v>
      </c>
      <c r="M327" s="10">
        <f t="shared" si="3"/>
        <v>55646.57</v>
      </c>
      <c r="N327" s="10">
        <f t="shared" si="4"/>
        <v>-41076</v>
      </c>
      <c r="O327" s="11">
        <f t="shared" si="1"/>
        <v>-2.819107283</v>
      </c>
    </row>
    <row r="328" ht="14.25" customHeight="1">
      <c r="B328" s="6" t="s">
        <v>357</v>
      </c>
      <c r="C328" s="6" t="s">
        <v>52</v>
      </c>
      <c r="D328" s="6" t="s">
        <v>29</v>
      </c>
      <c r="E328" s="6" t="s">
        <v>16</v>
      </c>
      <c r="F328" s="6" t="s">
        <v>27</v>
      </c>
      <c r="G328" s="6" t="s">
        <v>23</v>
      </c>
      <c r="H328" s="7">
        <v>45251.0</v>
      </c>
      <c r="I328" s="8">
        <v>415.0</v>
      </c>
      <c r="J328" s="8">
        <v>207.69</v>
      </c>
      <c r="K328" s="8">
        <v>91.77</v>
      </c>
      <c r="L328" s="10">
        <f t="shared" si="2"/>
        <v>86191.35</v>
      </c>
      <c r="M328" s="10">
        <f t="shared" si="3"/>
        <v>38084.55</v>
      </c>
      <c r="N328" s="10">
        <f t="shared" si="4"/>
        <v>48106.8</v>
      </c>
      <c r="O328" s="11">
        <f t="shared" si="1"/>
        <v>0.5581395349</v>
      </c>
    </row>
    <row r="329" ht="14.25" customHeight="1">
      <c r="B329" s="6" t="s">
        <v>358</v>
      </c>
      <c r="C329" s="6" t="s">
        <v>52</v>
      </c>
      <c r="D329" s="6" t="s">
        <v>29</v>
      </c>
      <c r="E329" s="6" t="s">
        <v>30</v>
      </c>
      <c r="F329" s="6" t="s">
        <v>27</v>
      </c>
      <c r="G329" s="6" t="s">
        <v>31</v>
      </c>
      <c r="H329" s="7">
        <v>45252.0</v>
      </c>
      <c r="I329" s="8">
        <v>112.0</v>
      </c>
      <c r="J329" s="8">
        <v>214.23</v>
      </c>
      <c r="K329" s="8">
        <v>152.01</v>
      </c>
      <c r="L329" s="10">
        <f t="shared" si="2"/>
        <v>23993.76</v>
      </c>
      <c r="M329" s="10">
        <f t="shared" si="3"/>
        <v>17025.12</v>
      </c>
      <c r="N329" s="10">
        <f t="shared" si="4"/>
        <v>6968.64</v>
      </c>
      <c r="O329" s="11">
        <f t="shared" si="1"/>
        <v>0.2904355132</v>
      </c>
    </row>
    <row r="330" ht="14.25" customHeight="1">
      <c r="B330" s="6" t="s">
        <v>359</v>
      </c>
      <c r="C330" s="6" t="s">
        <v>14</v>
      </c>
      <c r="D330" s="6" t="s">
        <v>15</v>
      </c>
      <c r="E330" s="6" t="s">
        <v>22</v>
      </c>
      <c r="F330" s="6" t="s">
        <v>27</v>
      </c>
      <c r="G330" s="6" t="s">
        <v>23</v>
      </c>
      <c r="H330" s="7">
        <v>45253.0</v>
      </c>
      <c r="I330" s="8">
        <v>203.0</v>
      </c>
      <c r="J330" s="8">
        <v>411.79</v>
      </c>
      <c r="K330" s="8">
        <v>185.77</v>
      </c>
      <c r="L330" s="10">
        <f t="shared" si="2"/>
        <v>83593.37</v>
      </c>
      <c r="M330" s="10">
        <f t="shared" si="3"/>
        <v>37711.31</v>
      </c>
      <c r="N330" s="10">
        <f t="shared" si="4"/>
        <v>45882.06</v>
      </c>
      <c r="O330" s="11">
        <f t="shared" si="1"/>
        <v>0.5488719979</v>
      </c>
    </row>
    <row r="331" ht="14.25" customHeight="1">
      <c r="B331" s="6" t="s">
        <v>360</v>
      </c>
      <c r="C331" s="6" t="s">
        <v>14</v>
      </c>
      <c r="D331" s="6" t="s">
        <v>21</v>
      </c>
      <c r="E331" s="6" t="s">
        <v>46</v>
      </c>
      <c r="F331" s="6" t="s">
        <v>27</v>
      </c>
      <c r="G331" s="6" t="s">
        <v>31</v>
      </c>
      <c r="H331" s="7">
        <v>45254.0</v>
      </c>
      <c r="I331" s="6">
        <v>255.9029411764706</v>
      </c>
      <c r="J331" s="8">
        <v>5.61</v>
      </c>
      <c r="K331" s="8">
        <v>193.4</v>
      </c>
      <c r="L331" s="10">
        <f t="shared" si="2"/>
        <v>1435.6155</v>
      </c>
      <c r="M331" s="10">
        <f t="shared" si="3"/>
        <v>49491.62882</v>
      </c>
      <c r="N331" s="10">
        <f t="shared" si="4"/>
        <v>-48056.01332</v>
      </c>
      <c r="O331" s="11">
        <f t="shared" si="1"/>
        <v>-33.4741533</v>
      </c>
    </row>
    <row r="332" ht="14.25" customHeight="1">
      <c r="B332" s="6" t="s">
        <v>361</v>
      </c>
      <c r="C332" s="6" t="s">
        <v>20</v>
      </c>
      <c r="D332" s="6" t="s">
        <v>54</v>
      </c>
      <c r="E332" s="6" t="s">
        <v>16</v>
      </c>
      <c r="F332" s="6" t="s">
        <v>27</v>
      </c>
      <c r="G332" s="6" t="s">
        <v>31</v>
      </c>
      <c r="H332" s="7">
        <v>45255.0</v>
      </c>
      <c r="I332" s="8">
        <v>368.0</v>
      </c>
      <c r="J332" s="8">
        <v>153.92</v>
      </c>
      <c r="K332" s="8">
        <v>175.2</v>
      </c>
      <c r="L332" s="10">
        <f t="shared" si="2"/>
        <v>56642.56</v>
      </c>
      <c r="M332" s="10">
        <f t="shared" si="3"/>
        <v>64473.6</v>
      </c>
      <c r="N332" s="10">
        <f t="shared" si="4"/>
        <v>-7831.04</v>
      </c>
      <c r="O332" s="11">
        <f t="shared" si="1"/>
        <v>-0.1382536383</v>
      </c>
    </row>
    <row r="333" ht="14.25" customHeight="1">
      <c r="B333" s="6" t="s">
        <v>362</v>
      </c>
      <c r="C333" s="6" t="s">
        <v>20</v>
      </c>
      <c r="D333" s="6" t="s">
        <v>54</v>
      </c>
      <c r="E333" s="6" t="s">
        <v>46</v>
      </c>
      <c r="F333" s="6" t="s">
        <v>27</v>
      </c>
      <c r="G333" s="6" t="s">
        <v>31</v>
      </c>
      <c r="H333" s="7">
        <v>45256.0</v>
      </c>
      <c r="I333" s="8">
        <v>99.0</v>
      </c>
      <c r="J333" s="8">
        <v>490.71</v>
      </c>
      <c r="K333" s="8">
        <v>375.07</v>
      </c>
      <c r="L333" s="10">
        <f t="shared" si="2"/>
        <v>48580.29</v>
      </c>
      <c r="M333" s="10">
        <f t="shared" si="3"/>
        <v>37131.93</v>
      </c>
      <c r="N333" s="10">
        <f t="shared" si="4"/>
        <v>11448.36</v>
      </c>
      <c r="O333" s="11">
        <f t="shared" si="1"/>
        <v>0.2356585356</v>
      </c>
    </row>
    <row r="334" ht="14.25" customHeight="1">
      <c r="B334" s="6" t="s">
        <v>363</v>
      </c>
      <c r="C334" s="6" t="s">
        <v>25</v>
      </c>
      <c r="D334" s="6" t="s">
        <v>29</v>
      </c>
      <c r="E334" s="6" t="s">
        <v>46</v>
      </c>
      <c r="F334" s="6" t="s">
        <v>17</v>
      </c>
      <c r="G334" s="6" t="s">
        <v>18</v>
      </c>
      <c r="H334" s="7">
        <v>45257.0</v>
      </c>
      <c r="I334" s="8">
        <v>183.0</v>
      </c>
      <c r="J334" s="8">
        <v>240.07</v>
      </c>
      <c r="K334" s="8">
        <v>283.0</v>
      </c>
      <c r="L334" s="10">
        <f t="shared" si="2"/>
        <v>43932.81</v>
      </c>
      <c r="M334" s="10">
        <f t="shared" si="3"/>
        <v>51789</v>
      </c>
      <c r="N334" s="10">
        <f t="shared" si="4"/>
        <v>-7856.19</v>
      </c>
      <c r="O334" s="11">
        <f t="shared" si="1"/>
        <v>-0.1788228433</v>
      </c>
    </row>
    <row r="335" ht="14.25" customHeight="1">
      <c r="B335" s="6" t="s">
        <v>364</v>
      </c>
      <c r="C335" s="6" t="s">
        <v>39</v>
      </c>
      <c r="D335" s="6" t="s">
        <v>21</v>
      </c>
      <c r="E335" s="6" t="s">
        <v>46</v>
      </c>
      <c r="F335" s="6" t="s">
        <v>27</v>
      </c>
      <c r="G335" s="6" t="s">
        <v>23</v>
      </c>
      <c r="H335" s="7">
        <v>45258.0</v>
      </c>
      <c r="I335" s="8">
        <v>131.0</v>
      </c>
      <c r="J335" s="8">
        <v>194.35</v>
      </c>
      <c r="K335" s="8">
        <v>253.21</v>
      </c>
      <c r="L335" s="10">
        <f t="shared" si="2"/>
        <v>25459.85</v>
      </c>
      <c r="M335" s="10">
        <f t="shared" si="3"/>
        <v>33170.51</v>
      </c>
      <c r="N335" s="10">
        <f t="shared" si="4"/>
        <v>-7710.66</v>
      </c>
      <c r="O335" s="11">
        <f t="shared" si="1"/>
        <v>-0.3028556728</v>
      </c>
    </row>
    <row r="336" ht="14.25" customHeight="1">
      <c r="B336" s="6" t="s">
        <v>365</v>
      </c>
      <c r="C336" s="6" t="s">
        <v>20</v>
      </c>
      <c r="D336" s="6" t="s">
        <v>29</v>
      </c>
      <c r="E336" s="6" t="s">
        <v>26</v>
      </c>
      <c r="F336" s="6" t="s">
        <v>27</v>
      </c>
      <c r="G336" s="6" t="s">
        <v>23</v>
      </c>
      <c r="H336" s="7">
        <v>45259.0</v>
      </c>
      <c r="I336" s="8">
        <v>152.0</v>
      </c>
      <c r="J336" s="8">
        <v>64.32</v>
      </c>
      <c r="K336" s="8">
        <v>21.84</v>
      </c>
      <c r="L336" s="10">
        <f t="shared" si="2"/>
        <v>9776.64</v>
      </c>
      <c r="M336" s="10">
        <f t="shared" si="3"/>
        <v>3319.68</v>
      </c>
      <c r="N336" s="10">
        <f t="shared" si="4"/>
        <v>6456.96</v>
      </c>
      <c r="O336" s="11">
        <f t="shared" si="1"/>
        <v>0.6604477612</v>
      </c>
    </row>
    <row r="337" ht="14.25" customHeight="1">
      <c r="B337" s="6" t="s">
        <v>366</v>
      </c>
      <c r="C337" s="6" t="s">
        <v>14</v>
      </c>
      <c r="D337" s="6" t="s">
        <v>34</v>
      </c>
      <c r="E337" s="6" t="s">
        <v>26</v>
      </c>
      <c r="F337" s="6" t="s">
        <v>27</v>
      </c>
      <c r="G337" s="6" t="s">
        <v>31</v>
      </c>
      <c r="H337" s="7">
        <v>45260.0</v>
      </c>
      <c r="I337" s="8">
        <v>491.0</v>
      </c>
      <c r="J337" s="8">
        <v>487.21</v>
      </c>
      <c r="K337" s="8">
        <v>361.76</v>
      </c>
      <c r="L337" s="10">
        <f t="shared" si="2"/>
        <v>239220.11</v>
      </c>
      <c r="M337" s="10">
        <f t="shared" si="3"/>
        <v>177624.16</v>
      </c>
      <c r="N337" s="10">
        <f t="shared" si="4"/>
        <v>61595.95</v>
      </c>
      <c r="O337" s="11">
        <f t="shared" si="1"/>
        <v>0.2574865048</v>
      </c>
    </row>
    <row r="338" ht="14.25" customHeight="1">
      <c r="B338" s="6" t="s">
        <v>367</v>
      </c>
      <c r="C338" s="6" t="s">
        <v>52</v>
      </c>
      <c r="D338" s="6" t="s">
        <v>29</v>
      </c>
      <c r="E338" s="6" t="s">
        <v>46</v>
      </c>
      <c r="F338" s="6" t="s">
        <v>17</v>
      </c>
      <c r="G338" s="6" t="s">
        <v>18</v>
      </c>
      <c r="H338" s="7">
        <v>45261.0</v>
      </c>
      <c r="I338" s="8">
        <v>115.0</v>
      </c>
      <c r="J338" s="8">
        <v>14.91</v>
      </c>
      <c r="K338" s="8">
        <v>363.94</v>
      </c>
      <c r="L338" s="10">
        <f t="shared" si="2"/>
        <v>1714.65</v>
      </c>
      <c r="M338" s="10">
        <f t="shared" si="3"/>
        <v>41853.1</v>
      </c>
      <c r="N338" s="10">
        <f t="shared" si="4"/>
        <v>-40138.45</v>
      </c>
      <c r="O338" s="11">
        <f t="shared" si="1"/>
        <v>-23.4091214</v>
      </c>
    </row>
    <row r="339" ht="14.25" customHeight="1">
      <c r="B339" s="6" t="s">
        <v>368</v>
      </c>
      <c r="C339" s="6" t="s">
        <v>20</v>
      </c>
      <c r="D339" s="6" t="s">
        <v>29</v>
      </c>
      <c r="E339" s="6" t="s">
        <v>16</v>
      </c>
      <c r="F339" s="6" t="s">
        <v>27</v>
      </c>
      <c r="G339" s="6" t="s">
        <v>18</v>
      </c>
      <c r="H339" s="7">
        <v>45262.0</v>
      </c>
      <c r="I339" s="8">
        <v>384.0</v>
      </c>
      <c r="J339" s="8">
        <v>369.9</v>
      </c>
      <c r="K339" s="8">
        <v>312.52</v>
      </c>
      <c r="L339" s="10">
        <f t="shared" si="2"/>
        <v>142041.6</v>
      </c>
      <c r="M339" s="10">
        <f t="shared" si="3"/>
        <v>120007.68</v>
      </c>
      <c r="N339" s="10">
        <f t="shared" si="4"/>
        <v>22033.92</v>
      </c>
      <c r="O339" s="11">
        <f t="shared" si="1"/>
        <v>0.1551230062</v>
      </c>
    </row>
    <row r="340" ht="14.25" customHeight="1">
      <c r="B340" s="6" t="s">
        <v>369</v>
      </c>
      <c r="C340" s="6" t="s">
        <v>25</v>
      </c>
      <c r="D340" s="6" t="s">
        <v>54</v>
      </c>
      <c r="E340" s="6" t="s">
        <v>22</v>
      </c>
      <c r="F340" s="6" t="s">
        <v>17</v>
      </c>
      <c r="G340" s="6" t="s">
        <v>23</v>
      </c>
      <c r="H340" s="7">
        <v>45263.0</v>
      </c>
      <c r="I340" s="8">
        <v>437.0</v>
      </c>
      <c r="J340" s="8">
        <v>385.46</v>
      </c>
      <c r="K340" s="8">
        <v>4.8</v>
      </c>
      <c r="L340" s="10">
        <f t="shared" si="2"/>
        <v>168446.02</v>
      </c>
      <c r="M340" s="10">
        <f t="shared" si="3"/>
        <v>2097.6</v>
      </c>
      <c r="N340" s="10">
        <f t="shared" si="4"/>
        <v>166348.42</v>
      </c>
      <c r="O340" s="11">
        <f t="shared" si="1"/>
        <v>0.987547346</v>
      </c>
    </row>
    <row r="341" ht="14.25" customHeight="1">
      <c r="B341" s="6" t="s">
        <v>370</v>
      </c>
      <c r="C341" s="6" t="s">
        <v>14</v>
      </c>
      <c r="D341" s="6" t="s">
        <v>54</v>
      </c>
      <c r="E341" s="6" t="s">
        <v>22</v>
      </c>
      <c r="F341" s="6" t="s">
        <v>27</v>
      </c>
      <c r="G341" s="6" t="s">
        <v>18</v>
      </c>
      <c r="H341" s="7">
        <v>45264.0</v>
      </c>
      <c r="I341" s="8">
        <v>314.0</v>
      </c>
      <c r="J341" s="8">
        <v>125.61</v>
      </c>
      <c r="K341" s="8">
        <v>24.8</v>
      </c>
      <c r="L341" s="10">
        <f t="shared" si="2"/>
        <v>39441.54</v>
      </c>
      <c r="M341" s="10">
        <f t="shared" si="3"/>
        <v>7787.2</v>
      </c>
      <c r="N341" s="10">
        <f t="shared" si="4"/>
        <v>31654.34</v>
      </c>
      <c r="O341" s="11">
        <f t="shared" si="1"/>
        <v>0.8025634902</v>
      </c>
    </row>
    <row r="342" ht="14.25" customHeight="1">
      <c r="B342" s="6" t="s">
        <v>371</v>
      </c>
      <c r="C342" s="6" t="s">
        <v>20</v>
      </c>
      <c r="D342" s="6" t="s">
        <v>54</v>
      </c>
      <c r="E342" s="6" t="s">
        <v>30</v>
      </c>
      <c r="F342" s="6" t="s">
        <v>17</v>
      </c>
      <c r="G342" s="6" t="s">
        <v>18</v>
      </c>
      <c r="H342" s="7">
        <v>45265.0</v>
      </c>
      <c r="I342" s="8">
        <v>369.0</v>
      </c>
      <c r="J342" s="8">
        <v>337.42</v>
      </c>
      <c r="K342" s="8">
        <v>91.64</v>
      </c>
      <c r="L342" s="10">
        <f t="shared" si="2"/>
        <v>124507.98</v>
      </c>
      <c r="M342" s="10">
        <f t="shared" si="3"/>
        <v>33815.16</v>
      </c>
      <c r="N342" s="10">
        <f t="shared" si="4"/>
        <v>90692.82</v>
      </c>
      <c r="O342" s="11">
        <f t="shared" si="1"/>
        <v>0.7284096971</v>
      </c>
    </row>
    <row r="343" ht="14.25" customHeight="1">
      <c r="B343" s="6" t="s">
        <v>372</v>
      </c>
      <c r="C343" s="6" t="s">
        <v>20</v>
      </c>
      <c r="D343" s="6" t="s">
        <v>34</v>
      </c>
      <c r="E343" s="6" t="s">
        <v>16</v>
      </c>
      <c r="F343" s="6" t="s">
        <v>17</v>
      </c>
      <c r="G343" s="6" t="s">
        <v>31</v>
      </c>
      <c r="H343" s="7">
        <v>45266.0</v>
      </c>
      <c r="I343" s="8">
        <v>468.0</v>
      </c>
      <c r="J343" s="8">
        <v>51.0</v>
      </c>
      <c r="K343" s="8">
        <v>54.28</v>
      </c>
      <c r="L343" s="10">
        <f t="shared" si="2"/>
        <v>23868</v>
      </c>
      <c r="M343" s="10">
        <f t="shared" si="3"/>
        <v>25403.04</v>
      </c>
      <c r="N343" s="10">
        <f t="shared" si="4"/>
        <v>-1535.04</v>
      </c>
      <c r="O343" s="11">
        <f t="shared" si="1"/>
        <v>-0.06431372549</v>
      </c>
    </row>
    <row r="344" ht="14.25" customHeight="1">
      <c r="B344" s="6" t="s">
        <v>373</v>
      </c>
      <c r="C344" s="6" t="s">
        <v>14</v>
      </c>
      <c r="D344" s="6" t="s">
        <v>54</v>
      </c>
      <c r="E344" s="6" t="s">
        <v>26</v>
      </c>
      <c r="F344" s="6" t="s">
        <v>27</v>
      </c>
      <c r="G344" s="6" t="s">
        <v>18</v>
      </c>
      <c r="H344" s="7">
        <v>45267.0</v>
      </c>
      <c r="I344" s="8">
        <v>326.0</v>
      </c>
      <c r="J344" s="8">
        <v>132.24</v>
      </c>
      <c r="K344" s="8">
        <v>160.74</v>
      </c>
      <c r="L344" s="10">
        <f t="shared" si="2"/>
        <v>43110.24</v>
      </c>
      <c r="M344" s="10">
        <f t="shared" si="3"/>
        <v>52401.24</v>
      </c>
      <c r="N344" s="10">
        <f t="shared" si="4"/>
        <v>-9291</v>
      </c>
      <c r="O344" s="11">
        <f t="shared" si="1"/>
        <v>-0.2155172414</v>
      </c>
    </row>
    <row r="345" ht="14.25" customHeight="1">
      <c r="B345" s="6" t="s">
        <v>374</v>
      </c>
      <c r="C345" s="6" t="s">
        <v>20</v>
      </c>
      <c r="D345" s="6" t="s">
        <v>21</v>
      </c>
      <c r="E345" s="6" t="s">
        <v>46</v>
      </c>
      <c r="F345" s="6" t="s">
        <v>27</v>
      </c>
      <c r="G345" s="6" t="s">
        <v>31</v>
      </c>
      <c r="H345" s="7">
        <v>45268.0</v>
      </c>
      <c r="I345" s="8">
        <v>460.0</v>
      </c>
      <c r="J345" s="8">
        <v>395.01</v>
      </c>
      <c r="K345" s="8">
        <v>369.2</v>
      </c>
      <c r="L345" s="10">
        <f t="shared" si="2"/>
        <v>181704.6</v>
      </c>
      <c r="M345" s="10">
        <f t="shared" si="3"/>
        <v>169832</v>
      </c>
      <c r="N345" s="10">
        <f t="shared" si="4"/>
        <v>11872.6</v>
      </c>
      <c r="O345" s="11">
        <f t="shared" si="1"/>
        <v>0.06534011797</v>
      </c>
    </row>
    <row r="346" ht="14.25" customHeight="1">
      <c r="B346" s="6" t="s">
        <v>375</v>
      </c>
      <c r="C346" s="6" t="s">
        <v>14</v>
      </c>
      <c r="D346" s="6" t="s">
        <v>15</v>
      </c>
      <c r="E346" s="6" t="s">
        <v>30</v>
      </c>
      <c r="F346" s="6" t="s">
        <v>17</v>
      </c>
      <c r="G346" s="6" t="s">
        <v>23</v>
      </c>
      <c r="H346" s="7">
        <v>45269.0</v>
      </c>
      <c r="I346" s="8">
        <v>132.0</v>
      </c>
      <c r="J346" s="8">
        <v>433.02</v>
      </c>
      <c r="K346" s="8">
        <v>189.88</v>
      </c>
      <c r="L346" s="10">
        <f t="shared" si="2"/>
        <v>57158.64</v>
      </c>
      <c r="M346" s="10">
        <f t="shared" si="3"/>
        <v>25064.16</v>
      </c>
      <c r="N346" s="10">
        <f t="shared" si="4"/>
        <v>32094.48</v>
      </c>
      <c r="O346" s="11">
        <f t="shared" si="1"/>
        <v>0.5614983142</v>
      </c>
    </row>
    <row r="347" ht="14.25" customHeight="1">
      <c r="B347" s="6" t="s">
        <v>376</v>
      </c>
      <c r="C347" s="6" t="s">
        <v>52</v>
      </c>
      <c r="D347" s="6" t="s">
        <v>21</v>
      </c>
      <c r="E347" s="6" t="s">
        <v>22</v>
      </c>
      <c r="F347" s="6" t="s">
        <v>27</v>
      </c>
      <c r="G347" s="6" t="s">
        <v>18</v>
      </c>
      <c r="H347" s="7">
        <v>45270.0</v>
      </c>
      <c r="I347" s="8">
        <v>399.0</v>
      </c>
      <c r="J347" s="8">
        <v>306.2</v>
      </c>
      <c r="K347" s="8">
        <v>7.33</v>
      </c>
      <c r="L347" s="10">
        <f t="shared" si="2"/>
        <v>122173.8</v>
      </c>
      <c r="M347" s="10">
        <f t="shared" si="3"/>
        <v>2924.67</v>
      </c>
      <c r="N347" s="10">
        <f t="shared" si="4"/>
        <v>119249.13</v>
      </c>
      <c r="O347" s="11">
        <f t="shared" si="1"/>
        <v>0.9760613978</v>
      </c>
    </row>
    <row r="348" ht="14.25" customHeight="1">
      <c r="B348" s="6" t="s">
        <v>377</v>
      </c>
      <c r="C348" s="6" t="s">
        <v>14</v>
      </c>
      <c r="D348" s="6" t="s">
        <v>21</v>
      </c>
      <c r="E348" s="6" t="s">
        <v>26</v>
      </c>
      <c r="F348" s="6" t="s">
        <v>17</v>
      </c>
      <c r="G348" s="6" t="s">
        <v>23</v>
      </c>
      <c r="H348" s="7">
        <v>45271.0</v>
      </c>
      <c r="I348" s="8">
        <v>18.0</v>
      </c>
      <c r="J348" s="8">
        <v>255.89</v>
      </c>
      <c r="K348" s="8">
        <v>114.53</v>
      </c>
      <c r="L348" s="10">
        <f t="shared" si="2"/>
        <v>4606.02</v>
      </c>
      <c r="M348" s="10">
        <f t="shared" si="3"/>
        <v>2061.54</v>
      </c>
      <c r="N348" s="10">
        <f t="shared" si="4"/>
        <v>2544.48</v>
      </c>
      <c r="O348" s="11">
        <f t="shared" si="1"/>
        <v>0.5524248701</v>
      </c>
    </row>
    <row r="349" ht="14.25" customHeight="1">
      <c r="B349" s="6" t="s">
        <v>378</v>
      </c>
      <c r="C349" s="6" t="s">
        <v>14</v>
      </c>
      <c r="D349" s="6" t="s">
        <v>54</v>
      </c>
      <c r="E349" s="6" t="s">
        <v>26</v>
      </c>
      <c r="F349" s="6" t="s">
        <v>17</v>
      </c>
      <c r="G349" s="6" t="s">
        <v>23</v>
      </c>
      <c r="H349" s="7">
        <v>45272.0</v>
      </c>
      <c r="I349" s="8">
        <v>271.0</v>
      </c>
      <c r="J349" s="8">
        <v>83.86</v>
      </c>
      <c r="K349" s="8">
        <v>19.75</v>
      </c>
      <c r="L349" s="10">
        <f t="shared" si="2"/>
        <v>22726.06</v>
      </c>
      <c r="M349" s="10">
        <f t="shared" si="3"/>
        <v>5352.25</v>
      </c>
      <c r="N349" s="10">
        <f t="shared" si="4"/>
        <v>17373.81</v>
      </c>
      <c r="O349" s="11">
        <f t="shared" si="1"/>
        <v>0.7644884331</v>
      </c>
    </row>
    <row r="350" ht="14.25" customHeight="1">
      <c r="B350" s="6" t="s">
        <v>379</v>
      </c>
      <c r="C350" s="6" t="s">
        <v>39</v>
      </c>
      <c r="D350" s="6" t="s">
        <v>15</v>
      </c>
      <c r="E350" s="6" t="s">
        <v>46</v>
      </c>
      <c r="F350" s="6" t="s">
        <v>17</v>
      </c>
      <c r="G350" s="6" t="s">
        <v>18</v>
      </c>
      <c r="H350" s="7">
        <v>45273.0</v>
      </c>
      <c r="I350" s="8">
        <v>82.0</v>
      </c>
      <c r="J350" s="8">
        <v>36.24</v>
      </c>
      <c r="K350" s="8">
        <v>16.44</v>
      </c>
      <c r="L350" s="10">
        <f t="shared" si="2"/>
        <v>2971.68</v>
      </c>
      <c r="M350" s="10">
        <f t="shared" si="3"/>
        <v>1348.08</v>
      </c>
      <c r="N350" s="10">
        <f t="shared" si="4"/>
        <v>1623.6</v>
      </c>
      <c r="O350" s="11">
        <f t="shared" si="1"/>
        <v>0.5463576159</v>
      </c>
    </row>
    <row r="351" ht="14.25" customHeight="1">
      <c r="B351" s="6" t="s">
        <v>380</v>
      </c>
      <c r="C351" s="6" t="s">
        <v>20</v>
      </c>
      <c r="D351" s="6" t="s">
        <v>15</v>
      </c>
      <c r="E351" s="6" t="s">
        <v>22</v>
      </c>
      <c r="F351" s="6" t="s">
        <v>17</v>
      </c>
      <c r="G351" s="6" t="s">
        <v>18</v>
      </c>
      <c r="H351" s="7">
        <v>45274.0</v>
      </c>
      <c r="I351" s="8">
        <v>368.0</v>
      </c>
      <c r="J351" s="8">
        <v>63.24</v>
      </c>
      <c r="K351" s="8">
        <v>111.74</v>
      </c>
      <c r="L351" s="10">
        <f t="shared" si="2"/>
        <v>23272.32</v>
      </c>
      <c r="M351" s="10">
        <f t="shared" si="3"/>
        <v>41120.32</v>
      </c>
      <c r="N351" s="10">
        <f t="shared" si="4"/>
        <v>-17848</v>
      </c>
      <c r="O351" s="11">
        <f t="shared" si="1"/>
        <v>-0.7669196711</v>
      </c>
    </row>
    <row r="352" ht="14.25" customHeight="1">
      <c r="B352" s="6" t="s">
        <v>381</v>
      </c>
      <c r="C352" s="6" t="s">
        <v>20</v>
      </c>
      <c r="D352" s="6" t="s">
        <v>15</v>
      </c>
      <c r="E352" s="6" t="s">
        <v>16</v>
      </c>
      <c r="F352" s="6" t="s">
        <v>17</v>
      </c>
      <c r="G352" s="6" t="s">
        <v>23</v>
      </c>
      <c r="H352" s="7">
        <v>45275.0</v>
      </c>
      <c r="I352" s="8">
        <v>232.0</v>
      </c>
      <c r="J352" s="8">
        <v>117.54</v>
      </c>
      <c r="K352" s="8">
        <v>111.69</v>
      </c>
      <c r="L352" s="10">
        <f t="shared" si="2"/>
        <v>27269.28</v>
      </c>
      <c r="M352" s="10">
        <f t="shared" si="3"/>
        <v>25912.08</v>
      </c>
      <c r="N352" s="10">
        <f t="shared" si="4"/>
        <v>1357.2</v>
      </c>
      <c r="O352" s="11">
        <f t="shared" si="1"/>
        <v>0.04977029096</v>
      </c>
    </row>
    <row r="353" ht="14.25" customHeight="1">
      <c r="B353" s="6" t="s">
        <v>382</v>
      </c>
      <c r="C353" s="6" t="s">
        <v>14</v>
      </c>
      <c r="D353" s="6" t="s">
        <v>34</v>
      </c>
      <c r="E353" s="6" t="s">
        <v>26</v>
      </c>
      <c r="F353" s="6" t="s">
        <v>27</v>
      </c>
      <c r="G353" s="6" t="s">
        <v>18</v>
      </c>
      <c r="H353" s="7">
        <v>45276.0</v>
      </c>
      <c r="I353" s="8">
        <v>425.0</v>
      </c>
      <c r="J353" s="8">
        <v>174.13</v>
      </c>
      <c r="K353" s="8">
        <v>315.28</v>
      </c>
      <c r="L353" s="10">
        <f t="shared" si="2"/>
        <v>74005.25</v>
      </c>
      <c r="M353" s="10">
        <f t="shared" si="3"/>
        <v>133994</v>
      </c>
      <c r="N353" s="10">
        <f t="shared" si="4"/>
        <v>-59988.75</v>
      </c>
      <c r="O353" s="11">
        <f t="shared" si="1"/>
        <v>-0.8106012749</v>
      </c>
    </row>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6.13"/>
    <col customWidth="1" min="3" max="3" width="15.0"/>
    <col customWidth="1" min="4" max="4" width="15.75"/>
    <col customWidth="1" min="5" max="5" width="16.75"/>
    <col customWidth="1" min="6" max="6" width="21.25"/>
    <col customWidth="1" min="7" max="7" width="20.63"/>
    <col customWidth="1" min="8" max="8" width="18.25"/>
    <col customWidth="1" min="9" max="9" width="17.75"/>
    <col customWidth="1" min="10" max="10" width="17.25"/>
    <col customWidth="1" min="11" max="11" width="16.88"/>
    <col customWidth="1" min="12" max="12" width="21.13"/>
    <col customWidth="1" min="13" max="13" width="17.63"/>
    <col customWidth="1" min="14" max="14" width="18.25"/>
    <col customWidth="1" min="15" max="15" width="20.0"/>
  </cols>
  <sheetData>
    <row r="1">
      <c r="J1" s="12"/>
      <c r="K1" s="12"/>
      <c r="L1" s="12"/>
      <c r="M1" s="12"/>
      <c r="N1" s="12"/>
    </row>
    <row r="2">
      <c r="J2" s="12"/>
      <c r="K2" s="12"/>
      <c r="L2" s="12"/>
      <c r="M2" s="12"/>
      <c r="N2" s="12"/>
    </row>
    <row r="3" ht="22.5" customHeight="1">
      <c r="A3" s="13"/>
      <c r="B3" s="14" t="s">
        <v>0</v>
      </c>
      <c r="C3" s="14" t="s">
        <v>1</v>
      </c>
      <c r="D3" s="14" t="s">
        <v>2</v>
      </c>
      <c r="E3" s="14" t="s">
        <v>3</v>
      </c>
      <c r="F3" s="14" t="s">
        <v>4</v>
      </c>
      <c r="G3" s="14" t="s">
        <v>5</v>
      </c>
      <c r="H3" s="14" t="s">
        <v>6</v>
      </c>
      <c r="I3" s="14" t="s">
        <v>7</v>
      </c>
      <c r="J3" s="15" t="s">
        <v>8</v>
      </c>
      <c r="K3" s="15" t="s">
        <v>9</v>
      </c>
      <c r="L3" s="15" t="s">
        <v>10</v>
      </c>
      <c r="M3" s="15" t="s">
        <v>11</v>
      </c>
      <c r="N3" s="15" t="s">
        <v>12</v>
      </c>
      <c r="O3" s="14" t="s">
        <v>383</v>
      </c>
    </row>
    <row r="4" ht="22.5" customHeight="1">
      <c r="B4" s="16" t="s">
        <v>13</v>
      </c>
      <c r="C4" s="16" t="s">
        <v>14</v>
      </c>
      <c r="D4" s="16" t="s">
        <v>15</v>
      </c>
      <c r="E4" s="16" t="s">
        <v>16</v>
      </c>
      <c r="F4" s="16" t="s">
        <v>17</v>
      </c>
      <c r="G4" s="16" t="s">
        <v>18</v>
      </c>
      <c r="H4" s="17">
        <v>44927.0</v>
      </c>
      <c r="I4" s="18">
        <v>235.0</v>
      </c>
      <c r="J4" s="19">
        <v>152.92</v>
      </c>
      <c r="K4" s="19">
        <v>153.6</v>
      </c>
      <c r="L4" s="19">
        <v>35936.2</v>
      </c>
      <c r="M4" s="19">
        <v>36096.0</v>
      </c>
      <c r="N4" s="19">
        <v>-159.8000000000029</v>
      </c>
      <c r="O4" s="20">
        <v>-0.00444676955270738</v>
      </c>
    </row>
    <row r="5" ht="22.5" customHeight="1">
      <c r="B5" s="16" t="s">
        <v>19</v>
      </c>
      <c r="C5" s="16" t="s">
        <v>20</v>
      </c>
      <c r="D5" s="16" t="s">
        <v>21</v>
      </c>
      <c r="E5" s="16" t="s">
        <v>22</v>
      </c>
      <c r="F5" s="16" t="s">
        <v>17</v>
      </c>
      <c r="G5" s="16" t="s">
        <v>23</v>
      </c>
      <c r="H5" s="17">
        <v>44928.0</v>
      </c>
      <c r="I5" s="18">
        <v>341.0</v>
      </c>
      <c r="J5" s="19">
        <v>467.92</v>
      </c>
      <c r="K5" s="19">
        <v>139.84</v>
      </c>
      <c r="L5" s="19">
        <v>159560.72</v>
      </c>
      <c r="M5" s="19">
        <v>47685.44</v>
      </c>
      <c r="N5" s="19">
        <v>111875.28</v>
      </c>
      <c r="O5" s="20">
        <v>0.7011454949564028</v>
      </c>
    </row>
    <row r="6" ht="22.5" customHeight="1">
      <c r="B6" s="16" t="s">
        <v>24</v>
      </c>
      <c r="C6" s="16" t="s">
        <v>25</v>
      </c>
      <c r="D6" s="16" t="s">
        <v>21</v>
      </c>
      <c r="E6" s="16" t="s">
        <v>26</v>
      </c>
      <c r="F6" s="16" t="s">
        <v>27</v>
      </c>
      <c r="G6" s="16" t="s">
        <v>18</v>
      </c>
      <c r="H6" s="17">
        <v>44929.0</v>
      </c>
      <c r="I6" s="18">
        <v>179.0</v>
      </c>
      <c r="J6" s="19">
        <v>473.94</v>
      </c>
      <c r="K6" s="19">
        <v>97.14</v>
      </c>
      <c r="L6" s="19">
        <v>84835.26</v>
      </c>
      <c r="M6" s="19">
        <v>17388.06</v>
      </c>
      <c r="N6" s="19">
        <v>67447.2</v>
      </c>
      <c r="O6" s="20">
        <v>0.7950373464995569</v>
      </c>
    </row>
    <row r="7" ht="22.5" customHeight="1">
      <c r="B7" s="16" t="s">
        <v>28</v>
      </c>
      <c r="C7" s="16" t="s">
        <v>14</v>
      </c>
      <c r="D7" s="16" t="s">
        <v>29</v>
      </c>
      <c r="E7" s="16" t="s">
        <v>30</v>
      </c>
      <c r="F7" s="16" t="s">
        <v>27</v>
      </c>
      <c r="G7" s="16" t="s">
        <v>31</v>
      </c>
      <c r="H7" s="17">
        <v>44930.0</v>
      </c>
      <c r="I7" s="18">
        <v>18.0</v>
      </c>
      <c r="J7" s="19">
        <v>314.53</v>
      </c>
      <c r="K7" s="19">
        <v>204.87</v>
      </c>
      <c r="L7" s="19">
        <v>5661.539999999999</v>
      </c>
      <c r="M7" s="19">
        <v>3687.66</v>
      </c>
      <c r="N7" s="19">
        <v>1973.8799999999992</v>
      </c>
      <c r="O7" s="20">
        <v>0.3486471878676119</v>
      </c>
    </row>
    <row r="8" ht="22.5" customHeight="1">
      <c r="B8" s="16" t="s">
        <v>32</v>
      </c>
      <c r="C8" s="16" t="s">
        <v>14</v>
      </c>
      <c r="D8" s="16" t="s">
        <v>21</v>
      </c>
      <c r="E8" s="16" t="s">
        <v>30</v>
      </c>
      <c r="F8" s="16" t="s">
        <v>27</v>
      </c>
      <c r="G8" s="16" t="s">
        <v>31</v>
      </c>
      <c r="H8" s="17">
        <v>44931.0</v>
      </c>
      <c r="I8" s="18">
        <v>472.0</v>
      </c>
      <c r="J8" s="19">
        <v>392.79</v>
      </c>
      <c r="K8" s="19">
        <v>330.46</v>
      </c>
      <c r="L8" s="19">
        <v>185396.88</v>
      </c>
      <c r="M8" s="19">
        <v>155977.12</v>
      </c>
      <c r="N8" s="19">
        <v>29419.76000000001</v>
      </c>
      <c r="O8" s="20">
        <v>0.15868530257898628</v>
      </c>
    </row>
    <row r="9" ht="22.5" customHeight="1">
      <c r="B9" s="16" t="s">
        <v>33</v>
      </c>
      <c r="C9" s="16" t="s">
        <v>20</v>
      </c>
      <c r="D9" s="16" t="s">
        <v>34</v>
      </c>
      <c r="E9" s="16" t="s">
        <v>26</v>
      </c>
      <c r="F9" s="16" t="s">
        <v>17</v>
      </c>
      <c r="G9" s="16" t="s">
        <v>18</v>
      </c>
      <c r="H9" s="17">
        <v>44932.0</v>
      </c>
      <c r="I9" s="18">
        <v>49.0</v>
      </c>
      <c r="J9" s="19">
        <v>308.07</v>
      </c>
      <c r="K9" s="19">
        <v>113.32</v>
      </c>
      <c r="L9" s="19">
        <v>15095.43</v>
      </c>
      <c r="M9" s="19">
        <v>5552.679999999999</v>
      </c>
      <c r="N9" s="19">
        <v>9542.75</v>
      </c>
      <c r="O9" s="20">
        <v>0.6321615217320739</v>
      </c>
    </row>
    <row r="10" ht="22.5" customHeight="1">
      <c r="B10" s="16" t="s">
        <v>35</v>
      </c>
      <c r="C10" s="16" t="s">
        <v>25</v>
      </c>
      <c r="D10" s="16" t="s">
        <v>15</v>
      </c>
      <c r="E10" s="16" t="s">
        <v>26</v>
      </c>
      <c r="F10" s="16" t="s">
        <v>17</v>
      </c>
      <c r="G10" s="16" t="s">
        <v>23</v>
      </c>
      <c r="H10" s="17">
        <v>44933.0</v>
      </c>
      <c r="I10" s="18">
        <v>34.0</v>
      </c>
      <c r="J10" s="19">
        <v>244.78</v>
      </c>
      <c r="K10" s="19">
        <v>377.07</v>
      </c>
      <c r="L10" s="19">
        <v>8322.52</v>
      </c>
      <c r="M10" s="19">
        <v>12820.38</v>
      </c>
      <c r="N10" s="19">
        <v>-4497.859999999999</v>
      </c>
      <c r="O10" s="20">
        <v>-0.5404444807582317</v>
      </c>
    </row>
    <row r="11" ht="22.5" customHeight="1">
      <c r="B11" s="16" t="s">
        <v>36</v>
      </c>
      <c r="C11" s="16" t="s">
        <v>25</v>
      </c>
      <c r="D11" s="16" t="s">
        <v>21</v>
      </c>
      <c r="E11" s="16" t="s">
        <v>16</v>
      </c>
      <c r="F11" s="16" t="s">
        <v>17</v>
      </c>
      <c r="G11" s="16" t="s">
        <v>18</v>
      </c>
      <c r="H11" s="17">
        <v>44934.0</v>
      </c>
      <c r="I11" s="18">
        <v>270.0</v>
      </c>
      <c r="J11" s="19">
        <v>332.11</v>
      </c>
      <c r="K11" s="19">
        <v>349.59</v>
      </c>
      <c r="L11" s="19">
        <v>89669.7</v>
      </c>
      <c r="M11" s="19">
        <v>94389.29999999999</v>
      </c>
      <c r="N11" s="19">
        <v>-4719.599999999991</v>
      </c>
      <c r="O11" s="20">
        <v>-0.05263316371081861</v>
      </c>
    </row>
    <row r="12" ht="22.5" customHeight="1">
      <c r="B12" s="16" t="s">
        <v>37</v>
      </c>
      <c r="C12" s="16" t="s">
        <v>14</v>
      </c>
      <c r="D12" s="16" t="s">
        <v>21</v>
      </c>
      <c r="E12" s="16" t="s">
        <v>16</v>
      </c>
      <c r="F12" s="16" t="s">
        <v>17</v>
      </c>
      <c r="G12" s="16" t="s">
        <v>23</v>
      </c>
      <c r="H12" s="17">
        <v>44935.0</v>
      </c>
      <c r="I12" s="18">
        <v>404.0</v>
      </c>
      <c r="J12" s="19">
        <v>278.74</v>
      </c>
      <c r="K12" s="19">
        <v>66.38</v>
      </c>
      <c r="L12" s="19">
        <v>112610.96</v>
      </c>
      <c r="M12" s="19">
        <v>26817.519999999997</v>
      </c>
      <c r="N12" s="19">
        <v>85793.44</v>
      </c>
      <c r="O12" s="20">
        <v>0.7618569276027839</v>
      </c>
    </row>
    <row r="13" ht="22.5" customHeight="1">
      <c r="B13" s="16" t="s">
        <v>38</v>
      </c>
      <c r="C13" s="16" t="s">
        <v>39</v>
      </c>
      <c r="D13" s="16" t="s">
        <v>29</v>
      </c>
      <c r="E13" s="16" t="s">
        <v>30</v>
      </c>
      <c r="F13" s="16" t="s">
        <v>17</v>
      </c>
      <c r="G13" s="16" t="s">
        <v>31</v>
      </c>
      <c r="H13" s="17">
        <v>44936.0</v>
      </c>
      <c r="I13" s="18">
        <v>452.0</v>
      </c>
      <c r="J13" s="19">
        <v>300.75</v>
      </c>
      <c r="K13" s="19">
        <v>314.94</v>
      </c>
      <c r="L13" s="19">
        <v>135939.0</v>
      </c>
      <c r="M13" s="19">
        <v>142352.88</v>
      </c>
      <c r="N13" s="19">
        <v>-6413.880000000005</v>
      </c>
      <c r="O13" s="20">
        <v>-0.047182044887780585</v>
      </c>
    </row>
    <row r="14" ht="22.5" customHeight="1">
      <c r="B14" s="16" t="s">
        <v>40</v>
      </c>
      <c r="C14" s="16" t="s">
        <v>14</v>
      </c>
      <c r="D14" s="16" t="s">
        <v>29</v>
      </c>
      <c r="E14" s="16" t="s">
        <v>22</v>
      </c>
      <c r="F14" s="16" t="s">
        <v>17</v>
      </c>
      <c r="G14" s="16" t="s">
        <v>23</v>
      </c>
      <c r="H14" s="17">
        <v>44937.0</v>
      </c>
      <c r="I14" s="18">
        <v>235.0</v>
      </c>
      <c r="J14" s="19">
        <v>393.0</v>
      </c>
      <c r="K14" s="19">
        <v>230.69</v>
      </c>
      <c r="L14" s="19">
        <v>92355.0</v>
      </c>
      <c r="M14" s="19">
        <v>54212.15</v>
      </c>
      <c r="N14" s="19">
        <v>38142.85</v>
      </c>
      <c r="O14" s="20">
        <v>0.41300254452926205</v>
      </c>
    </row>
    <row r="15" ht="22.5" customHeight="1">
      <c r="B15" s="16" t="s">
        <v>41</v>
      </c>
      <c r="C15" s="16" t="s">
        <v>14</v>
      </c>
      <c r="D15" s="16" t="s">
        <v>34</v>
      </c>
      <c r="E15" s="16" t="s">
        <v>30</v>
      </c>
      <c r="F15" s="16" t="s">
        <v>27</v>
      </c>
      <c r="G15" s="16" t="s">
        <v>31</v>
      </c>
      <c r="H15" s="17">
        <v>44938.0</v>
      </c>
      <c r="I15" s="18">
        <v>481.0</v>
      </c>
      <c r="J15" s="19">
        <v>243.05</v>
      </c>
      <c r="K15" s="19">
        <v>227.5</v>
      </c>
      <c r="L15" s="19">
        <v>116907.05</v>
      </c>
      <c r="M15" s="19">
        <v>109427.5</v>
      </c>
      <c r="N15" s="19">
        <v>7479.550000000003</v>
      </c>
      <c r="O15" s="20">
        <v>0.06397860522526232</v>
      </c>
    </row>
    <row r="16" ht="22.5" customHeight="1">
      <c r="B16" s="16" t="s">
        <v>42</v>
      </c>
      <c r="C16" s="16" t="s">
        <v>14</v>
      </c>
      <c r="D16" s="16" t="s">
        <v>15</v>
      </c>
      <c r="E16" s="16" t="s">
        <v>22</v>
      </c>
      <c r="F16" s="16" t="s">
        <v>27</v>
      </c>
      <c r="G16" s="16" t="s">
        <v>23</v>
      </c>
      <c r="H16" s="17">
        <v>44939.0</v>
      </c>
      <c r="I16" s="18">
        <v>133.0</v>
      </c>
      <c r="J16" s="19">
        <v>25.17</v>
      </c>
      <c r="K16" s="19">
        <v>157.64</v>
      </c>
      <c r="L16" s="19">
        <v>3347.61</v>
      </c>
      <c r="M16" s="19">
        <v>20966.12</v>
      </c>
      <c r="N16" s="19">
        <v>-17618.51</v>
      </c>
      <c r="O16" s="20">
        <v>-5.263011521652761</v>
      </c>
    </row>
    <row r="17" ht="22.5" customHeight="1">
      <c r="B17" s="16" t="s">
        <v>43</v>
      </c>
      <c r="C17" s="16" t="s">
        <v>14</v>
      </c>
      <c r="D17" s="16" t="s">
        <v>29</v>
      </c>
      <c r="E17" s="16" t="s">
        <v>22</v>
      </c>
      <c r="F17" s="16" t="s">
        <v>27</v>
      </c>
      <c r="G17" s="16" t="s">
        <v>23</v>
      </c>
      <c r="H17" s="17">
        <v>44940.0</v>
      </c>
      <c r="I17" s="18">
        <v>472.0</v>
      </c>
      <c r="J17" s="19">
        <v>86.18</v>
      </c>
      <c r="K17" s="19">
        <v>201.46</v>
      </c>
      <c r="L17" s="19">
        <v>40676.96000000001</v>
      </c>
      <c r="M17" s="19">
        <v>95089.12000000001</v>
      </c>
      <c r="N17" s="19">
        <v>-54412.16</v>
      </c>
      <c r="O17" s="20">
        <v>-1.337665351589696</v>
      </c>
    </row>
    <row r="18" ht="22.5" customHeight="1">
      <c r="B18" s="16" t="s">
        <v>44</v>
      </c>
      <c r="C18" s="16" t="s">
        <v>20</v>
      </c>
      <c r="D18" s="16" t="s">
        <v>21</v>
      </c>
      <c r="E18" s="16" t="s">
        <v>16</v>
      </c>
      <c r="F18" s="16" t="s">
        <v>27</v>
      </c>
      <c r="G18" s="16" t="s">
        <v>23</v>
      </c>
      <c r="H18" s="17">
        <v>44941.0</v>
      </c>
      <c r="I18" s="18">
        <v>47.0</v>
      </c>
      <c r="J18" s="19">
        <v>222.11</v>
      </c>
      <c r="K18" s="19">
        <v>160.08</v>
      </c>
      <c r="L18" s="19">
        <v>10439.17</v>
      </c>
      <c r="M18" s="19">
        <v>7523.76</v>
      </c>
      <c r="N18" s="19">
        <v>2915.41</v>
      </c>
      <c r="O18" s="20">
        <v>0.27927603439737064</v>
      </c>
    </row>
    <row r="19" ht="22.5" customHeight="1">
      <c r="B19" s="16" t="s">
        <v>45</v>
      </c>
      <c r="C19" s="16" t="s">
        <v>25</v>
      </c>
      <c r="D19" s="16" t="s">
        <v>15</v>
      </c>
      <c r="E19" s="16" t="s">
        <v>46</v>
      </c>
      <c r="F19" s="16" t="s">
        <v>17</v>
      </c>
      <c r="G19" s="16" t="s">
        <v>18</v>
      </c>
      <c r="H19" s="17">
        <v>44942.0</v>
      </c>
      <c r="I19" s="18">
        <v>337.0</v>
      </c>
      <c r="J19" s="19">
        <v>363.79</v>
      </c>
      <c r="K19" s="19">
        <v>216.81</v>
      </c>
      <c r="L19" s="19">
        <v>122597.23000000001</v>
      </c>
      <c r="M19" s="19">
        <v>73064.97</v>
      </c>
      <c r="N19" s="19">
        <v>49532.26000000001</v>
      </c>
      <c r="O19" s="20">
        <v>0.4040242997333627</v>
      </c>
    </row>
    <row r="20" ht="22.5" customHeight="1">
      <c r="B20" s="16" t="s">
        <v>47</v>
      </c>
      <c r="C20" s="16" t="s">
        <v>20</v>
      </c>
      <c r="D20" s="16" t="s">
        <v>15</v>
      </c>
      <c r="E20" s="16" t="s">
        <v>46</v>
      </c>
      <c r="F20" s="16" t="s">
        <v>17</v>
      </c>
      <c r="G20" s="16" t="s">
        <v>18</v>
      </c>
      <c r="H20" s="17">
        <v>44943.0</v>
      </c>
      <c r="I20" s="18">
        <v>260.0</v>
      </c>
      <c r="J20" s="19">
        <v>298.67</v>
      </c>
      <c r="K20" s="19">
        <v>251.92</v>
      </c>
      <c r="L20" s="19">
        <v>77654.2</v>
      </c>
      <c r="M20" s="19">
        <v>65499.2</v>
      </c>
      <c r="N20" s="19">
        <v>12155.0</v>
      </c>
      <c r="O20" s="20">
        <v>0.15652727090099441</v>
      </c>
    </row>
    <row r="21" ht="15.75" customHeight="1">
      <c r="B21" s="16" t="s">
        <v>48</v>
      </c>
      <c r="C21" s="16" t="s">
        <v>39</v>
      </c>
      <c r="D21" s="16" t="s">
        <v>21</v>
      </c>
      <c r="E21" s="16" t="s">
        <v>26</v>
      </c>
      <c r="F21" s="16" t="s">
        <v>27</v>
      </c>
      <c r="G21" s="16" t="s">
        <v>31</v>
      </c>
      <c r="H21" s="17">
        <v>44944.0</v>
      </c>
      <c r="I21" s="18">
        <v>398.0</v>
      </c>
      <c r="J21" s="19">
        <v>326.9</v>
      </c>
      <c r="K21" s="19">
        <v>270.37</v>
      </c>
      <c r="L21" s="19">
        <v>130106.2</v>
      </c>
      <c r="M21" s="19">
        <v>107607.26</v>
      </c>
      <c r="N21" s="19">
        <v>22498.940000000002</v>
      </c>
      <c r="O21" s="20">
        <v>0.17292750076475988</v>
      </c>
    </row>
    <row r="22" ht="15.75" customHeight="1">
      <c r="B22" s="16" t="s">
        <v>49</v>
      </c>
      <c r="C22" s="16" t="s">
        <v>20</v>
      </c>
      <c r="D22" s="16" t="s">
        <v>29</v>
      </c>
      <c r="E22" s="16" t="s">
        <v>16</v>
      </c>
      <c r="F22" s="16" t="s">
        <v>17</v>
      </c>
      <c r="G22" s="16" t="s">
        <v>31</v>
      </c>
      <c r="H22" s="17">
        <v>44945.0</v>
      </c>
      <c r="I22" s="18">
        <v>185.0</v>
      </c>
      <c r="J22" s="19">
        <v>242.24</v>
      </c>
      <c r="K22" s="19">
        <v>213.93</v>
      </c>
      <c r="L22" s="19">
        <v>44814.4</v>
      </c>
      <c r="M22" s="19">
        <v>39577.05</v>
      </c>
      <c r="N22" s="19">
        <v>5237.3499999999985</v>
      </c>
      <c r="O22" s="20">
        <v>0.11686756935270802</v>
      </c>
    </row>
    <row r="23" ht="15.75" customHeight="1">
      <c r="B23" s="16" t="s">
        <v>50</v>
      </c>
      <c r="C23" s="16" t="s">
        <v>14</v>
      </c>
      <c r="D23" s="16" t="s">
        <v>21</v>
      </c>
      <c r="E23" s="16" t="s">
        <v>22</v>
      </c>
      <c r="F23" s="16" t="s">
        <v>27</v>
      </c>
      <c r="G23" s="16" t="s">
        <v>18</v>
      </c>
      <c r="H23" s="17">
        <v>44946.0</v>
      </c>
      <c r="I23" s="18">
        <v>99.0</v>
      </c>
      <c r="J23" s="19">
        <v>309.79</v>
      </c>
      <c r="K23" s="19">
        <v>289.13</v>
      </c>
      <c r="L23" s="19">
        <v>30669.210000000003</v>
      </c>
      <c r="M23" s="19">
        <v>28623.87</v>
      </c>
      <c r="N23" s="19">
        <v>2045.3400000000038</v>
      </c>
      <c r="O23" s="20">
        <v>0.06669033861648226</v>
      </c>
    </row>
    <row r="24" ht="15.75" customHeight="1">
      <c r="B24" s="16" t="s">
        <v>51</v>
      </c>
      <c r="C24" s="16" t="s">
        <v>52</v>
      </c>
      <c r="D24" s="16" t="s">
        <v>15</v>
      </c>
      <c r="E24" s="16" t="s">
        <v>46</v>
      </c>
      <c r="F24" s="16" t="s">
        <v>27</v>
      </c>
      <c r="G24" s="16" t="s">
        <v>31</v>
      </c>
      <c r="H24" s="17">
        <v>44947.0</v>
      </c>
      <c r="I24" s="18">
        <v>411.0</v>
      </c>
      <c r="J24" s="19">
        <v>167.86</v>
      </c>
      <c r="K24" s="19">
        <v>58.23</v>
      </c>
      <c r="L24" s="19">
        <v>68990.46</v>
      </c>
      <c r="M24" s="19">
        <v>23932.53</v>
      </c>
      <c r="N24" s="19">
        <v>45057.93000000001</v>
      </c>
      <c r="O24" s="20">
        <v>0.6531037769569881</v>
      </c>
    </row>
    <row r="25" ht="15.75" customHeight="1">
      <c r="B25" s="16" t="s">
        <v>53</v>
      </c>
      <c r="C25" s="16" t="s">
        <v>25</v>
      </c>
      <c r="D25" s="16" t="s">
        <v>54</v>
      </c>
      <c r="E25" s="16" t="s">
        <v>22</v>
      </c>
      <c r="F25" s="16" t="s">
        <v>27</v>
      </c>
      <c r="G25" s="16" t="s">
        <v>18</v>
      </c>
      <c r="H25" s="17">
        <v>44948.0</v>
      </c>
      <c r="I25" s="18">
        <v>463.0</v>
      </c>
      <c r="J25" s="19">
        <v>237.74</v>
      </c>
      <c r="K25" s="19">
        <v>86.37</v>
      </c>
      <c r="L25" s="19">
        <v>110073.62000000001</v>
      </c>
      <c r="M25" s="19">
        <v>39989.310000000005</v>
      </c>
      <c r="N25" s="19">
        <v>70084.31</v>
      </c>
      <c r="O25" s="20">
        <v>0.6367039623117691</v>
      </c>
    </row>
    <row r="26" ht="15.75" customHeight="1">
      <c r="B26" s="16" t="s">
        <v>55</v>
      </c>
      <c r="C26" s="16" t="s">
        <v>52</v>
      </c>
      <c r="D26" s="16" t="s">
        <v>54</v>
      </c>
      <c r="E26" s="16" t="s">
        <v>46</v>
      </c>
      <c r="F26" s="16" t="s">
        <v>17</v>
      </c>
      <c r="G26" s="16" t="s">
        <v>23</v>
      </c>
      <c r="H26" s="17">
        <v>44949.0</v>
      </c>
      <c r="I26" s="18">
        <v>46.0</v>
      </c>
      <c r="J26" s="19">
        <v>373.42</v>
      </c>
      <c r="K26" s="19">
        <v>327.86</v>
      </c>
      <c r="L26" s="19">
        <v>17177.32</v>
      </c>
      <c r="M26" s="19">
        <v>15081.560000000001</v>
      </c>
      <c r="N26" s="19">
        <v>2095.7599999999984</v>
      </c>
      <c r="O26" s="20">
        <v>0.1220073911413421</v>
      </c>
    </row>
    <row r="27" ht="15.75" customHeight="1">
      <c r="B27" s="16" t="s">
        <v>56</v>
      </c>
      <c r="C27" s="16" t="s">
        <v>20</v>
      </c>
      <c r="D27" s="16" t="s">
        <v>34</v>
      </c>
      <c r="E27" s="16" t="s">
        <v>46</v>
      </c>
      <c r="F27" s="16" t="s">
        <v>27</v>
      </c>
      <c r="G27" s="16" t="s">
        <v>31</v>
      </c>
      <c r="H27" s="17">
        <v>44950.0</v>
      </c>
      <c r="I27" s="18">
        <v>325.0</v>
      </c>
      <c r="J27" s="19">
        <v>436.56</v>
      </c>
      <c r="K27" s="19">
        <v>130.37</v>
      </c>
      <c r="L27" s="19">
        <v>141882.0</v>
      </c>
      <c r="M27" s="19">
        <v>42370.25</v>
      </c>
      <c r="N27" s="19">
        <v>99511.75</v>
      </c>
      <c r="O27" s="20">
        <v>0.7013698002565513</v>
      </c>
    </row>
    <row r="28" ht="15.75" customHeight="1">
      <c r="B28" s="16" t="s">
        <v>57</v>
      </c>
      <c r="C28" s="16" t="s">
        <v>20</v>
      </c>
      <c r="D28" s="16" t="s">
        <v>21</v>
      </c>
      <c r="E28" s="16" t="s">
        <v>39</v>
      </c>
      <c r="F28" s="16" t="s">
        <v>27</v>
      </c>
      <c r="G28" s="16" t="s">
        <v>31</v>
      </c>
      <c r="H28" s="17">
        <v>44951.0</v>
      </c>
      <c r="I28" s="18">
        <v>185.0</v>
      </c>
      <c r="J28" s="19">
        <v>219.66</v>
      </c>
      <c r="K28" s="19">
        <v>11.11</v>
      </c>
      <c r="L28" s="19">
        <v>40637.1</v>
      </c>
      <c r="M28" s="19">
        <v>2055.35</v>
      </c>
      <c r="N28" s="19">
        <v>38581.75</v>
      </c>
      <c r="O28" s="20">
        <v>0.9494218337430574</v>
      </c>
    </row>
    <row r="29" ht="15.75" customHeight="1">
      <c r="B29" s="16" t="s">
        <v>58</v>
      </c>
      <c r="C29" s="16" t="s">
        <v>52</v>
      </c>
      <c r="D29" s="16" t="s">
        <v>21</v>
      </c>
      <c r="E29" s="16" t="s">
        <v>16</v>
      </c>
      <c r="F29" s="16" t="s">
        <v>27</v>
      </c>
      <c r="G29" s="16" t="s">
        <v>18</v>
      </c>
      <c r="H29" s="17">
        <v>44952.0</v>
      </c>
      <c r="I29" s="18">
        <v>470.0</v>
      </c>
      <c r="J29" s="19">
        <v>26.61</v>
      </c>
      <c r="K29" s="19">
        <v>63.21</v>
      </c>
      <c r="L29" s="19">
        <v>12506.699999999999</v>
      </c>
      <c r="M29" s="19">
        <v>29708.7</v>
      </c>
      <c r="N29" s="19">
        <v>-17202.0</v>
      </c>
      <c r="O29" s="20">
        <v>-1.3754227733934612</v>
      </c>
    </row>
    <row r="30" ht="15.75" customHeight="1">
      <c r="B30" s="16" t="s">
        <v>59</v>
      </c>
      <c r="C30" s="16" t="s">
        <v>52</v>
      </c>
      <c r="D30" s="16" t="s">
        <v>34</v>
      </c>
      <c r="E30" s="16" t="s">
        <v>30</v>
      </c>
      <c r="F30" s="16" t="s">
        <v>17</v>
      </c>
      <c r="G30" s="16" t="s">
        <v>31</v>
      </c>
      <c r="H30" s="17">
        <v>44953.0</v>
      </c>
      <c r="I30" s="18">
        <v>293.0</v>
      </c>
      <c r="J30" s="19">
        <v>85.03</v>
      </c>
      <c r="K30" s="19">
        <v>91.0</v>
      </c>
      <c r="L30" s="19">
        <v>24913.79</v>
      </c>
      <c r="M30" s="19">
        <v>26663.0</v>
      </c>
      <c r="N30" s="19">
        <v>-1749.2099999999991</v>
      </c>
      <c r="O30" s="20">
        <v>-0.07021051393625775</v>
      </c>
    </row>
    <row r="31" ht="15.75" customHeight="1">
      <c r="B31" s="16" t="s">
        <v>60</v>
      </c>
      <c r="C31" s="16" t="s">
        <v>52</v>
      </c>
      <c r="D31" s="16" t="s">
        <v>34</v>
      </c>
      <c r="E31" s="16" t="s">
        <v>22</v>
      </c>
      <c r="F31" s="16" t="s">
        <v>17</v>
      </c>
      <c r="G31" s="16" t="s">
        <v>31</v>
      </c>
      <c r="H31" s="17">
        <v>44954.0</v>
      </c>
      <c r="I31" s="18">
        <v>462.0</v>
      </c>
      <c r="J31" s="19">
        <v>249.64520588235297</v>
      </c>
      <c r="K31" s="19">
        <v>383.01</v>
      </c>
      <c r="L31" s="19">
        <v>115336.08511764708</v>
      </c>
      <c r="M31" s="19">
        <v>176950.62</v>
      </c>
      <c r="N31" s="19">
        <v>-61614.53488235292</v>
      </c>
      <c r="O31" s="20">
        <v>-0.5342173251285911</v>
      </c>
    </row>
    <row r="32" ht="15.75" customHeight="1">
      <c r="B32" s="16" t="s">
        <v>61</v>
      </c>
      <c r="C32" s="16" t="s">
        <v>20</v>
      </c>
      <c r="D32" s="16" t="s">
        <v>34</v>
      </c>
      <c r="E32" s="16" t="s">
        <v>16</v>
      </c>
      <c r="F32" s="16" t="s">
        <v>27</v>
      </c>
      <c r="G32" s="16" t="s">
        <v>23</v>
      </c>
      <c r="H32" s="17">
        <v>44955.0</v>
      </c>
      <c r="I32" s="18">
        <v>470.0</v>
      </c>
      <c r="J32" s="19">
        <v>328.37</v>
      </c>
      <c r="K32" s="19">
        <v>230.07</v>
      </c>
      <c r="L32" s="19">
        <v>154333.9</v>
      </c>
      <c r="M32" s="19">
        <v>108132.9</v>
      </c>
      <c r="N32" s="19">
        <v>46201.0</v>
      </c>
      <c r="O32" s="20">
        <v>0.29935743216493593</v>
      </c>
    </row>
    <row r="33" ht="15.75" customHeight="1">
      <c r="B33" s="16" t="s">
        <v>62</v>
      </c>
      <c r="C33" s="16" t="s">
        <v>20</v>
      </c>
      <c r="D33" s="16" t="s">
        <v>15</v>
      </c>
      <c r="E33" s="16" t="s">
        <v>16</v>
      </c>
      <c r="F33" s="16" t="s">
        <v>17</v>
      </c>
      <c r="G33" s="16" t="s">
        <v>31</v>
      </c>
      <c r="H33" s="17">
        <v>44956.0</v>
      </c>
      <c r="I33" s="18">
        <v>90.0</v>
      </c>
      <c r="J33" s="19">
        <v>169.5</v>
      </c>
      <c r="K33" s="19">
        <v>373.23</v>
      </c>
      <c r="L33" s="19">
        <v>15255.0</v>
      </c>
      <c r="M33" s="19">
        <v>33590.700000000004</v>
      </c>
      <c r="N33" s="19">
        <v>-18335.700000000004</v>
      </c>
      <c r="O33" s="20">
        <v>-1.2019469026548675</v>
      </c>
    </row>
    <row r="34" ht="15.75" customHeight="1">
      <c r="B34" s="16" t="s">
        <v>63</v>
      </c>
      <c r="C34" s="16" t="s">
        <v>39</v>
      </c>
      <c r="D34" s="16" t="s">
        <v>21</v>
      </c>
      <c r="E34" s="16" t="s">
        <v>16</v>
      </c>
      <c r="F34" s="16" t="s">
        <v>17</v>
      </c>
      <c r="G34" s="16" t="s">
        <v>23</v>
      </c>
      <c r="H34" s="17">
        <v>44957.0</v>
      </c>
      <c r="I34" s="18">
        <v>123.0</v>
      </c>
      <c r="J34" s="19">
        <v>273.53</v>
      </c>
      <c r="K34" s="19">
        <v>230.92</v>
      </c>
      <c r="L34" s="19">
        <v>33644.189999999995</v>
      </c>
      <c r="M34" s="19">
        <v>28403.16</v>
      </c>
      <c r="N34" s="19">
        <v>5241.029999999995</v>
      </c>
      <c r="O34" s="20">
        <v>0.15577815961686092</v>
      </c>
    </row>
    <row r="35" ht="15.75" customHeight="1">
      <c r="B35" s="16" t="s">
        <v>64</v>
      </c>
      <c r="C35" s="16" t="s">
        <v>25</v>
      </c>
      <c r="D35" s="16" t="s">
        <v>15</v>
      </c>
      <c r="E35" s="16" t="s">
        <v>16</v>
      </c>
      <c r="F35" s="16" t="s">
        <v>17</v>
      </c>
      <c r="G35" s="16" t="s">
        <v>18</v>
      </c>
      <c r="H35" s="17">
        <v>44958.0</v>
      </c>
      <c r="I35" s="18">
        <v>49.0</v>
      </c>
      <c r="J35" s="19">
        <v>249.17</v>
      </c>
      <c r="K35" s="19">
        <v>192.78</v>
      </c>
      <c r="L35" s="19">
        <v>12209.33</v>
      </c>
      <c r="M35" s="19">
        <v>9446.22</v>
      </c>
      <c r="N35" s="19">
        <v>2763.1100000000006</v>
      </c>
      <c r="O35" s="20">
        <v>0.226311353694265</v>
      </c>
    </row>
    <row r="36" ht="15.75" customHeight="1">
      <c r="B36" s="16" t="s">
        <v>65</v>
      </c>
      <c r="C36" s="16" t="s">
        <v>20</v>
      </c>
      <c r="D36" s="16" t="s">
        <v>34</v>
      </c>
      <c r="E36" s="16" t="s">
        <v>16</v>
      </c>
      <c r="F36" s="16" t="s">
        <v>17</v>
      </c>
      <c r="G36" s="16" t="s">
        <v>31</v>
      </c>
      <c r="H36" s="17">
        <v>44959.0</v>
      </c>
      <c r="I36" s="18">
        <v>310.0</v>
      </c>
      <c r="J36" s="19">
        <v>45.36</v>
      </c>
      <c r="K36" s="19">
        <v>126.86</v>
      </c>
      <c r="L36" s="19">
        <v>14061.6</v>
      </c>
      <c r="M36" s="19">
        <v>39326.6</v>
      </c>
      <c r="N36" s="19">
        <v>-25265.0</v>
      </c>
      <c r="O36" s="20">
        <v>-1.79673721340388</v>
      </c>
    </row>
    <row r="37" ht="15.75" customHeight="1">
      <c r="B37" s="16" t="s">
        <v>66</v>
      </c>
      <c r="C37" s="16" t="s">
        <v>52</v>
      </c>
      <c r="D37" s="16" t="s">
        <v>21</v>
      </c>
      <c r="E37" s="16" t="s">
        <v>26</v>
      </c>
      <c r="F37" s="16" t="s">
        <v>17</v>
      </c>
      <c r="G37" s="16" t="s">
        <v>23</v>
      </c>
      <c r="H37" s="17">
        <v>44960.0</v>
      </c>
      <c r="I37" s="18">
        <v>233.0</v>
      </c>
      <c r="J37" s="19">
        <v>204.61</v>
      </c>
      <c r="K37" s="19">
        <v>243.34</v>
      </c>
      <c r="L37" s="19">
        <v>47674.130000000005</v>
      </c>
      <c r="M37" s="19">
        <v>56698.22</v>
      </c>
      <c r="N37" s="19">
        <v>-9024.089999999997</v>
      </c>
      <c r="O37" s="20">
        <v>-0.18928693612237907</v>
      </c>
    </row>
    <row r="38" ht="15.75" customHeight="1">
      <c r="B38" s="16" t="s">
        <v>67</v>
      </c>
      <c r="C38" s="16" t="s">
        <v>52</v>
      </c>
      <c r="D38" s="16" t="s">
        <v>15</v>
      </c>
      <c r="E38" s="16" t="s">
        <v>22</v>
      </c>
      <c r="F38" s="16" t="s">
        <v>17</v>
      </c>
      <c r="G38" s="16" t="s">
        <v>18</v>
      </c>
      <c r="H38" s="17">
        <v>44961.0</v>
      </c>
      <c r="I38" s="18">
        <v>327.0</v>
      </c>
      <c r="J38" s="19">
        <v>114.18</v>
      </c>
      <c r="K38" s="19">
        <v>57.4</v>
      </c>
      <c r="L38" s="19">
        <v>37336.86</v>
      </c>
      <c r="M38" s="19">
        <v>18769.8</v>
      </c>
      <c r="N38" s="19">
        <v>18567.06</v>
      </c>
      <c r="O38" s="20">
        <v>0.4972849886144684</v>
      </c>
    </row>
    <row r="39" ht="15.75" customHeight="1">
      <c r="B39" s="16" t="s">
        <v>68</v>
      </c>
      <c r="C39" s="16" t="s">
        <v>25</v>
      </c>
      <c r="D39" s="16" t="s">
        <v>15</v>
      </c>
      <c r="E39" s="16" t="s">
        <v>16</v>
      </c>
      <c r="F39" s="16" t="s">
        <v>17</v>
      </c>
      <c r="G39" s="16" t="s">
        <v>31</v>
      </c>
      <c r="H39" s="17">
        <v>44962.0</v>
      </c>
      <c r="I39" s="18">
        <v>358.0</v>
      </c>
      <c r="J39" s="19">
        <v>212.11</v>
      </c>
      <c r="K39" s="19">
        <v>359.51</v>
      </c>
      <c r="L39" s="19">
        <v>75935.38</v>
      </c>
      <c r="M39" s="19">
        <v>128704.58</v>
      </c>
      <c r="N39" s="19">
        <v>-52769.2</v>
      </c>
      <c r="O39" s="20">
        <v>-0.6949224459007118</v>
      </c>
    </row>
    <row r="40" ht="15.75" customHeight="1">
      <c r="B40" s="16" t="s">
        <v>69</v>
      </c>
      <c r="C40" s="16" t="s">
        <v>20</v>
      </c>
      <c r="D40" s="16" t="s">
        <v>34</v>
      </c>
      <c r="E40" s="16" t="s">
        <v>22</v>
      </c>
      <c r="F40" s="16" t="s">
        <v>17</v>
      </c>
      <c r="G40" s="16" t="s">
        <v>18</v>
      </c>
      <c r="H40" s="17">
        <v>44963.0</v>
      </c>
      <c r="I40" s="18">
        <v>124.0</v>
      </c>
      <c r="J40" s="19">
        <v>249.64520588235297</v>
      </c>
      <c r="K40" s="19">
        <v>332.07</v>
      </c>
      <c r="L40" s="19">
        <v>30956.005529411766</v>
      </c>
      <c r="M40" s="19">
        <v>41176.68</v>
      </c>
      <c r="N40" s="19">
        <v>-10220.674470588234</v>
      </c>
      <c r="O40" s="20">
        <v>-0.3301677427624639</v>
      </c>
    </row>
    <row r="41" ht="15.75" customHeight="1">
      <c r="B41" s="16" t="s">
        <v>70</v>
      </c>
      <c r="C41" s="16" t="s">
        <v>25</v>
      </c>
      <c r="D41" s="16" t="s">
        <v>21</v>
      </c>
      <c r="E41" s="16" t="s">
        <v>26</v>
      </c>
      <c r="F41" s="16" t="s">
        <v>17</v>
      </c>
      <c r="G41" s="16" t="s">
        <v>31</v>
      </c>
      <c r="H41" s="17">
        <v>44964.0</v>
      </c>
      <c r="I41" s="18">
        <v>195.0</v>
      </c>
      <c r="J41" s="19">
        <v>421.02</v>
      </c>
      <c r="K41" s="19">
        <v>128.38</v>
      </c>
      <c r="L41" s="19">
        <v>82098.9</v>
      </c>
      <c r="M41" s="19">
        <v>25034.1</v>
      </c>
      <c r="N41" s="19">
        <v>57064.799999999996</v>
      </c>
      <c r="O41" s="20">
        <v>0.6950738682247875</v>
      </c>
    </row>
    <row r="42" ht="15.75" customHeight="1">
      <c r="B42" s="16" t="s">
        <v>71</v>
      </c>
      <c r="C42" s="16" t="s">
        <v>25</v>
      </c>
      <c r="D42" s="16" t="s">
        <v>34</v>
      </c>
      <c r="E42" s="16" t="s">
        <v>26</v>
      </c>
      <c r="F42" s="16" t="s">
        <v>17</v>
      </c>
      <c r="G42" s="16" t="s">
        <v>18</v>
      </c>
      <c r="H42" s="17">
        <v>44965.0</v>
      </c>
      <c r="I42" s="18">
        <v>255.9029411764706</v>
      </c>
      <c r="J42" s="19">
        <v>91.23</v>
      </c>
      <c r="K42" s="19">
        <v>381.21</v>
      </c>
      <c r="L42" s="19">
        <v>23346.02532352941</v>
      </c>
      <c r="M42" s="19">
        <v>97552.76020588235</v>
      </c>
      <c r="N42" s="19">
        <v>-74206.73488235295</v>
      </c>
      <c r="O42" s="20">
        <v>-3.1785596843143704</v>
      </c>
    </row>
    <row r="43" ht="15.75" customHeight="1">
      <c r="B43" s="16" t="s">
        <v>72</v>
      </c>
      <c r="C43" s="16" t="s">
        <v>14</v>
      </c>
      <c r="D43" s="16" t="s">
        <v>21</v>
      </c>
      <c r="E43" s="16" t="s">
        <v>22</v>
      </c>
      <c r="F43" s="16" t="s">
        <v>27</v>
      </c>
      <c r="G43" s="16" t="s">
        <v>18</v>
      </c>
      <c r="H43" s="17">
        <v>44966.0</v>
      </c>
      <c r="I43" s="18">
        <v>65.0</v>
      </c>
      <c r="J43" s="19">
        <v>480.59</v>
      </c>
      <c r="K43" s="19">
        <v>330.43</v>
      </c>
      <c r="L43" s="19">
        <v>31238.35</v>
      </c>
      <c r="M43" s="19">
        <v>21477.95</v>
      </c>
      <c r="N43" s="19">
        <v>9760.399999999998</v>
      </c>
      <c r="O43" s="20">
        <v>0.31244928109199105</v>
      </c>
    </row>
    <row r="44" ht="15.75" customHeight="1">
      <c r="B44" s="16" t="s">
        <v>73</v>
      </c>
      <c r="C44" s="16" t="s">
        <v>14</v>
      </c>
      <c r="D44" s="16" t="s">
        <v>54</v>
      </c>
      <c r="E44" s="16" t="s">
        <v>46</v>
      </c>
      <c r="F44" s="16" t="s">
        <v>27</v>
      </c>
      <c r="G44" s="16" t="s">
        <v>23</v>
      </c>
      <c r="H44" s="17">
        <v>44967.0</v>
      </c>
      <c r="I44" s="18">
        <v>49.0</v>
      </c>
      <c r="J44" s="19">
        <v>210.87</v>
      </c>
      <c r="K44" s="19">
        <v>267.19</v>
      </c>
      <c r="L44" s="19">
        <v>10332.630000000001</v>
      </c>
      <c r="M44" s="19">
        <v>13092.31</v>
      </c>
      <c r="N44" s="19">
        <v>-2759.6799999999985</v>
      </c>
      <c r="O44" s="20">
        <v>-0.26708398539384437</v>
      </c>
    </row>
    <row r="45" ht="15.75" customHeight="1">
      <c r="B45" s="16" t="s">
        <v>74</v>
      </c>
      <c r="C45" s="16" t="s">
        <v>14</v>
      </c>
      <c r="D45" s="16" t="s">
        <v>29</v>
      </c>
      <c r="E45" s="16" t="s">
        <v>30</v>
      </c>
      <c r="F45" s="16" t="s">
        <v>17</v>
      </c>
      <c r="G45" s="16" t="s">
        <v>18</v>
      </c>
      <c r="H45" s="17">
        <v>44968.0</v>
      </c>
      <c r="I45" s="18">
        <v>363.0</v>
      </c>
      <c r="J45" s="19">
        <v>423.89</v>
      </c>
      <c r="K45" s="19">
        <v>50.46</v>
      </c>
      <c r="L45" s="19">
        <v>153872.07</v>
      </c>
      <c r="M45" s="19">
        <v>18316.98</v>
      </c>
      <c r="N45" s="19">
        <v>135555.09</v>
      </c>
      <c r="O45" s="20">
        <v>0.8809596829366109</v>
      </c>
    </row>
    <row r="46" ht="15.75" customHeight="1">
      <c r="B46" s="16" t="s">
        <v>75</v>
      </c>
      <c r="C46" s="16" t="s">
        <v>52</v>
      </c>
      <c r="D46" s="16" t="s">
        <v>29</v>
      </c>
      <c r="E46" s="16" t="s">
        <v>46</v>
      </c>
      <c r="F46" s="16" t="s">
        <v>27</v>
      </c>
      <c r="G46" s="16" t="s">
        <v>31</v>
      </c>
      <c r="H46" s="17">
        <v>44969.0</v>
      </c>
      <c r="I46" s="18">
        <v>49.0</v>
      </c>
      <c r="J46" s="19">
        <v>316.24</v>
      </c>
      <c r="K46" s="19">
        <v>192.34</v>
      </c>
      <c r="L46" s="19">
        <v>15495.76</v>
      </c>
      <c r="M46" s="19">
        <v>9424.66</v>
      </c>
      <c r="N46" s="19">
        <v>6071.1</v>
      </c>
      <c r="O46" s="20">
        <v>0.3917910447761194</v>
      </c>
    </row>
    <row r="47" ht="15.75" customHeight="1">
      <c r="B47" s="16" t="s">
        <v>76</v>
      </c>
      <c r="C47" s="16" t="s">
        <v>20</v>
      </c>
      <c r="D47" s="16" t="s">
        <v>29</v>
      </c>
      <c r="E47" s="16" t="s">
        <v>46</v>
      </c>
      <c r="F47" s="16" t="s">
        <v>27</v>
      </c>
      <c r="G47" s="16" t="s">
        <v>31</v>
      </c>
      <c r="H47" s="17">
        <v>44970.0</v>
      </c>
      <c r="I47" s="18">
        <v>356.0</v>
      </c>
      <c r="J47" s="19">
        <v>369.0</v>
      </c>
      <c r="K47" s="19">
        <v>203.43</v>
      </c>
      <c r="L47" s="19">
        <v>131364.0</v>
      </c>
      <c r="M47" s="19">
        <v>72421.08</v>
      </c>
      <c r="N47" s="19">
        <v>58942.92</v>
      </c>
      <c r="O47" s="20">
        <v>0.4486991869918699</v>
      </c>
    </row>
    <row r="48" ht="15.75" customHeight="1">
      <c r="B48" s="16" t="s">
        <v>77</v>
      </c>
      <c r="C48" s="16" t="s">
        <v>20</v>
      </c>
      <c r="D48" s="16" t="s">
        <v>34</v>
      </c>
      <c r="E48" s="16" t="s">
        <v>46</v>
      </c>
      <c r="F48" s="16" t="s">
        <v>17</v>
      </c>
      <c r="G48" s="16" t="s">
        <v>23</v>
      </c>
      <c r="H48" s="17">
        <v>44971.0</v>
      </c>
      <c r="I48" s="18">
        <v>470.0</v>
      </c>
      <c r="J48" s="19">
        <v>249.64520588235297</v>
      </c>
      <c r="K48" s="19">
        <v>94.56</v>
      </c>
      <c r="L48" s="19">
        <v>117333.2467647059</v>
      </c>
      <c r="M48" s="19">
        <v>44443.200000000004</v>
      </c>
      <c r="N48" s="19">
        <v>72890.04676470588</v>
      </c>
      <c r="O48" s="20">
        <v>0.6212224478103454</v>
      </c>
    </row>
    <row r="49" ht="15.75" customHeight="1">
      <c r="B49" s="16" t="s">
        <v>78</v>
      </c>
      <c r="C49" s="16" t="s">
        <v>20</v>
      </c>
      <c r="D49" s="16" t="s">
        <v>54</v>
      </c>
      <c r="E49" s="16" t="s">
        <v>16</v>
      </c>
      <c r="F49" s="16" t="s">
        <v>17</v>
      </c>
      <c r="G49" s="16" t="s">
        <v>31</v>
      </c>
      <c r="H49" s="17">
        <v>44972.0</v>
      </c>
      <c r="I49" s="18">
        <v>246.0</v>
      </c>
      <c r="J49" s="19">
        <v>254.9</v>
      </c>
      <c r="K49" s="19">
        <v>33.83</v>
      </c>
      <c r="L49" s="19">
        <v>62705.4</v>
      </c>
      <c r="M49" s="19">
        <v>8322.18</v>
      </c>
      <c r="N49" s="19">
        <v>54383.22</v>
      </c>
      <c r="O49" s="20">
        <v>0.8672812867791291</v>
      </c>
    </row>
    <row r="50" ht="15.75" customHeight="1">
      <c r="B50" s="16" t="s">
        <v>79</v>
      </c>
      <c r="C50" s="16" t="s">
        <v>20</v>
      </c>
      <c r="D50" s="16" t="s">
        <v>21</v>
      </c>
      <c r="E50" s="16" t="s">
        <v>26</v>
      </c>
      <c r="F50" s="16" t="s">
        <v>17</v>
      </c>
      <c r="G50" s="16" t="s">
        <v>31</v>
      </c>
      <c r="H50" s="17">
        <v>44973.0</v>
      </c>
      <c r="I50" s="18">
        <v>298.0</v>
      </c>
      <c r="J50" s="19">
        <v>273.93</v>
      </c>
      <c r="K50" s="19">
        <v>311.14</v>
      </c>
      <c r="L50" s="19">
        <v>81631.14</v>
      </c>
      <c r="M50" s="19">
        <v>92719.72</v>
      </c>
      <c r="N50" s="19">
        <v>-11088.580000000002</v>
      </c>
      <c r="O50" s="20">
        <v>-0.1358376227503377</v>
      </c>
    </row>
    <row r="51" ht="15.75" customHeight="1">
      <c r="B51" s="16" t="s">
        <v>80</v>
      </c>
      <c r="C51" s="16" t="s">
        <v>14</v>
      </c>
      <c r="D51" s="16" t="s">
        <v>15</v>
      </c>
      <c r="E51" s="16" t="s">
        <v>46</v>
      </c>
      <c r="F51" s="16" t="s">
        <v>27</v>
      </c>
      <c r="G51" s="16" t="s">
        <v>31</v>
      </c>
      <c r="H51" s="17">
        <v>44974.0</v>
      </c>
      <c r="I51" s="18">
        <v>271.0</v>
      </c>
      <c r="J51" s="19">
        <v>259.43</v>
      </c>
      <c r="K51" s="19">
        <v>50.57</v>
      </c>
      <c r="L51" s="19">
        <v>70305.53</v>
      </c>
      <c r="M51" s="19">
        <v>13704.47</v>
      </c>
      <c r="N51" s="19">
        <v>56601.06</v>
      </c>
      <c r="O51" s="20">
        <v>0.8050726592915237</v>
      </c>
    </row>
    <row r="52" ht="15.75" customHeight="1">
      <c r="B52" s="16" t="s">
        <v>81</v>
      </c>
      <c r="C52" s="16" t="s">
        <v>52</v>
      </c>
      <c r="D52" s="16" t="s">
        <v>21</v>
      </c>
      <c r="E52" s="16" t="s">
        <v>26</v>
      </c>
      <c r="F52" s="16" t="s">
        <v>27</v>
      </c>
      <c r="G52" s="16" t="s">
        <v>18</v>
      </c>
      <c r="H52" s="17">
        <v>44975.0</v>
      </c>
      <c r="I52" s="18">
        <v>225.0</v>
      </c>
      <c r="J52" s="19">
        <v>296.09</v>
      </c>
      <c r="K52" s="19">
        <v>238.53</v>
      </c>
      <c r="L52" s="19">
        <v>66620.25</v>
      </c>
      <c r="M52" s="19">
        <v>53669.25</v>
      </c>
      <c r="N52" s="19">
        <v>12951.0</v>
      </c>
      <c r="O52" s="20">
        <v>0.19440035124455401</v>
      </c>
    </row>
    <row r="53" ht="15.75" customHeight="1">
      <c r="B53" s="16" t="s">
        <v>82</v>
      </c>
      <c r="C53" s="16" t="s">
        <v>39</v>
      </c>
      <c r="D53" s="16" t="s">
        <v>15</v>
      </c>
      <c r="E53" s="16" t="s">
        <v>22</v>
      </c>
      <c r="F53" s="16" t="s">
        <v>17</v>
      </c>
      <c r="G53" s="16" t="s">
        <v>18</v>
      </c>
      <c r="H53" s="17">
        <v>44976.0</v>
      </c>
      <c r="I53" s="18">
        <v>156.0</v>
      </c>
      <c r="J53" s="19">
        <v>19.55</v>
      </c>
      <c r="K53" s="19">
        <v>374.71</v>
      </c>
      <c r="L53" s="19">
        <v>3049.8</v>
      </c>
      <c r="M53" s="19">
        <v>58454.759999999995</v>
      </c>
      <c r="N53" s="19">
        <v>-55404.95999999999</v>
      </c>
      <c r="O53" s="20">
        <v>-18.166751918158564</v>
      </c>
    </row>
    <row r="54" ht="15.75" customHeight="1">
      <c r="B54" s="16" t="s">
        <v>83</v>
      </c>
      <c r="C54" s="16" t="s">
        <v>14</v>
      </c>
      <c r="D54" s="16" t="s">
        <v>21</v>
      </c>
      <c r="E54" s="16" t="s">
        <v>30</v>
      </c>
      <c r="F54" s="16" t="s">
        <v>17</v>
      </c>
      <c r="G54" s="16" t="s">
        <v>31</v>
      </c>
      <c r="H54" s="17">
        <v>44977.0</v>
      </c>
      <c r="I54" s="18">
        <v>345.0</v>
      </c>
      <c r="J54" s="19">
        <v>200.78</v>
      </c>
      <c r="K54" s="19">
        <v>350.69</v>
      </c>
      <c r="L54" s="19">
        <v>69269.1</v>
      </c>
      <c r="M54" s="19">
        <v>120988.05</v>
      </c>
      <c r="N54" s="19">
        <v>-51718.95</v>
      </c>
      <c r="O54" s="20">
        <v>-0.7466381113656738</v>
      </c>
    </row>
    <row r="55" ht="15.75" customHeight="1">
      <c r="B55" s="16" t="s">
        <v>84</v>
      </c>
      <c r="C55" s="16" t="s">
        <v>52</v>
      </c>
      <c r="D55" s="16" t="s">
        <v>54</v>
      </c>
      <c r="E55" s="16" t="s">
        <v>22</v>
      </c>
      <c r="F55" s="16" t="s">
        <v>17</v>
      </c>
      <c r="G55" s="16" t="s">
        <v>23</v>
      </c>
      <c r="H55" s="17">
        <v>44978.0</v>
      </c>
      <c r="I55" s="18">
        <v>177.0</v>
      </c>
      <c r="J55" s="19">
        <v>305.06</v>
      </c>
      <c r="K55" s="19">
        <v>112.55</v>
      </c>
      <c r="L55" s="19">
        <v>53995.62</v>
      </c>
      <c r="M55" s="19">
        <v>19921.35</v>
      </c>
      <c r="N55" s="19">
        <v>34074.270000000004</v>
      </c>
      <c r="O55" s="20">
        <v>0.6310561856683932</v>
      </c>
    </row>
    <row r="56" ht="15.75" customHeight="1">
      <c r="B56" s="16" t="s">
        <v>85</v>
      </c>
      <c r="C56" s="16" t="s">
        <v>14</v>
      </c>
      <c r="D56" s="16" t="s">
        <v>15</v>
      </c>
      <c r="E56" s="16" t="s">
        <v>22</v>
      </c>
      <c r="F56" s="16" t="s">
        <v>27</v>
      </c>
      <c r="G56" s="16" t="s">
        <v>18</v>
      </c>
      <c r="H56" s="17">
        <v>44979.0</v>
      </c>
      <c r="I56" s="18">
        <v>101.0</v>
      </c>
      <c r="J56" s="19">
        <v>300.87</v>
      </c>
      <c r="K56" s="19">
        <v>340.88</v>
      </c>
      <c r="L56" s="19">
        <v>30387.87</v>
      </c>
      <c r="M56" s="19">
        <v>34428.88</v>
      </c>
      <c r="N56" s="19">
        <v>-4041.0099999999984</v>
      </c>
      <c r="O56" s="20">
        <v>-0.1329810217037258</v>
      </c>
    </row>
    <row r="57" ht="15.75" customHeight="1">
      <c r="B57" s="16" t="s">
        <v>86</v>
      </c>
      <c r="C57" s="16" t="s">
        <v>20</v>
      </c>
      <c r="D57" s="16" t="s">
        <v>34</v>
      </c>
      <c r="E57" s="16" t="s">
        <v>16</v>
      </c>
      <c r="F57" s="16" t="s">
        <v>27</v>
      </c>
      <c r="G57" s="16" t="s">
        <v>23</v>
      </c>
      <c r="H57" s="17">
        <v>44980.0</v>
      </c>
      <c r="I57" s="18">
        <v>362.0</v>
      </c>
      <c r="J57" s="19">
        <v>397.51</v>
      </c>
      <c r="K57" s="19">
        <v>2.13</v>
      </c>
      <c r="L57" s="19">
        <v>143898.62</v>
      </c>
      <c r="M57" s="19">
        <v>771.06</v>
      </c>
      <c r="N57" s="19">
        <v>143127.56</v>
      </c>
      <c r="O57" s="20">
        <v>0.9946416442353652</v>
      </c>
    </row>
    <row r="58" ht="15.75" customHeight="1">
      <c r="B58" s="16" t="s">
        <v>87</v>
      </c>
      <c r="C58" s="16" t="s">
        <v>14</v>
      </c>
      <c r="D58" s="16" t="s">
        <v>21</v>
      </c>
      <c r="E58" s="16" t="s">
        <v>30</v>
      </c>
      <c r="F58" s="16" t="s">
        <v>27</v>
      </c>
      <c r="G58" s="16" t="s">
        <v>31</v>
      </c>
      <c r="H58" s="17">
        <v>44981.0</v>
      </c>
      <c r="I58" s="18">
        <v>68.0</v>
      </c>
      <c r="J58" s="19">
        <v>329.23</v>
      </c>
      <c r="K58" s="19">
        <v>9.04</v>
      </c>
      <c r="L58" s="19">
        <v>22387.64</v>
      </c>
      <c r="M58" s="19">
        <v>614.7199999999999</v>
      </c>
      <c r="N58" s="19">
        <v>21772.92</v>
      </c>
      <c r="O58" s="20">
        <v>0.9725419919205418</v>
      </c>
    </row>
    <row r="59" ht="15.75" customHeight="1">
      <c r="B59" s="16" t="s">
        <v>88</v>
      </c>
      <c r="C59" s="16" t="s">
        <v>20</v>
      </c>
      <c r="D59" s="16" t="s">
        <v>21</v>
      </c>
      <c r="E59" s="16" t="s">
        <v>22</v>
      </c>
      <c r="F59" s="16" t="s">
        <v>27</v>
      </c>
      <c r="G59" s="16" t="s">
        <v>31</v>
      </c>
      <c r="H59" s="17">
        <v>44982.0</v>
      </c>
      <c r="I59" s="18">
        <v>68.0</v>
      </c>
      <c r="J59" s="19">
        <v>496.11</v>
      </c>
      <c r="K59" s="19">
        <v>241.82</v>
      </c>
      <c r="L59" s="19">
        <v>33735.48</v>
      </c>
      <c r="M59" s="19">
        <v>16443.76</v>
      </c>
      <c r="N59" s="19">
        <v>17291.720000000005</v>
      </c>
      <c r="O59" s="20">
        <v>0.5125677773074521</v>
      </c>
    </row>
    <row r="60" ht="15.75" customHeight="1">
      <c r="B60" s="16" t="s">
        <v>89</v>
      </c>
      <c r="C60" s="16" t="s">
        <v>20</v>
      </c>
      <c r="D60" s="16" t="s">
        <v>15</v>
      </c>
      <c r="E60" s="16" t="s">
        <v>22</v>
      </c>
      <c r="F60" s="16" t="s">
        <v>17</v>
      </c>
      <c r="G60" s="16" t="s">
        <v>18</v>
      </c>
      <c r="H60" s="17">
        <v>44983.0</v>
      </c>
      <c r="I60" s="18">
        <v>313.0</v>
      </c>
      <c r="J60" s="19">
        <v>145.51</v>
      </c>
      <c r="K60" s="19">
        <v>147.19</v>
      </c>
      <c r="L60" s="19">
        <v>45544.63</v>
      </c>
      <c r="M60" s="19">
        <v>46070.47</v>
      </c>
      <c r="N60" s="19">
        <v>-525.8400000000038</v>
      </c>
      <c r="O60" s="20">
        <v>-0.011545598240670828</v>
      </c>
    </row>
    <row r="61" ht="15.75" customHeight="1">
      <c r="B61" s="16" t="s">
        <v>90</v>
      </c>
      <c r="C61" s="16" t="s">
        <v>25</v>
      </c>
      <c r="D61" s="16" t="s">
        <v>34</v>
      </c>
      <c r="E61" s="16" t="s">
        <v>30</v>
      </c>
      <c r="F61" s="16" t="s">
        <v>17</v>
      </c>
      <c r="G61" s="16" t="s">
        <v>31</v>
      </c>
      <c r="H61" s="17">
        <v>44984.0</v>
      </c>
      <c r="I61" s="18">
        <v>178.0</v>
      </c>
      <c r="J61" s="19">
        <v>182.78</v>
      </c>
      <c r="K61" s="19">
        <v>155.81</v>
      </c>
      <c r="L61" s="19">
        <v>32534.84</v>
      </c>
      <c r="M61" s="19">
        <v>27734.18</v>
      </c>
      <c r="N61" s="19">
        <v>4800.66</v>
      </c>
      <c r="O61" s="20">
        <v>0.14755443702812124</v>
      </c>
    </row>
    <row r="62" ht="15.75" customHeight="1">
      <c r="B62" s="16" t="s">
        <v>91</v>
      </c>
      <c r="C62" s="16" t="s">
        <v>14</v>
      </c>
      <c r="D62" s="16" t="s">
        <v>34</v>
      </c>
      <c r="E62" s="16" t="s">
        <v>30</v>
      </c>
      <c r="F62" s="16" t="s">
        <v>17</v>
      </c>
      <c r="G62" s="16" t="s">
        <v>18</v>
      </c>
      <c r="H62" s="17">
        <v>44985.0</v>
      </c>
      <c r="I62" s="18">
        <v>278.0</v>
      </c>
      <c r="J62" s="19">
        <v>195.0</v>
      </c>
      <c r="K62" s="19">
        <v>226.65</v>
      </c>
      <c r="L62" s="19">
        <v>54210.0</v>
      </c>
      <c r="M62" s="19">
        <v>63008.700000000004</v>
      </c>
      <c r="N62" s="19">
        <v>-8798.700000000004</v>
      </c>
      <c r="O62" s="20">
        <v>-0.16230769230769237</v>
      </c>
    </row>
    <row r="63" ht="15.75" customHeight="1">
      <c r="B63" s="16" t="s">
        <v>92</v>
      </c>
      <c r="C63" s="16" t="s">
        <v>25</v>
      </c>
      <c r="D63" s="16" t="s">
        <v>54</v>
      </c>
      <c r="E63" s="16" t="s">
        <v>22</v>
      </c>
      <c r="F63" s="16" t="s">
        <v>17</v>
      </c>
      <c r="G63" s="16" t="s">
        <v>31</v>
      </c>
      <c r="H63" s="17">
        <v>44986.0</v>
      </c>
      <c r="I63" s="18">
        <v>372.0</v>
      </c>
      <c r="J63" s="19">
        <v>235.58</v>
      </c>
      <c r="K63" s="19">
        <v>78.33</v>
      </c>
      <c r="L63" s="19">
        <v>87635.76000000001</v>
      </c>
      <c r="M63" s="19">
        <v>29138.76</v>
      </c>
      <c r="N63" s="19">
        <v>58497.000000000015</v>
      </c>
      <c r="O63" s="20">
        <v>0.6675014856948808</v>
      </c>
    </row>
    <row r="64" ht="15.75" customHeight="1">
      <c r="B64" s="16" t="s">
        <v>93</v>
      </c>
      <c r="C64" s="16" t="s">
        <v>14</v>
      </c>
      <c r="D64" s="16" t="s">
        <v>34</v>
      </c>
      <c r="E64" s="16" t="s">
        <v>30</v>
      </c>
      <c r="F64" s="16" t="s">
        <v>27</v>
      </c>
      <c r="G64" s="16" t="s">
        <v>31</v>
      </c>
      <c r="H64" s="17">
        <v>44987.0</v>
      </c>
      <c r="I64" s="18">
        <v>54.0</v>
      </c>
      <c r="J64" s="19">
        <v>418.82</v>
      </c>
      <c r="K64" s="19">
        <v>86.28</v>
      </c>
      <c r="L64" s="19">
        <v>22616.28</v>
      </c>
      <c r="M64" s="19">
        <v>4659.12</v>
      </c>
      <c r="N64" s="19">
        <v>17957.16</v>
      </c>
      <c r="O64" s="20">
        <v>0.793992646005444</v>
      </c>
    </row>
    <row r="65" ht="15.75" customHeight="1">
      <c r="B65" s="16" t="s">
        <v>94</v>
      </c>
      <c r="C65" s="16" t="s">
        <v>14</v>
      </c>
      <c r="D65" s="16" t="s">
        <v>34</v>
      </c>
      <c r="E65" s="16" t="s">
        <v>22</v>
      </c>
      <c r="F65" s="16" t="s">
        <v>27</v>
      </c>
      <c r="G65" s="16" t="s">
        <v>18</v>
      </c>
      <c r="H65" s="17">
        <v>44988.0</v>
      </c>
      <c r="I65" s="18">
        <v>354.0</v>
      </c>
      <c r="J65" s="19">
        <v>121.72</v>
      </c>
      <c r="K65" s="19">
        <v>194.87</v>
      </c>
      <c r="L65" s="19">
        <v>43088.88</v>
      </c>
      <c r="M65" s="19">
        <v>68983.98</v>
      </c>
      <c r="N65" s="19">
        <v>-25895.1</v>
      </c>
      <c r="O65" s="20">
        <v>-0.6009694380545514</v>
      </c>
    </row>
    <row r="66" ht="15.75" customHeight="1">
      <c r="B66" s="16" t="s">
        <v>95</v>
      </c>
      <c r="C66" s="16" t="s">
        <v>25</v>
      </c>
      <c r="D66" s="16" t="s">
        <v>34</v>
      </c>
      <c r="E66" s="16" t="s">
        <v>22</v>
      </c>
      <c r="F66" s="16" t="s">
        <v>17</v>
      </c>
      <c r="G66" s="16" t="s">
        <v>18</v>
      </c>
      <c r="H66" s="17">
        <v>44989.0</v>
      </c>
      <c r="I66" s="18">
        <v>190.0</v>
      </c>
      <c r="J66" s="19">
        <v>389.12</v>
      </c>
      <c r="K66" s="19">
        <v>302.19</v>
      </c>
      <c r="L66" s="19">
        <v>73932.8</v>
      </c>
      <c r="M66" s="19">
        <v>57416.1</v>
      </c>
      <c r="N66" s="19">
        <v>16516.700000000004</v>
      </c>
      <c r="O66" s="20">
        <v>0.223401521381579</v>
      </c>
    </row>
    <row r="67" ht="15.75" customHeight="1">
      <c r="B67" s="16" t="s">
        <v>96</v>
      </c>
      <c r="C67" s="16" t="s">
        <v>39</v>
      </c>
      <c r="D67" s="16" t="s">
        <v>29</v>
      </c>
      <c r="E67" s="16" t="s">
        <v>16</v>
      </c>
      <c r="F67" s="16" t="s">
        <v>17</v>
      </c>
      <c r="G67" s="16" t="s">
        <v>18</v>
      </c>
      <c r="H67" s="17">
        <v>44990.0</v>
      </c>
      <c r="I67" s="18">
        <v>179.0</v>
      </c>
      <c r="J67" s="19">
        <v>205.63</v>
      </c>
      <c r="K67" s="19">
        <v>248.56</v>
      </c>
      <c r="L67" s="19">
        <v>36807.77</v>
      </c>
      <c r="M67" s="19">
        <v>44492.24</v>
      </c>
      <c r="N67" s="19">
        <v>-7684.470000000001</v>
      </c>
      <c r="O67" s="20">
        <v>-0.20877303895346014</v>
      </c>
    </row>
    <row r="68" ht="15.75" customHeight="1">
      <c r="B68" s="16" t="s">
        <v>97</v>
      </c>
      <c r="C68" s="16" t="s">
        <v>14</v>
      </c>
      <c r="D68" s="16" t="s">
        <v>54</v>
      </c>
      <c r="E68" s="16" t="s">
        <v>46</v>
      </c>
      <c r="F68" s="16" t="s">
        <v>27</v>
      </c>
      <c r="G68" s="16" t="s">
        <v>31</v>
      </c>
      <c r="H68" s="17">
        <v>44991.0</v>
      </c>
      <c r="I68" s="18">
        <v>365.0</v>
      </c>
      <c r="J68" s="19">
        <v>302.92</v>
      </c>
      <c r="K68" s="19">
        <v>120.35</v>
      </c>
      <c r="L68" s="19">
        <v>110565.8</v>
      </c>
      <c r="M68" s="19">
        <v>43927.75</v>
      </c>
      <c r="N68" s="19">
        <v>66638.05</v>
      </c>
      <c r="O68" s="20">
        <v>0.60270038293939</v>
      </c>
    </row>
    <row r="69" ht="15.75" customHeight="1">
      <c r="B69" s="16" t="s">
        <v>98</v>
      </c>
      <c r="C69" s="16" t="s">
        <v>52</v>
      </c>
      <c r="D69" s="16" t="s">
        <v>21</v>
      </c>
      <c r="E69" s="16" t="s">
        <v>22</v>
      </c>
      <c r="F69" s="16" t="s">
        <v>17</v>
      </c>
      <c r="G69" s="16" t="s">
        <v>31</v>
      </c>
      <c r="H69" s="17">
        <v>44992.0</v>
      </c>
      <c r="I69" s="18">
        <v>200.0</v>
      </c>
      <c r="J69" s="19">
        <v>318.11</v>
      </c>
      <c r="K69" s="19">
        <v>173.27</v>
      </c>
      <c r="L69" s="19">
        <v>63622.0</v>
      </c>
      <c r="M69" s="19">
        <v>34654.0</v>
      </c>
      <c r="N69" s="19">
        <v>28968.0</v>
      </c>
      <c r="O69" s="20">
        <v>0.4553141994907422</v>
      </c>
    </row>
    <row r="70" ht="15.75" customHeight="1">
      <c r="B70" s="16" t="s">
        <v>99</v>
      </c>
      <c r="C70" s="16" t="s">
        <v>20</v>
      </c>
      <c r="D70" s="16" t="s">
        <v>15</v>
      </c>
      <c r="E70" s="16" t="s">
        <v>26</v>
      </c>
      <c r="F70" s="16" t="s">
        <v>27</v>
      </c>
      <c r="G70" s="16" t="s">
        <v>23</v>
      </c>
      <c r="H70" s="17">
        <v>44993.0</v>
      </c>
      <c r="I70" s="18">
        <v>164.0</v>
      </c>
      <c r="J70" s="19">
        <v>189.56</v>
      </c>
      <c r="K70" s="19">
        <v>69.92</v>
      </c>
      <c r="L70" s="19">
        <v>31087.84</v>
      </c>
      <c r="M70" s="19">
        <v>11466.880000000001</v>
      </c>
      <c r="N70" s="19">
        <v>19620.96</v>
      </c>
      <c r="O70" s="20">
        <v>0.6311458113526061</v>
      </c>
    </row>
    <row r="71" ht="15.75" customHeight="1">
      <c r="B71" s="16" t="s">
        <v>100</v>
      </c>
      <c r="C71" s="16" t="s">
        <v>25</v>
      </c>
      <c r="D71" s="16" t="s">
        <v>21</v>
      </c>
      <c r="E71" s="16" t="s">
        <v>46</v>
      </c>
      <c r="F71" s="16" t="s">
        <v>17</v>
      </c>
      <c r="G71" s="16" t="s">
        <v>18</v>
      </c>
      <c r="H71" s="17">
        <v>44994.0</v>
      </c>
      <c r="I71" s="18">
        <v>431.0</v>
      </c>
      <c r="J71" s="19">
        <v>258.74</v>
      </c>
      <c r="K71" s="19">
        <v>31.7</v>
      </c>
      <c r="L71" s="19">
        <v>111516.94</v>
      </c>
      <c r="M71" s="19">
        <v>13662.699999999999</v>
      </c>
      <c r="N71" s="19">
        <v>97854.24</v>
      </c>
      <c r="O71" s="20">
        <v>0.8774831877560486</v>
      </c>
    </row>
    <row r="72" ht="15.75" customHeight="1">
      <c r="B72" s="16" t="s">
        <v>101</v>
      </c>
      <c r="C72" s="16" t="s">
        <v>20</v>
      </c>
      <c r="D72" s="16" t="s">
        <v>54</v>
      </c>
      <c r="E72" s="16" t="s">
        <v>46</v>
      </c>
      <c r="F72" s="16" t="s">
        <v>17</v>
      </c>
      <c r="G72" s="16" t="s">
        <v>31</v>
      </c>
      <c r="H72" s="17">
        <v>44995.0</v>
      </c>
      <c r="I72" s="18">
        <v>197.0</v>
      </c>
      <c r="J72" s="19">
        <v>209.45</v>
      </c>
      <c r="K72" s="19">
        <v>313.51</v>
      </c>
      <c r="L72" s="19">
        <v>41261.649999999994</v>
      </c>
      <c r="M72" s="19">
        <v>61761.47</v>
      </c>
      <c r="N72" s="19">
        <v>-20499.820000000007</v>
      </c>
      <c r="O72" s="20">
        <v>-0.4968250179040346</v>
      </c>
    </row>
    <row r="73" ht="15.75" customHeight="1">
      <c r="B73" s="16" t="s">
        <v>102</v>
      </c>
      <c r="C73" s="16" t="s">
        <v>52</v>
      </c>
      <c r="D73" s="16" t="s">
        <v>15</v>
      </c>
      <c r="E73" s="16" t="s">
        <v>46</v>
      </c>
      <c r="F73" s="16" t="s">
        <v>17</v>
      </c>
      <c r="G73" s="16" t="s">
        <v>31</v>
      </c>
      <c r="H73" s="17">
        <v>44996.0</v>
      </c>
      <c r="I73" s="18">
        <v>16.0</v>
      </c>
      <c r="J73" s="19">
        <v>39.22</v>
      </c>
      <c r="K73" s="19">
        <v>107.62</v>
      </c>
      <c r="L73" s="19">
        <v>627.52</v>
      </c>
      <c r="M73" s="19">
        <v>1721.92</v>
      </c>
      <c r="N73" s="19">
        <v>-1094.4</v>
      </c>
      <c r="O73" s="20">
        <v>-1.744008159102499</v>
      </c>
    </row>
    <row r="74" ht="15.75" customHeight="1">
      <c r="B74" s="16" t="s">
        <v>103</v>
      </c>
      <c r="C74" s="16" t="s">
        <v>52</v>
      </c>
      <c r="D74" s="16" t="s">
        <v>54</v>
      </c>
      <c r="E74" s="16" t="s">
        <v>16</v>
      </c>
      <c r="F74" s="16" t="s">
        <v>17</v>
      </c>
      <c r="G74" s="16" t="s">
        <v>18</v>
      </c>
      <c r="H74" s="17">
        <v>44997.0</v>
      </c>
      <c r="I74" s="18">
        <v>142.0</v>
      </c>
      <c r="J74" s="19">
        <v>221.4</v>
      </c>
      <c r="K74" s="19">
        <v>72.75</v>
      </c>
      <c r="L74" s="19">
        <v>31438.8</v>
      </c>
      <c r="M74" s="19">
        <v>10330.5</v>
      </c>
      <c r="N74" s="19">
        <v>21108.3</v>
      </c>
      <c r="O74" s="20">
        <v>0.6714092140921409</v>
      </c>
    </row>
    <row r="75" ht="15.75" customHeight="1">
      <c r="B75" s="16" t="s">
        <v>104</v>
      </c>
      <c r="C75" s="16" t="s">
        <v>52</v>
      </c>
      <c r="D75" s="16" t="s">
        <v>34</v>
      </c>
      <c r="E75" s="16" t="s">
        <v>22</v>
      </c>
      <c r="F75" s="16" t="s">
        <v>17</v>
      </c>
      <c r="G75" s="16" t="s">
        <v>23</v>
      </c>
      <c r="H75" s="17">
        <v>44998.0</v>
      </c>
      <c r="I75" s="18">
        <v>244.0</v>
      </c>
      <c r="J75" s="19">
        <v>53.21</v>
      </c>
      <c r="K75" s="19">
        <v>277.26</v>
      </c>
      <c r="L75" s="19">
        <v>12983.24</v>
      </c>
      <c r="M75" s="19">
        <v>67651.44</v>
      </c>
      <c r="N75" s="19">
        <v>-54668.200000000004</v>
      </c>
      <c r="O75" s="20">
        <v>-4.210674685209548</v>
      </c>
    </row>
    <row r="76" ht="15.75" customHeight="1">
      <c r="B76" s="16" t="s">
        <v>105</v>
      </c>
      <c r="C76" s="16" t="s">
        <v>25</v>
      </c>
      <c r="D76" s="16" t="s">
        <v>15</v>
      </c>
      <c r="E76" s="16" t="s">
        <v>16</v>
      </c>
      <c r="F76" s="16" t="s">
        <v>17</v>
      </c>
      <c r="G76" s="16" t="s">
        <v>18</v>
      </c>
      <c r="H76" s="17">
        <v>44999.0</v>
      </c>
      <c r="I76" s="18">
        <v>54.0</v>
      </c>
      <c r="J76" s="19">
        <v>205.49</v>
      </c>
      <c r="K76" s="19">
        <v>247.98</v>
      </c>
      <c r="L76" s="19">
        <v>11096.460000000001</v>
      </c>
      <c r="M76" s="19">
        <v>13390.92</v>
      </c>
      <c r="N76" s="19">
        <v>-2294.459999999999</v>
      </c>
      <c r="O76" s="20">
        <v>-0.20677405226531695</v>
      </c>
    </row>
    <row r="77" ht="15.75" customHeight="1">
      <c r="B77" s="16" t="s">
        <v>106</v>
      </c>
      <c r="C77" s="16" t="s">
        <v>52</v>
      </c>
      <c r="D77" s="16" t="s">
        <v>34</v>
      </c>
      <c r="E77" s="16" t="s">
        <v>22</v>
      </c>
      <c r="F77" s="16" t="s">
        <v>17</v>
      </c>
      <c r="G77" s="16" t="s">
        <v>23</v>
      </c>
      <c r="H77" s="17">
        <v>45000.0</v>
      </c>
      <c r="I77" s="18">
        <v>323.0</v>
      </c>
      <c r="J77" s="19">
        <v>298.49</v>
      </c>
      <c r="K77" s="19">
        <v>254.01</v>
      </c>
      <c r="L77" s="19">
        <v>96412.27</v>
      </c>
      <c r="M77" s="19">
        <v>82045.23</v>
      </c>
      <c r="N77" s="19">
        <v>14367.040000000008</v>
      </c>
      <c r="O77" s="20">
        <v>0.14901671747797254</v>
      </c>
    </row>
    <row r="78" ht="15.75" customHeight="1">
      <c r="B78" s="16" t="s">
        <v>107</v>
      </c>
      <c r="C78" s="16" t="s">
        <v>25</v>
      </c>
      <c r="D78" s="16" t="s">
        <v>21</v>
      </c>
      <c r="E78" s="16" t="s">
        <v>16</v>
      </c>
      <c r="F78" s="16" t="s">
        <v>27</v>
      </c>
      <c r="G78" s="16" t="s">
        <v>31</v>
      </c>
      <c r="H78" s="17">
        <v>45001.0</v>
      </c>
      <c r="I78" s="18">
        <v>258.0</v>
      </c>
      <c r="J78" s="19">
        <v>291.81</v>
      </c>
      <c r="K78" s="19">
        <v>93.1</v>
      </c>
      <c r="L78" s="19">
        <v>75286.98</v>
      </c>
      <c r="M78" s="19">
        <v>24019.8</v>
      </c>
      <c r="N78" s="19">
        <v>51267.17999999999</v>
      </c>
      <c r="O78" s="20">
        <v>0.6809567869504128</v>
      </c>
    </row>
    <row r="79" ht="15.75" customHeight="1">
      <c r="B79" s="16" t="s">
        <v>108</v>
      </c>
      <c r="C79" s="16" t="s">
        <v>52</v>
      </c>
      <c r="D79" s="16" t="s">
        <v>21</v>
      </c>
      <c r="E79" s="16" t="s">
        <v>16</v>
      </c>
      <c r="F79" s="16" t="s">
        <v>27</v>
      </c>
      <c r="G79" s="16" t="s">
        <v>23</v>
      </c>
      <c r="H79" s="17">
        <v>45002.0</v>
      </c>
      <c r="I79" s="18">
        <v>40.0</v>
      </c>
      <c r="J79" s="19">
        <v>333.0</v>
      </c>
      <c r="K79" s="19">
        <v>94.59</v>
      </c>
      <c r="L79" s="19">
        <v>13320.0</v>
      </c>
      <c r="M79" s="19">
        <v>3783.6000000000004</v>
      </c>
      <c r="N79" s="19">
        <v>9536.4</v>
      </c>
      <c r="O79" s="20">
        <v>0.715945945945946</v>
      </c>
    </row>
    <row r="80" ht="15.75" customHeight="1">
      <c r="B80" s="16" t="s">
        <v>109</v>
      </c>
      <c r="C80" s="16" t="s">
        <v>20</v>
      </c>
      <c r="D80" s="16" t="s">
        <v>15</v>
      </c>
      <c r="E80" s="16" t="s">
        <v>26</v>
      </c>
      <c r="F80" s="16" t="s">
        <v>27</v>
      </c>
      <c r="G80" s="16" t="s">
        <v>31</v>
      </c>
      <c r="H80" s="17">
        <v>45003.0</v>
      </c>
      <c r="I80" s="18">
        <v>32.0</v>
      </c>
      <c r="J80" s="19">
        <v>52.15</v>
      </c>
      <c r="K80" s="19">
        <v>89.88</v>
      </c>
      <c r="L80" s="19">
        <v>1668.8</v>
      </c>
      <c r="M80" s="19">
        <v>2876.16</v>
      </c>
      <c r="N80" s="19">
        <v>-1207.36</v>
      </c>
      <c r="O80" s="20">
        <v>-0.723489932885906</v>
      </c>
    </row>
    <row r="81" ht="15.75" customHeight="1">
      <c r="B81" s="16" t="s">
        <v>110</v>
      </c>
      <c r="C81" s="16" t="s">
        <v>20</v>
      </c>
      <c r="D81" s="16" t="s">
        <v>15</v>
      </c>
      <c r="E81" s="16" t="s">
        <v>16</v>
      </c>
      <c r="F81" s="16" t="s">
        <v>27</v>
      </c>
      <c r="G81" s="16" t="s">
        <v>18</v>
      </c>
      <c r="H81" s="17">
        <v>45004.0</v>
      </c>
      <c r="I81" s="18">
        <v>435.0</v>
      </c>
      <c r="J81" s="19">
        <v>327.8</v>
      </c>
      <c r="K81" s="19">
        <v>71.15</v>
      </c>
      <c r="L81" s="19">
        <v>142593.0</v>
      </c>
      <c r="M81" s="19">
        <v>30950.250000000004</v>
      </c>
      <c r="N81" s="19">
        <v>111642.75</v>
      </c>
      <c r="O81" s="20">
        <v>0.7829469188529591</v>
      </c>
    </row>
    <row r="82" ht="15.75" customHeight="1">
      <c r="B82" s="16" t="s">
        <v>111</v>
      </c>
      <c r="C82" s="16" t="s">
        <v>14</v>
      </c>
      <c r="D82" s="16" t="s">
        <v>54</v>
      </c>
      <c r="E82" s="16" t="s">
        <v>30</v>
      </c>
      <c r="F82" s="16" t="s">
        <v>27</v>
      </c>
      <c r="G82" s="16" t="s">
        <v>18</v>
      </c>
      <c r="H82" s="17">
        <v>45005.0</v>
      </c>
      <c r="I82" s="18">
        <v>403.0</v>
      </c>
      <c r="J82" s="19">
        <v>159.51</v>
      </c>
      <c r="K82" s="19">
        <v>262.98</v>
      </c>
      <c r="L82" s="19">
        <v>64282.53</v>
      </c>
      <c r="M82" s="19">
        <v>105980.94</v>
      </c>
      <c r="N82" s="19">
        <v>-41698.41</v>
      </c>
      <c r="O82" s="20">
        <v>-0.6486740643219862</v>
      </c>
    </row>
    <row r="83" ht="15.75" customHeight="1">
      <c r="B83" s="16" t="s">
        <v>112</v>
      </c>
      <c r="C83" s="16" t="s">
        <v>20</v>
      </c>
      <c r="D83" s="16" t="s">
        <v>54</v>
      </c>
      <c r="E83" s="16" t="s">
        <v>26</v>
      </c>
      <c r="F83" s="16" t="s">
        <v>17</v>
      </c>
      <c r="G83" s="16" t="s">
        <v>18</v>
      </c>
      <c r="H83" s="17">
        <v>45006.0</v>
      </c>
      <c r="I83" s="18">
        <v>169.0</v>
      </c>
      <c r="J83" s="19">
        <v>249.64520588235297</v>
      </c>
      <c r="K83" s="19">
        <v>339.51</v>
      </c>
      <c r="L83" s="19">
        <v>42190.03979411765</v>
      </c>
      <c r="M83" s="19">
        <v>57377.189999999995</v>
      </c>
      <c r="N83" s="19">
        <v>-15187.150205882346</v>
      </c>
      <c r="O83" s="20">
        <v>-0.35997003747789347</v>
      </c>
    </row>
    <row r="84" ht="15.75" customHeight="1">
      <c r="B84" s="16" t="s">
        <v>113</v>
      </c>
      <c r="C84" s="16" t="s">
        <v>14</v>
      </c>
      <c r="D84" s="16" t="s">
        <v>34</v>
      </c>
      <c r="E84" s="16" t="s">
        <v>16</v>
      </c>
      <c r="F84" s="16" t="s">
        <v>17</v>
      </c>
      <c r="G84" s="16" t="s">
        <v>23</v>
      </c>
      <c r="H84" s="17">
        <v>45007.0</v>
      </c>
      <c r="I84" s="18">
        <v>372.0</v>
      </c>
      <c r="J84" s="19">
        <v>429.7</v>
      </c>
      <c r="K84" s="19">
        <v>290.28</v>
      </c>
      <c r="L84" s="19">
        <v>159848.4</v>
      </c>
      <c r="M84" s="19">
        <v>107984.15999999999</v>
      </c>
      <c r="N84" s="19">
        <v>51864.240000000005</v>
      </c>
      <c r="O84" s="20">
        <v>0.3244589248312777</v>
      </c>
    </row>
    <row r="85" ht="15.75" customHeight="1">
      <c r="B85" s="16" t="s">
        <v>114</v>
      </c>
      <c r="C85" s="16" t="s">
        <v>20</v>
      </c>
      <c r="D85" s="16" t="s">
        <v>15</v>
      </c>
      <c r="E85" s="16" t="s">
        <v>46</v>
      </c>
      <c r="F85" s="16" t="s">
        <v>27</v>
      </c>
      <c r="G85" s="16" t="s">
        <v>31</v>
      </c>
      <c r="H85" s="17">
        <v>45008.0</v>
      </c>
      <c r="I85" s="18">
        <v>446.0</v>
      </c>
      <c r="J85" s="19">
        <v>9.47</v>
      </c>
      <c r="K85" s="19">
        <v>317.25</v>
      </c>
      <c r="L85" s="19">
        <v>4223.62</v>
      </c>
      <c r="M85" s="19">
        <v>141493.5</v>
      </c>
      <c r="N85" s="19">
        <v>-137269.88</v>
      </c>
      <c r="O85" s="20">
        <v>-32.50052798310454</v>
      </c>
    </row>
    <row r="86" ht="15.75" customHeight="1">
      <c r="B86" s="16" t="s">
        <v>115</v>
      </c>
      <c r="C86" s="16" t="s">
        <v>25</v>
      </c>
      <c r="D86" s="16" t="s">
        <v>21</v>
      </c>
      <c r="E86" s="16" t="s">
        <v>30</v>
      </c>
      <c r="F86" s="16" t="s">
        <v>17</v>
      </c>
      <c r="G86" s="16" t="s">
        <v>18</v>
      </c>
      <c r="H86" s="17">
        <v>45009.0</v>
      </c>
      <c r="I86" s="18">
        <v>167.0</v>
      </c>
      <c r="J86" s="19">
        <v>296.26</v>
      </c>
      <c r="K86" s="19">
        <v>163.11</v>
      </c>
      <c r="L86" s="19">
        <v>49475.42</v>
      </c>
      <c r="M86" s="19">
        <v>27239.370000000003</v>
      </c>
      <c r="N86" s="19">
        <v>22236.049999999996</v>
      </c>
      <c r="O86" s="20">
        <v>0.4494363059474785</v>
      </c>
    </row>
    <row r="87" ht="15.75" customHeight="1">
      <c r="B87" s="16" t="s">
        <v>116</v>
      </c>
      <c r="C87" s="16" t="s">
        <v>20</v>
      </c>
      <c r="D87" s="16" t="s">
        <v>54</v>
      </c>
      <c r="E87" s="16" t="s">
        <v>30</v>
      </c>
      <c r="F87" s="16" t="s">
        <v>27</v>
      </c>
      <c r="G87" s="16" t="s">
        <v>18</v>
      </c>
      <c r="H87" s="17">
        <v>45010.0</v>
      </c>
      <c r="I87" s="18">
        <v>48.0</v>
      </c>
      <c r="J87" s="19">
        <v>301.36</v>
      </c>
      <c r="K87" s="19">
        <v>262.32</v>
      </c>
      <c r="L87" s="19">
        <v>14465.28</v>
      </c>
      <c r="M87" s="19">
        <v>12591.36</v>
      </c>
      <c r="N87" s="19">
        <v>1873.92</v>
      </c>
      <c r="O87" s="20">
        <v>0.12954605787098486</v>
      </c>
    </row>
    <row r="88" ht="15.75" customHeight="1">
      <c r="B88" s="16" t="s">
        <v>117</v>
      </c>
      <c r="C88" s="16" t="s">
        <v>14</v>
      </c>
      <c r="D88" s="16" t="s">
        <v>54</v>
      </c>
      <c r="E88" s="16" t="s">
        <v>30</v>
      </c>
      <c r="F88" s="16" t="s">
        <v>27</v>
      </c>
      <c r="G88" s="16" t="s">
        <v>31</v>
      </c>
      <c r="H88" s="17">
        <v>45011.0</v>
      </c>
      <c r="I88" s="18">
        <v>424.0</v>
      </c>
      <c r="J88" s="19">
        <v>201.35</v>
      </c>
      <c r="K88" s="19">
        <v>142.99</v>
      </c>
      <c r="L88" s="19">
        <v>85372.4</v>
      </c>
      <c r="M88" s="19">
        <v>60627.76</v>
      </c>
      <c r="N88" s="19">
        <v>24744.639999999992</v>
      </c>
      <c r="O88" s="20">
        <v>0.28984355599702005</v>
      </c>
    </row>
    <row r="89" ht="15.75" customHeight="1">
      <c r="B89" s="16" t="s">
        <v>118</v>
      </c>
      <c r="C89" s="16" t="s">
        <v>14</v>
      </c>
      <c r="D89" s="16" t="s">
        <v>21</v>
      </c>
      <c r="E89" s="16" t="s">
        <v>26</v>
      </c>
      <c r="F89" s="16" t="s">
        <v>17</v>
      </c>
      <c r="G89" s="16" t="s">
        <v>18</v>
      </c>
      <c r="H89" s="17">
        <v>45012.0</v>
      </c>
      <c r="I89" s="18">
        <v>91.0</v>
      </c>
      <c r="J89" s="19">
        <v>122.33</v>
      </c>
      <c r="K89" s="19">
        <v>211.15</v>
      </c>
      <c r="L89" s="19">
        <v>11132.03</v>
      </c>
      <c r="M89" s="19">
        <v>19214.65</v>
      </c>
      <c r="N89" s="19">
        <v>-8082.620000000001</v>
      </c>
      <c r="O89" s="20">
        <v>-0.7260688302133573</v>
      </c>
    </row>
    <row r="90" ht="15.75" customHeight="1">
      <c r="B90" s="16" t="s">
        <v>119</v>
      </c>
      <c r="C90" s="16" t="s">
        <v>52</v>
      </c>
      <c r="D90" s="16" t="s">
        <v>54</v>
      </c>
      <c r="E90" s="16" t="s">
        <v>16</v>
      </c>
      <c r="F90" s="16" t="s">
        <v>17</v>
      </c>
      <c r="G90" s="16" t="s">
        <v>31</v>
      </c>
      <c r="H90" s="17">
        <v>45013.0</v>
      </c>
      <c r="I90" s="18">
        <v>365.0</v>
      </c>
      <c r="J90" s="19">
        <v>121.16</v>
      </c>
      <c r="K90" s="19">
        <v>193.69</v>
      </c>
      <c r="L90" s="19">
        <v>44223.4</v>
      </c>
      <c r="M90" s="19">
        <v>70696.85</v>
      </c>
      <c r="N90" s="19">
        <v>-26473.450000000004</v>
      </c>
      <c r="O90" s="20">
        <v>-0.5986299108616706</v>
      </c>
    </row>
    <row r="91" ht="15.75" customHeight="1">
      <c r="B91" s="16" t="s">
        <v>120</v>
      </c>
      <c r="C91" s="16" t="s">
        <v>25</v>
      </c>
      <c r="D91" s="16" t="s">
        <v>34</v>
      </c>
      <c r="E91" s="16" t="s">
        <v>16</v>
      </c>
      <c r="F91" s="16" t="s">
        <v>17</v>
      </c>
      <c r="G91" s="16" t="s">
        <v>31</v>
      </c>
      <c r="H91" s="17">
        <v>45014.0</v>
      </c>
      <c r="I91" s="18">
        <v>267.0</v>
      </c>
      <c r="J91" s="19">
        <v>442.44</v>
      </c>
      <c r="K91" s="19">
        <v>72.4</v>
      </c>
      <c r="L91" s="19">
        <v>118131.48</v>
      </c>
      <c r="M91" s="19">
        <v>19330.800000000003</v>
      </c>
      <c r="N91" s="19">
        <v>98800.68</v>
      </c>
      <c r="O91" s="20">
        <v>0.8363619925865654</v>
      </c>
    </row>
    <row r="92" ht="15.75" customHeight="1">
      <c r="B92" s="16" t="s">
        <v>121</v>
      </c>
      <c r="C92" s="16" t="s">
        <v>20</v>
      </c>
      <c r="D92" s="16" t="s">
        <v>15</v>
      </c>
      <c r="E92" s="16" t="s">
        <v>46</v>
      </c>
      <c r="F92" s="16" t="s">
        <v>27</v>
      </c>
      <c r="G92" s="16" t="s">
        <v>31</v>
      </c>
      <c r="H92" s="17">
        <v>45015.0</v>
      </c>
      <c r="I92" s="18">
        <v>215.0</v>
      </c>
      <c r="J92" s="19">
        <v>223.8</v>
      </c>
      <c r="K92" s="19">
        <v>156.06</v>
      </c>
      <c r="L92" s="19">
        <v>48117.0</v>
      </c>
      <c r="M92" s="19">
        <v>33552.9</v>
      </c>
      <c r="N92" s="19">
        <v>14564.099999999999</v>
      </c>
      <c r="O92" s="20">
        <v>0.3026809651474531</v>
      </c>
    </row>
    <row r="93" ht="15.75" customHeight="1">
      <c r="B93" s="16" t="s">
        <v>122</v>
      </c>
      <c r="C93" s="16" t="s">
        <v>52</v>
      </c>
      <c r="D93" s="16" t="s">
        <v>21</v>
      </c>
      <c r="E93" s="16" t="s">
        <v>46</v>
      </c>
      <c r="F93" s="16" t="s">
        <v>17</v>
      </c>
      <c r="G93" s="16" t="s">
        <v>31</v>
      </c>
      <c r="H93" s="17">
        <v>45016.0</v>
      </c>
      <c r="I93" s="18">
        <v>86.0</v>
      </c>
      <c r="J93" s="19">
        <v>168.79</v>
      </c>
      <c r="K93" s="19">
        <v>385.6</v>
      </c>
      <c r="L93" s="19">
        <v>14515.939999999999</v>
      </c>
      <c r="M93" s="19">
        <v>33161.6</v>
      </c>
      <c r="N93" s="19">
        <v>-18645.66</v>
      </c>
      <c r="O93" s="20">
        <v>-1.284495526986196</v>
      </c>
    </row>
    <row r="94" ht="15.75" customHeight="1">
      <c r="B94" s="16" t="s">
        <v>123</v>
      </c>
      <c r="C94" s="16" t="s">
        <v>20</v>
      </c>
      <c r="D94" s="16" t="s">
        <v>15</v>
      </c>
      <c r="E94" s="16" t="s">
        <v>30</v>
      </c>
      <c r="F94" s="16" t="s">
        <v>27</v>
      </c>
      <c r="G94" s="16" t="s">
        <v>31</v>
      </c>
      <c r="H94" s="17">
        <v>45017.0</v>
      </c>
      <c r="I94" s="18">
        <v>486.0</v>
      </c>
      <c r="J94" s="19">
        <v>227.14</v>
      </c>
      <c r="K94" s="19">
        <v>100.93</v>
      </c>
      <c r="L94" s="19">
        <v>110390.04</v>
      </c>
      <c r="M94" s="19">
        <v>49051.98</v>
      </c>
      <c r="N94" s="19">
        <v>61338.05999999999</v>
      </c>
      <c r="O94" s="20">
        <v>0.5556484987232543</v>
      </c>
    </row>
    <row r="95" ht="15.75" customHeight="1">
      <c r="B95" s="16" t="s">
        <v>124</v>
      </c>
      <c r="C95" s="16" t="s">
        <v>20</v>
      </c>
      <c r="D95" s="16" t="s">
        <v>54</v>
      </c>
      <c r="E95" s="16" t="s">
        <v>46</v>
      </c>
      <c r="F95" s="16" t="s">
        <v>27</v>
      </c>
      <c r="G95" s="16" t="s">
        <v>23</v>
      </c>
      <c r="H95" s="17">
        <v>45018.0</v>
      </c>
      <c r="I95" s="18">
        <v>21.0</v>
      </c>
      <c r="J95" s="19">
        <v>249.64520588235297</v>
      </c>
      <c r="K95" s="19">
        <v>55.25</v>
      </c>
      <c r="L95" s="19">
        <v>5242.5493235294125</v>
      </c>
      <c r="M95" s="19">
        <v>1160.25</v>
      </c>
      <c r="N95" s="19">
        <v>4082.2993235294125</v>
      </c>
      <c r="O95" s="20">
        <v>0.778685916259746</v>
      </c>
    </row>
    <row r="96" ht="15.75" customHeight="1">
      <c r="B96" s="16" t="s">
        <v>125</v>
      </c>
      <c r="C96" s="16" t="s">
        <v>52</v>
      </c>
      <c r="D96" s="16" t="s">
        <v>54</v>
      </c>
      <c r="E96" s="16" t="s">
        <v>26</v>
      </c>
      <c r="F96" s="16" t="s">
        <v>27</v>
      </c>
      <c r="G96" s="16" t="s">
        <v>18</v>
      </c>
      <c r="H96" s="17">
        <v>45019.0</v>
      </c>
      <c r="I96" s="18">
        <v>304.0</v>
      </c>
      <c r="J96" s="19">
        <v>77.15</v>
      </c>
      <c r="K96" s="19">
        <v>168.6</v>
      </c>
      <c r="L96" s="19">
        <v>23453.600000000002</v>
      </c>
      <c r="M96" s="19">
        <v>51254.4</v>
      </c>
      <c r="N96" s="19">
        <v>-27800.8</v>
      </c>
      <c r="O96" s="20">
        <v>-1.1853532080362927</v>
      </c>
    </row>
    <row r="97" ht="15.75" customHeight="1">
      <c r="B97" s="16" t="s">
        <v>126</v>
      </c>
      <c r="C97" s="16" t="s">
        <v>52</v>
      </c>
      <c r="D97" s="16" t="s">
        <v>21</v>
      </c>
      <c r="E97" s="16" t="s">
        <v>16</v>
      </c>
      <c r="F97" s="16" t="s">
        <v>17</v>
      </c>
      <c r="G97" s="16" t="s">
        <v>23</v>
      </c>
      <c r="H97" s="17">
        <v>45020.0</v>
      </c>
      <c r="I97" s="18">
        <v>459.0</v>
      </c>
      <c r="J97" s="19">
        <v>227.47</v>
      </c>
      <c r="K97" s="19">
        <v>316.55</v>
      </c>
      <c r="L97" s="19">
        <v>104408.73</v>
      </c>
      <c r="M97" s="19">
        <v>145296.45</v>
      </c>
      <c r="N97" s="19">
        <v>-40887.720000000016</v>
      </c>
      <c r="O97" s="20">
        <v>-0.3916120807139405</v>
      </c>
    </row>
    <row r="98" ht="15.75" customHeight="1">
      <c r="B98" s="16" t="s">
        <v>127</v>
      </c>
      <c r="C98" s="16" t="s">
        <v>52</v>
      </c>
      <c r="D98" s="16" t="s">
        <v>34</v>
      </c>
      <c r="E98" s="16" t="s">
        <v>30</v>
      </c>
      <c r="F98" s="16" t="s">
        <v>17</v>
      </c>
      <c r="G98" s="16" t="s">
        <v>18</v>
      </c>
      <c r="H98" s="17">
        <v>45021.0</v>
      </c>
      <c r="I98" s="18">
        <v>233.0</v>
      </c>
      <c r="J98" s="19">
        <v>296.0</v>
      </c>
      <c r="K98" s="19">
        <v>233.69</v>
      </c>
      <c r="L98" s="19">
        <v>68968.0</v>
      </c>
      <c r="M98" s="19">
        <v>54449.77</v>
      </c>
      <c r="N98" s="19">
        <v>14518.230000000003</v>
      </c>
      <c r="O98" s="20">
        <v>0.2105067567567568</v>
      </c>
    </row>
    <row r="99" ht="15.75" customHeight="1">
      <c r="B99" s="16" t="s">
        <v>128</v>
      </c>
      <c r="C99" s="16" t="s">
        <v>52</v>
      </c>
      <c r="D99" s="16" t="s">
        <v>29</v>
      </c>
      <c r="E99" s="16" t="s">
        <v>46</v>
      </c>
      <c r="F99" s="16" t="s">
        <v>27</v>
      </c>
      <c r="G99" s="16" t="s">
        <v>23</v>
      </c>
      <c r="H99" s="17">
        <v>45022.0</v>
      </c>
      <c r="I99" s="18">
        <v>22.0</v>
      </c>
      <c r="J99" s="19">
        <v>474.55</v>
      </c>
      <c r="K99" s="19">
        <v>273.03</v>
      </c>
      <c r="L99" s="19">
        <v>10440.1</v>
      </c>
      <c r="M99" s="19">
        <v>6006.66</v>
      </c>
      <c r="N99" s="19">
        <v>4433.4400000000005</v>
      </c>
      <c r="O99" s="20">
        <v>0.4246549362553999</v>
      </c>
    </row>
    <row r="100" ht="15.75" customHeight="1">
      <c r="B100" s="16" t="s">
        <v>129</v>
      </c>
      <c r="C100" s="16" t="s">
        <v>52</v>
      </c>
      <c r="D100" s="16" t="s">
        <v>21</v>
      </c>
      <c r="E100" s="16" t="s">
        <v>26</v>
      </c>
      <c r="F100" s="16" t="s">
        <v>17</v>
      </c>
      <c r="G100" s="16" t="s">
        <v>31</v>
      </c>
      <c r="H100" s="17">
        <v>45023.0</v>
      </c>
      <c r="I100" s="18">
        <v>55.0</v>
      </c>
      <c r="J100" s="19">
        <v>130.0</v>
      </c>
      <c r="K100" s="19">
        <v>77.5</v>
      </c>
      <c r="L100" s="19">
        <v>7150.0</v>
      </c>
      <c r="M100" s="19">
        <v>4262.5</v>
      </c>
      <c r="N100" s="19">
        <v>2887.5</v>
      </c>
      <c r="O100" s="20">
        <v>0.40384615384615385</v>
      </c>
    </row>
    <row r="101" ht="15.75" customHeight="1">
      <c r="B101" s="16" t="s">
        <v>130</v>
      </c>
      <c r="C101" s="16" t="s">
        <v>20</v>
      </c>
      <c r="D101" s="16" t="s">
        <v>29</v>
      </c>
      <c r="E101" s="16" t="s">
        <v>26</v>
      </c>
      <c r="F101" s="16" t="s">
        <v>17</v>
      </c>
      <c r="G101" s="16" t="s">
        <v>18</v>
      </c>
      <c r="H101" s="17">
        <v>45024.0</v>
      </c>
      <c r="I101" s="18">
        <v>164.0</v>
      </c>
      <c r="J101" s="19">
        <v>182.83</v>
      </c>
      <c r="K101" s="19">
        <v>248.34</v>
      </c>
      <c r="L101" s="19">
        <v>29984.120000000003</v>
      </c>
      <c r="M101" s="19">
        <v>40727.76</v>
      </c>
      <c r="N101" s="19">
        <v>-10743.64</v>
      </c>
      <c r="O101" s="20">
        <v>-0.3583109992889569</v>
      </c>
    </row>
    <row r="102" ht="15.75" customHeight="1">
      <c r="B102" s="16" t="s">
        <v>131</v>
      </c>
      <c r="C102" s="16" t="s">
        <v>52</v>
      </c>
      <c r="D102" s="16" t="s">
        <v>29</v>
      </c>
      <c r="E102" s="16" t="s">
        <v>46</v>
      </c>
      <c r="F102" s="16" t="s">
        <v>17</v>
      </c>
      <c r="G102" s="16" t="s">
        <v>18</v>
      </c>
      <c r="H102" s="17">
        <v>45025.0</v>
      </c>
      <c r="I102" s="18">
        <v>122.0</v>
      </c>
      <c r="J102" s="19">
        <v>192.78</v>
      </c>
      <c r="K102" s="19">
        <v>130.75</v>
      </c>
      <c r="L102" s="19">
        <v>23519.16</v>
      </c>
      <c r="M102" s="19">
        <v>15951.5</v>
      </c>
      <c r="N102" s="19">
        <v>7567.66</v>
      </c>
      <c r="O102" s="20">
        <v>0.3217657433343708</v>
      </c>
    </row>
    <row r="103" ht="15.75" customHeight="1">
      <c r="B103" s="16" t="s">
        <v>132</v>
      </c>
      <c r="C103" s="16" t="s">
        <v>25</v>
      </c>
      <c r="D103" s="16" t="s">
        <v>34</v>
      </c>
      <c r="E103" s="16" t="s">
        <v>16</v>
      </c>
      <c r="F103" s="16" t="s">
        <v>27</v>
      </c>
      <c r="G103" s="16" t="s">
        <v>23</v>
      </c>
      <c r="H103" s="17">
        <v>45026.0</v>
      </c>
      <c r="I103" s="18">
        <v>242.0</v>
      </c>
      <c r="J103" s="19">
        <v>304.74</v>
      </c>
      <c r="K103" s="19">
        <v>334.05</v>
      </c>
      <c r="L103" s="19">
        <v>73747.08</v>
      </c>
      <c r="M103" s="19">
        <v>80840.1</v>
      </c>
      <c r="N103" s="19">
        <v>-7093.020000000004</v>
      </c>
      <c r="O103" s="20">
        <v>-0.09618035046268957</v>
      </c>
    </row>
    <row r="104" ht="15.75" customHeight="1">
      <c r="B104" s="16" t="s">
        <v>133</v>
      </c>
      <c r="C104" s="16" t="s">
        <v>14</v>
      </c>
      <c r="D104" s="16" t="s">
        <v>29</v>
      </c>
      <c r="E104" s="16" t="s">
        <v>46</v>
      </c>
      <c r="F104" s="16" t="s">
        <v>27</v>
      </c>
      <c r="G104" s="16" t="s">
        <v>23</v>
      </c>
      <c r="H104" s="17">
        <v>45027.0</v>
      </c>
      <c r="I104" s="18">
        <v>26.0</v>
      </c>
      <c r="J104" s="19">
        <v>181.58</v>
      </c>
      <c r="K104" s="19">
        <v>252.46</v>
      </c>
      <c r="L104" s="19">
        <v>4721.08</v>
      </c>
      <c r="M104" s="19">
        <v>6563.96</v>
      </c>
      <c r="N104" s="19">
        <v>-1842.88</v>
      </c>
      <c r="O104" s="20">
        <v>-0.39035136028196943</v>
      </c>
    </row>
    <row r="105" ht="15.75" customHeight="1">
      <c r="B105" s="16" t="s">
        <v>134</v>
      </c>
      <c r="C105" s="16" t="s">
        <v>52</v>
      </c>
      <c r="D105" s="16" t="s">
        <v>29</v>
      </c>
      <c r="E105" s="16" t="s">
        <v>30</v>
      </c>
      <c r="F105" s="16" t="s">
        <v>17</v>
      </c>
      <c r="G105" s="16" t="s">
        <v>18</v>
      </c>
      <c r="H105" s="17">
        <v>45028.0</v>
      </c>
      <c r="I105" s="18">
        <v>369.0</v>
      </c>
      <c r="J105" s="19">
        <v>269.09</v>
      </c>
      <c r="K105" s="19">
        <v>81.14</v>
      </c>
      <c r="L105" s="19">
        <v>99294.20999999999</v>
      </c>
      <c r="M105" s="19">
        <v>29940.66</v>
      </c>
      <c r="N105" s="19">
        <v>69353.54999999999</v>
      </c>
      <c r="O105" s="20">
        <v>0.6984651975175591</v>
      </c>
    </row>
    <row r="106" ht="15.75" customHeight="1">
      <c r="B106" s="16" t="s">
        <v>135</v>
      </c>
      <c r="C106" s="16" t="s">
        <v>52</v>
      </c>
      <c r="D106" s="16" t="s">
        <v>34</v>
      </c>
      <c r="E106" s="16" t="s">
        <v>46</v>
      </c>
      <c r="F106" s="16" t="s">
        <v>27</v>
      </c>
      <c r="G106" s="16" t="s">
        <v>23</v>
      </c>
      <c r="H106" s="17">
        <v>45029.0</v>
      </c>
      <c r="I106" s="18">
        <v>232.0</v>
      </c>
      <c r="J106" s="19">
        <v>391.99</v>
      </c>
      <c r="K106" s="19">
        <v>27.72</v>
      </c>
      <c r="L106" s="19">
        <v>90941.68000000001</v>
      </c>
      <c r="M106" s="19">
        <v>6431.04</v>
      </c>
      <c r="N106" s="19">
        <v>84510.64000000001</v>
      </c>
      <c r="O106" s="20">
        <v>0.9292839103038344</v>
      </c>
    </row>
    <row r="107" ht="15.75" customHeight="1">
      <c r="B107" s="16" t="s">
        <v>136</v>
      </c>
      <c r="C107" s="16" t="s">
        <v>20</v>
      </c>
      <c r="D107" s="16" t="s">
        <v>29</v>
      </c>
      <c r="E107" s="16" t="s">
        <v>26</v>
      </c>
      <c r="F107" s="16" t="s">
        <v>17</v>
      </c>
      <c r="G107" s="16" t="s">
        <v>23</v>
      </c>
      <c r="H107" s="17">
        <v>45030.0</v>
      </c>
      <c r="I107" s="18">
        <v>363.0</v>
      </c>
      <c r="J107" s="19">
        <v>354.17</v>
      </c>
      <c r="K107" s="19">
        <v>18.97</v>
      </c>
      <c r="L107" s="19">
        <v>128563.71</v>
      </c>
      <c r="M107" s="19">
        <v>6886.11</v>
      </c>
      <c r="N107" s="19">
        <v>121677.6</v>
      </c>
      <c r="O107" s="20">
        <v>0.9464381511703419</v>
      </c>
    </row>
    <row r="108" ht="15.75" customHeight="1">
      <c r="B108" s="16" t="s">
        <v>137</v>
      </c>
      <c r="C108" s="16" t="s">
        <v>52</v>
      </c>
      <c r="D108" s="16" t="s">
        <v>29</v>
      </c>
      <c r="E108" s="16" t="s">
        <v>46</v>
      </c>
      <c r="F108" s="16" t="s">
        <v>17</v>
      </c>
      <c r="G108" s="16" t="s">
        <v>23</v>
      </c>
      <c r="H108" s="17">
        <v>45031.0</v>
      </c>
      <c r="I108" s="18">
        <v>197.0</v>
      </c>
      <c r="J108" s="19">
        <v>225.95</v>
      </c>
      <c r="K108" s="19">
        <v>149.82</v>
      </c>
      <c r="L108" s="19">
        <v>44512.149999999994</v>
      </c>
      <c r="M108" s="19">
        <v>29514.539999999997</v>
      </c>
      <c r="N108" s="19">
        <v>14997.609999999997</v>
      </c>
      <c r="O108" s="20">
        <v>0.3369329497676477</v>
      </c>
    </row>
    <row r="109" ht="15.75" customHeight="1">
      <c r="B109" s="16" t="s">
        <v>138</v>
      </c>
      <c r="C109" s="16" t="s">
        <v>52</v>
      </c>
      <c r="D109" s="16" t="s">
        <v>29</v>
      </c>
      <c r="E109" s="16" t="s">
        <v>16</v>
      </c>
      <c r="F109" s="16" t="s">
        <v>17</v>
      </c>
      <c r="G109" s="16" t="s">
        <v>31</v>
      </c>
      <c r="H109" s="17">
        <v>45032.0</v>
      </c>
      <c r="I109" s="18">
        <v>457.0</v>
      </c>
      <c r="J109" s="19">
        <v>432.79</v>
      </c>
      <c r="K109" s="19">
        <v>107.81</v>
      </c>
      <c r="L109" s="19">
        <v>197785.03</v>
      </c>
      <c r="M109" s="19">
        <v>49269.17</v>
      </c>
      <c r="N109" s="19">
        <v>148515.86</v>
      </c>
      <c r="O109" s="20">
        <v>0.7508953534046534</v>
      </c>
    </row>
    <row r="110" ht="15.75" customHeight="1">
      <c r="B110" s="16" t="s">
        <v>139</v>
      </c>
      <c r="C110" s="16" t="s">
        <v>52</v>
      </c>
      <c r="D110" s="16" t="s">
        <v>21</v>
      </c>
      <c r="E110" s="16" t="s">
        <v>22</v>
      </c>
      <c r="F110" s="16" t="s">
        <v>17</v>
      </c>
      <c r="G110" s="16" t="s">
        <v>31</v>
      </c>
      <c r="H110" s="17">
        <v>45033.0</v>
      </c>
      <c r="I110" s="18">
        <v>353.0</v>
      </c>
      <c r="J110" s="19">
        <v>281.28</v>
      </c>
      <c r="K110" s="19">
        <v>259.14</v>
      </c>
      <c r="L110" s="19">
        <v>99291.84</v>
      </c>
      <c r="M110" s="19">
        <v>91476.42</v>
      </c>
      <c r="N110" s="19">
        <v>7815.419999999998</v>
      </c>
      <c r="O110" s="20">
        <v>0.07871160409556313</v>
      </c>
    </row>
    <row r="111" ht="15.75" customHeight="1">
      <c r="B111" s="16" t="s">
        <v>140</v>
      </c>
      <c r="C111" s="16" t="s">
        <v>20</v>
      </c>
      <c r="D111" s="16" t="s">
        <v>21</v>
      </c>
      <c r="E111" s="16" t="s">
        <v>46</v>
      </c>
      <c r="F111" s="16" t="s">
        <v>27</v>
      </c>
      <c r="G111" s="16" t="s">
        <v>23</v>
      </c>
      <c r="H111" s="17">
        <v>45034.0</v>
      </c>
      <c r="I111" s="18">
        <v>374.0</v>
      </c>
      <c r="J111" s="19">
        <v>272.25</v>
      </c>
      <c r="K111" s="19">
        <v>200.73</v>
      </c>
      <c r="L111" s="19">
        <v>101821.5</v>
      </c>
      <c r="M111" s="19">
        <v>75073.01999999999</v>
      </c>
      <c r="N111" s="19">
        <v>26748.48000000001</v>
      </c>
      <c r="O111" s="20">
        <v>0.26269972451790646</v>
      </c>
    </row>
    <row r="112" ht="15.75" customHeight="1">
      <c r="B112" s="16" t="s">
        <v>141</v>
      </c>
      <c r="C112" s="16" t="s">
        <v>52</v>
      </c>
      <c r="D112" s="16" t="s">
        <v>21</v>
      </c>
      <c r="E112" s="16" t="s">
        <v>16</v>
      </c>
      <c r="F112" s="16" t="s">
        <v>27</v>
      </c>
      <c r="G112" s="16" t="s">
        <v>23</v>
      </c>
      <c r="H112" s="17">
        <v>45035.0</v>
      </c>
      <c r="I112" s="18">
        <v>172.0</v>
      </c>
      <c r="J112" s="19">
        <v>21.92</v>
      </c>
      <c r="K112" s="19">
        <v>107.88</v>
      </c>
      <c r="L112" s="19">
        <v>3770.2400000000002</v>
      </c>
      <c r="M112" s="19">
        <v>18555.36</v>
      </c>
      <c r="N112" s="19">
        <v>-14785.12</v>
      </c>
      <c r="O112" s="20">
        <v>-3.9215328467153285</v>
      </c>
    </row>
    <row r="113" ht="15.75" customHeight="1">
      <c r="B113" s="16" t="s">
        <v>142</v>
      </c>
      <c r="C113" s="16" t="s">
        <v>14</v>
      </c>
      <c r="D113" s="16" t="s">
        <v>34</v>
      </c>
      <c r="E113" s="16" t="s">
        <v>16</v>
      </c>
      <c r="F113" s="16" t="s">
        <v>27</v>
      </c>
      <c r="G113" s="16" t="s">
        <v>31</v>
      </c>
      <c r="H113" s="17">
        <v>45036.0</v>
      </c>
      <c r="I113" s="18">
        <v>335.0</v>
      </c>
      <c r="J113" s="19">
        <v>493.41</v>
      </c>
      <c r="K113" s="19">
        <v>61.4</v>
      </c>
      <c r="L113" s="19">
        <v>165292.35</v>
      </c>
      <c r="M113" s="19">
        <v>20569.0</v>
      </c>
      <c r="N113" s="19">
        <v>144723.35</v>
      </c>
      <c r="O113" s="20">
        <v>0.875559879207961</v>
      </c>
    </row>
    <row r="114" ht="15.75" customHeight="1">
      <c r="B114" s="16" t="s">
        <v>143</v>
      </c>
      <c r="C114" s="16" t="s">
        <v>20</v>
      </c>
      <c r="D114" s="16" t="s">
        <v>54</v>
      </c>
      <c r="E114" s="16" t="s">
        <v>26</v>
      </c>
      <c r="F114" s="16" t="s">
        <v>17</v>
      </c>
      <c r="G114" s="16" t="s">
        <v>31</v>
      </c>
      <c r="H114" s="17">
        <v>45037.0</v>
      </c>
      <c r="I114" s="18">
        <v>476.0</v>
      </c>
      <c r="J114" s="19">
        <v>65.87</v>
      </c>
      <c r="K114" s="19">
        <v>52.63</v>
      </c>
      <c r="L114" s="19">
        <v>31354.120000000003</v>
      </c>
      <c r="M114" s="19">
        <v>25051.88</v>
      </c>
      <c r="N114" s="19">
        <v>6302.240000000002</v>
      </c>
      <c r="O114" s="20">
        <v>0.2010019735843328</v>
      </c>
    </row>
    <row r="115" ht="15.75" customHeight="1">
      <c r="B115" s="16" t="s">
        <v>144</v>
      </c>
      <c r="C115" s="16" t="s">
        <v>14</v>
      </c>
      <c r="D115" s="16" t="s">
        <v>29</v>
      </c>
      <c r="E115" s="16" t="s">
        <v>16</v>
      </c>
      <c r="F115" s="16" t="s">
        <v>17</v>
      </c>
      <c r="G115" s="16" t="s">
        <v>18</v>
      </c>
      <c r="H115" s="17">
        <v>45038.0</v>
      </c>
      <c r="I115" s="18">
        <v>423.0</v>
      </c>
      <c r="J115" s="19">
        <v>119.41</v>
      </c>
      <c r="K115" s="19">
        <v>346.13</v>
      </c>
      <c r="L115" s="19">
        <v>50510.43</v>
      </c>
      <c r="M115" s="19">
        <v>146412.99</v>
      </c>
      <c r="N115" s="19">
        <v>-95902.56</v>
      </c>
      <c r="O115" s="20">
        <v>-1.8986684532283729</v>
      </c>
    </row>
    <row r="116" ht="15.75" customHeight="1">
      <c r="B116" s="16" t="s">
        <v>145</v>
      </c>
      <c r="C116" s="16" t="s">
        <v>20</v>
      </c>
      <c r="D116" s="16" t="s">
        <v>29</v>
      </c>
      <c r="E116" s="16" t="s">
        <v>16</v>
      </c>
      <c r="F116" s="16" t="s">
        <v>17</v>
      </c>
      <c r="G116" s="16" t="s">
        <v>18</v>
      </c>
      <c r="H116" s="17">
        <v>45039.0</v>
      </c>
      <c r="I116" s="18">
        <v>464.0</v>
      </c>
      <c r="J116" s="19">
        <v>30.59</v>
      </c>
      <c r="K116" s="19">
        <v>98.9</v>
      </c>
      <c r="L116" s="19">
        <v>14193.76</v>
      </c>
      <c r="M116" s="19">
        <v>45889.600000000006</v>
      </c>
      <c r="N116" s="19">
        <v>-31695.840000000004</v>
      </c>
      <c r="O116" s="20">
        <v>-2.2330827067669174</v>
      </c>
    </row>
    <row r="117" ht="15.75" customHeight="1">
      <c r="B117" s="16" t="s">
        <v>146</v>
      </c>
      <c r="C117" s="16" t="s">
        <v>52</v>
      </c>
      <c r="D117" s="16" t="s">
        <v>34</v>
      </c>
      <c r="E117" s="16" t="s">
        <v>16</v>
      </c>
      <c r="F117" s="16" t="s">
        <v>27</v>
      </c>
      <c r="G117" s="16" t="s">
        <v>31</v>
      </c>
      <c r="H117" s="17">
        <v>45040.0</v>
      </c>
      <c r="I117" s="18">
        <v>83.0</v>
      </c>
      <c r="J117" s="19">
        <v>321.8</v>
      </c>
      <c r="K117" s="19">
        <v>261.38</v>
      </c>
      <c r="L117" s="19">
        <v>26709.4</v>
      </c>
      <c r="M117" s="19">
        <v>21694.54</v>
      </c>
      <c r="N117" s="19">
        <v>5014.860000000001</v>
      </c>
      <c r="O117" s="20">
        <v>0.18775637041640772</v>
      </c>
    </row>
    <row r="118" ht="15.75" customHeight="1">
      <c r="B118" s="16" t="s">
        <v>147</v>
      </c>
      <c r="C118" s="16" t="s">
        <v>14</v>
      </c>
      <c r="D118" s="16" t="s">
        <v>29</v>
      </c>
      <c r="E118" s="16" t="s">
        <v>16</v>
      </c>
      <c r="F118" s="16" t="s">
        <v>17</v>
      </c>
      <c r="G118" s="16" t="s">
        <v>23</v>
      </c>
      <c r="H118" s="17">
        <v>45041.0</v>
      </c>
      <c r="I118" s="18">
        <v>242.0</v>
      </c>
      <c r="J118" s="19">
        <v>116.23</v>
      </c>
      <c r="K118" s="19">
        <v>324.65</v>
      </c>
      <c r="L118" s="19">
        <v>28127.66</v>
      </c>
      <c r="M118" s="19">
        <v>78565.29999999999</v>
      </c>
      <c r="N118" s="19">
        <v>-50437.639999999985</v>
      </c>
      <c r="O118" s="20">
        <v>-1.7931687171986572</v>
      </c>
    </row>
    <row r="119" ht="15.75" customHeight="1">
      <c r="B119" s="16" t="s">
        <v>148</v>
      </c>
      <c r="C119" s="16" t="s">
        <v>20</v>
      </c>
      <c r="D119" s="16" t="s">
        <v>21</v>
      </c>
      <c r="E119" s="16" t="s">
        <v>30</v>
      </c>
      <c r="F119" s="16" t="s">
        <v>27</v>
      </c>
      <c r="G119" s="16" t="s">
        <v>23</v>
      </c>
      <c r="H119" s="17">
        <v>45042.0</v>
      </c>
      <c r="I119" s="18">
        <v>233.0</v>
      </c>
      <c r="J119" s="19">
        <v>94.11</v>
      </c>
      <c r="K119" s="19">
        <v>246.4</v>
      </c>
      <c r="L119" s="19">
        <v>21927.63</v>
      </c>
      <c r="M119" s="19">
        <v>57411.200000000004</v>
      </c>
      <c r="N119" s="19">
        <v>-35483.57000000001</v>
      </c>
      <c r="O119" s="20">
        <v>-1.6182127297842952</v>
      </c>
    </row>
    <row r="120" ht="15.75" customHeight="1">
      <c r="B120" s="16" t="s">
        <v>149</v>
      </c>
      <c r="C120" s="16" t="s">
        <v>25</v>
      </c>
      <c r="D120" s="16" t="s">
        <v>54</v>
      </c>
      <c r="E120" s="16" t="s">
        <v>30</v>
      </c>
      <c r="F120" s="16" t="s">
        <v>27</v>
      </c>
      <c r="G120" s="16" t="s">
        <v>23</v>
      </c>
      <c r="H120" s="17">
        <v>45043.0</v>
      </c>
      <c r="I120" s="18">
        <v>491.0</v>
      </c>
      <c r="J120" s="19">
        <v>48.84</v>
      </c>
      <c r="K120" s="19">
        <v>344.11</v>
      </c>
      <c r="L120" s="19">
        <v>23980.440000000002</v>
      </c>
      <c r="M120" s="19">
        <v>168958.01</v>
      </c>
      <c r="N120" s="19">
        <v>-144977.57</v>
      </c>
      <c r="O120" s="20">
        <v>-6.045659295659295</v>
      </c>
    </row>
    <row r="121" ht="15.75" customHeight="1">
      <c r="B121" s="16" t="s">
        <v>150</v>
      </c>
      <c r="C121" s="16" t="s">
        <v>39</v>
      </c>
      <c r="D121" s="16" t="s">
        <v>15</v>
      </c>
      <c r="E121" s="16" t="s">
        <v>26</v>
      </c>
      <c r="F121" s="16" t="s">
        <v>27</v>
      </c>
      <c r="G121" s="16" t="s">
        <v>23</v>
      </c>
      <c r="H121" s="17">
        <v>45044.0</v>
      </c>
      <c r="I121" s="18">
        <v>328.0</v>
      </c>
      <c r="J121" s="19">
        <v>56.14</v>
      </c>
      <c r="K121" s="19">
        <v>158.17</v>
      </c>
      <c r="L121" s="19">
        <v>18413.920000000002</v>
      </c>
      <c r="M121" s="19">
        <v>51879.759999999995</v>
      </c>
      <c r="N121" s="19">
        <v>-33465.84</v>
      </c>
      <c r="O121" s="20">
        <v>-1.8174207338795865</v>
      </c>
    </row>
    <row r="122" ht="15.75" customHeight="1">
      <c r="B122" s="16" t="s">
        <v>151</v>
      </c>
      <c r="C122" s="16" t="s">
        <v>20</v>
      </c>
      <c r="D122" s="16" t="s">
        <v>29</v>
      </c>
      <c r="E122" s="16" t="s">
        <v>46</v>
      </c>
      <c r="F122" s="16" t="s">
        <v>27</v>
      </c>
      <c r="G122" s="16" t="s">
        <v>18</v>
      </c>
      <c r="H122" s="17">
        <v>45045.0</v>
      </c>
      <c r="I122" s="18">
        <v>421.0</v>
      </c>
      <c r="J122" s="19">
        <v>294.41</v>
      </c>
      <c r="K122" s="19">
        <v>382.58</v>
      </c>
      <c r="L122" s="19">
        <v>123946.61000000002</v>
      </c>
      <c r="M122" s="19">
        <v>161066.18</v>
      </c>
      <c r="N122" s="19">
        <v>-37119.56999999998</v>
      </c>
      <c r="O122" s="20">
        <v>-0.29948031656533386</v>
      </c>
    </row>
    <row r="123" ht="15.75" customHeight="1">
      <c r="B123" s="16" t="s">
        <v>152</v>
      </c>
      <c r="C123" s="16" t="s">
        <v>25</v>
      </c>
      <c r="D123" s="16" t="s">
        <v>21</v>
      </c>
      <c r="E123" s="16" t="s">
        <v>16</v>
      </c>
      <c r="F123" s="16" t="s">
        <v>27</v>
      </c>
      <c r="G123" s="16" t="s">
        <v>31</v>
      </c>
      <c r="H123" s="17">
        <v>45046.0</v>
      </c>
      <c r="I123" s="18">
        <v>69.0</v>
      </c>
      <c r="J123" s="19">
        <v>345.66</v>
      </c>
      <c r="K123" s="19">
        <v>54.99</v>
      </c>
      <c r="L123" s="19">
        <v>23850.54</v>
      </c>
      <c r="M123" s="19">
        <v>3794.31</v>
      </c>
      <c r="N123" s="19">
        <v>20056.23</v>
      </c>
      <c r="O123" s="20">
        <v>0.8409130359312619</v>
      </c>
    </row>
    <row r="124" ht="15.75" customHeight="1">
      <c r="B124" s="16" t="s">
        <v>153</v>
      </c>
      <c r="C124" s="16" t="s">
        <v>20</v>
      </c>
      <c r="D124" s="16" t="s">
        <v>15</v>
      </c>
      <c r="E124" s="16" t="s">
        <v>46</v>
      </c>
      <c r="F124" s="16" t="s">
        <v>27</v>
      </c>
      <c r="G124" s="16" t="s">
        <v>23</v>
      </c>
      <c r="H124" s="17">
        <v>45047.0</v>
      </c>
      <c r="I124" s="18">
        <v>344.0</v>
      </c>
      <c r="J124" s="19">
        <v>201.7</v>
      </c>
      <c r="K124" s="19">
        <v>42.66</v>
      </c>
      <c r="L124" s="19">
        <v>69384.8</v>
      </c>
      <c r="M124" s="19">
        <v>14675.039999999999</v>
      </c>
      <c r="N124" s="19">
        <v>54709.76</v>
      </c>
      <c r="O124" s="20">
        <v>0.7884977689638076</v>
      </c>
    </row>
    <row r="125" ht="15.75" customHeight="1">
      <c r="B125" s="16" t="s">
        <v>154</v>
      </c>
      <c r="C125" s="16" t="s">
        <v>39</v>
      </c>
      <c r="D125" s="16" t="s">
        <v>54</v>
      </c>
      <c r="E125" s="16" t="s">
        <v>46</v>
      </c>
      <c r="F125" s="16" t="s">
        <v>17</v>
      </c>
      <c r="G125" s="16" t="s">
        <v>18</v>
      </c>
      <c r="H125" s="17">
        <v>45048.0</v>
      </c>
      <c r="I125" s="18">
        <v>231.0</v>
      </c>
      <c r="J125" s="19">
        <v>242.55</v>
      </c>
      <c r="K125" s="19">
        <v>264.16</v>
      </c>
      <c r="L125" s="19">
        <v>56029.05</v>
      </c>
      <c r="M125" s="19">
        <v>61020.96000000001</v>
      </c>
      <c r="N125" s="19">
        <v>-4991.9100000000035</v>
      </c>
      <c r="O125" s="20">
        <v>-0.08909503195217487</v>
      </c>
    </row>
    <row r="126" ht="15.75" customHeight="1">
      <c r="B126" s="16" t="s">
        <v>155</v>
      </c>
      <c r="C126" s="16" t="s">
        <v>52</v>
      </c>
      <c r="D126" s="16" t="s">
        <v>15</v>
      </c>
      <c r="E126" s="16" t="s">
        <v>26</v>
      </c>
      <c r="F126" s="16" t="s">
        <v>17</v>
      </c>
      <c r="G126" s="16" t="s">
        <v>23</v>
      </c>
      <c r="H126" s="17">
        <v>45049.0</v>
      </c>
      <c r="I126" s="18">
        <v>46.0</v>
      </c>
      <c r="J126" s="19">
        <v>344.55</v>
      </c>
      <c r="K126" s="19">
        <v>377.25</v>
      </c>
      <c r="L126" s="19">
        <v>15849.300000000001</v>
      </c>
      <c r="M126" s="19">
        <v>17353.5</v>
      </c>
      <c r="N126" s="19">
        <v>-1504.199999999999</v>
      </c>
      <c r="O126" s="20">
        <v>-0.09490639965171956</v>
      </c>
    </row>
    <row r="127" ht="15.75" customHeight="1">
      <c r="B127" s="16" t="s">
        <v>156</v>
      </c>
      <c r="C127" s="16" t="s">
        <v>14</v>
      </c>
      <c r="D127" s="16" t="s">
        <v>21</v>
      </c>
      <c r="E127" s="16" t="s">
        <v>16</v>
      </c>
      <c r="F127" s="16" t="s">
        <v>27</v>
      </c>
      <c r="G127" s="16" t="s">
        <v>31</v>
      </c>
      <c r="H127" s="17">
        <v>45050.0</v>
      </c>
      <c r="I127" s="18">
        <v>486.0</v>
      </c>
      <c r="J127" s="19">
        <v>13.6</v>
      </c>
      <c r="K127" s="19">
        <v>323.94</v>
      </c>
      <c r="L127" s="19">
        <v>6609.599999999999</v>
      </c>
      <c r="M127" s="19">
        <v>157434.84</v>
      </c>
      <c r="N127" s="19">
        <v>-150825.24</v>
      </c>
      <c r="O127" s="20">
        <v>-22.819117647058825</v>
      </c>
    </row>
    <row r="128" ht="15.75" customHeight="1">
      <c r="B128" s="16" t="s">
        <v>157</v>
      </c>
      <c r="C128" s="16" t="s">
        <v>25</v>
      </c>
      <c r="D128" s="16" t="s">
        <v>15</v>
      </c>
      <c r="E128" s="16" t="s">
        <v>16</v>
      </c>
      <c r="F128" s="16" t="s">
        <v>27</v>
      </c>
      <c r="G128" s="16" t="s">
        <v>18</v>
      </c>
      <c r="H128" s="17">
        <v>45051.0</v>
      </c>
      <c r="I128" s="18">
        <v>287.0</v>
      </c>
      <c r="J128" s="19">
        <v>164.95</v>
      </c>
      <c r="K128" s="19">
        <v>32.41</v>
      </c>
      <c r="L128" s="19">
        <v>47340.649999999994</v>
      </c>
      <c r="M128" s="19">
        <v>9301.669999999998</v>
      </c>
      <c r="N128" s="19">
        <v>38038.979999999996</v>
      </c>
      <c r="O128" s="20">
        <v>0.8035162170354653</v>
      </c>
    </row>
    <row r="129" ht="15.75" customHeight="1">
      <c r="B129" s="16" t="s">
        <v>158</v>
      </c>
      <c r="C129" s="16" t="s">
        <v>20</v>
      </c>
      <c r="D129" s="16" t="s">
        <v>34</v>
      </c>
      <c r="E129" s="16" t="s">
        <v>22</v>
      </c>
      <c r="F129" s="16" t="s">
        <v>17</v>
      </c>
      <c r="G129" s="16" t="s">
        <v>31</v>
      </c>
      <c r="H129" s="17">
        <v>45052.0</v>
      </c>
      <c r="I129" s="18">
        <v>205.0</v>
      </c>
      <c r="J129" s="19">
        <v>486.68</v>
      </c>
      <c r="K129" s="19">
        <v>113.19</v>
      </c>
      <c r="L129" s="19">
        <v>99769.4</v>
      </c>
      <c r="M129" s="19">
        <v>23203.95</v>
      </c>
      <c r="N129" s="19">
        <v>76565.45</v>
      </c>
      <c r="O129" s="20">
        <v>0.7674241801594477</v>
      </c>
    </row>
    <row r="130" ht="15.75" customHeight="1">
      <c r="B130" s="16" t="s">
        <v>159</v>
      </c>
      <c r="C130" s="16" t="s">
        <v>52</v>
      </c>
      <c r="D130" s="16" t="s">
        <v>15</v>
      </c>
      <c r="E130" s="16" t="s">
        <v>46</v>
      </c>
      <c r="F130" s="16" t="s">
        <v>27</v>
      </c>
      <c r="G130" s="16" t="s">
        <v>31</v>
      </c>
      <c r="H130" s="17">
        <v>45053.0</v>
      </c>
      <c r="I130" s="18">
        <v>413.0</v>
      </c>
      <c r="J130" s="19">
        <v>292.16</v>
      </c>
      <c r="K130" s="19">
        <v>372.27</v>
      </c>
      <c r="L130" s="19">
        <v>120662.08000000002</v>
      </c>
      <c r="M130" s="19">
        <v>153747.50999999998</v>
      </c>
      <c r="N130" s="19">
        <v>-33085.429999999964</v>
      </c>
      <c r="O130" s="20">
        <v>-0.27419906900328556</v>
      </c>
    </row>
    <row r="131" ht="15.75" customHeight="1">
      <c r="B131" s="16" t="s">
        <v>160</v>
      </c>
      <c r="C131" s="16" t="s">
        <v>25</v>
      </c>
      <c r="D131" s="16" t="s">
        <v>29</v>
      </c>
      <c r="E131" s="16" t="s">
        <v>46</v>
      </c>
      <c r="F131" s="16" t="s">
        <v>27</v>
      </c>
      <c r="G131" s="16" t="s">
        <v>18</v>
      </c>
      <c r="H131" s="17">
        <v>45054.0</v>
      </c>
      <c r="I131" s="18">
        <v>361.0</v>
      </c>
      <c r="J131" s="19">
        <v>130.84</v>
      </c>
      <c r="K131" s="19">
        <v>102.72</v>
      </c>
      <c r="L131" s="19">
        <v>47233.24</v>
      </c>
      <c r="M131" s="19">
        <v>37081.92</v>
      </c>
      <c r="N131" s="19">
        <v>10151.32</v>
      </c>
      <c r="O131" s="20">
        <v>0.2149189850198716</v>
      </c>
    </row>
    <row r="132" ht="15.75" customHeight="1">
      <c r="B132" s="16" t="s">
        <v>161</v>
      </c>
      <c r="C132" s="16" t="s">
        <v>20</v>
      </c>
      <c r="D132" s="16" t="s">
        <v>29</v>
      </c>
      <c r="E132" s="16" t="s">
        <v>30</v>
      </c>
      <c r="F132" s="16" t="s">
        <v>17</v>
      </c>
      <c r="G132" s="16" t="s">
        <v>18</v>
      </c>
      <c r="H132" s="17">
        <v>45055.0</v>
      </c>
      <c r="I132" s="18">
        <v>493.0</v>
      </c>
      <c r="J132" s="19">
        <v>263.26</v>
      </c>
      <c r="K132" s="19">
        <v>312.91</v>
      </c>
      <c r="L132" s="19">
        <v>129787.18</v>
      </c>
      <c r="M132" s="19">
        <v>154264.63</v>
      </c>
      <c r="N132" s="19">
        <v>-24477.45000000001</v>
      </c>
      <c r="O132" s="20">
        <v>-0.18859682443212045</v>
      </c>
    </row>
    <row r="133" ht="15.75" customHeight="1">
      <c r="B133" s="16" t="s">
        <v>162</v>
      </c>
      <c r="C133" s="16" t="s">
        <v>20</v>
      </c>
      <c r="D133" s="16" t="s">
        <v>34</v>
      </c>
      <c r="E133" s="16" t="s">
        <v>22</v>
      </c>
      <c r="F133" s="16" t="s">
        <v>27</v>
      </c>
      <c r="G133" s="16" t="s">
        <v>18</v>
      </c>
      <c r="H133" s="17">
        <v>45056.0</v>
      </c>
      <c r="I133" s="18">
        <v>251.0</v>
      </c>
      <c r="J133" s="19">
        <v>174.61</v>
      </c>
      <c r="K133" s="19">
        <v>330.4</v>
      </c>
      <c r="L133" s="19">
        <v>43827.11</v>
      </c>
      <c r="M133" s="19">
        <v>82930.4</v>
      </c>
      <c r="N133" s="19">
        <v>-39103.28999999999</v>
      </c>
      <c r="O133" s="20">
        <v>-0.8922169406105033</v>
      </c>
    </row>
    <row r="134" ht="15.75" customHeight="1">
      <c r="B134" s="16" t="s">
        <v>163</v>
      </c>
      <c r="C134" s="16" t="s">
        <v>20</v>
      </c>
      <c r="D134" s="16" t="s">
        <v>21</v>
      </c>
      <c r="E134" s="16" t="s">
        <v>30</v>
      </c>
      <c r="F134" s="16" t="s">
        <v>27</v>
      </c>
      <c r="G134" s="16" t="s">
        <v>18</v>
      </c>
      <c r="H134" s="17">
        <v>45057.0</v>
      </c>
      <c r="I134" s="18">
        <v>255.9029411764706</v>
      </c>
      <c r="J134" s="19">
        <v>268.46</v>
      </c>
      <c r="K134" s="19">
        <v>199.19</v>
      </c>
      <c r="L134" s="19">
        <v>68699.7035882353</v>
      </c>
      <c r="M134" s="19">
        <v>50973.306852941176</v>
      </c>
      <c r="N134" s="19">
        <v>17726.396735294118</v>
      </c>
      <c r="O134" s="20">
        <v>0.25802726663190045</v>
      </c>
    </row>
    <row r="135" ht="15.75" customHeight="1">
      <c r="B135" s="16" t="s">
        <v>164</v>
      </c>
      <c r="C135" s="16" t="s">
        <v>25</v>
      </c>
      <c r="D135" s="16" t="s">
        <v>29</v>
      </c>
      <c r="E135" s="16" t="s">
        <v>30</v>
      </c>
      <c r="F135" s="16" t="s">
        <v>27</v>
      </c>
      <c r="G135" s="16" t="s">
        <v>18</v>
      </c>
      <c r="H135" s="17">
        <v>45058.0</v>
      </c>
      <c r="I135" s="18">
        <v>228.0</v>
      </c>
      <c r="J135" s="19">
        <v>67.24</v>
      </c>
      <c r="K135" s="19">
        <v>155.77</v>
      </c>
      <c r="L135" s="19">
        <v>15330.72</v>
      </c>
      <c r="M135" s="19">
        <v>35515.560000000005</v>
      </c>
      <c r="N135" s="19">
        <v>-20184.840000000004</v>
      </c>
      <c r="O135" s="20">
        <v>-1.3166270077334923</v>
      </c>
    </row>
    <row r="136" ht="15.75" customHeight="1">
      <c r="B136" s="16" t="s">
        <v>165</v>
      </c>
      <c r="C136" s="16" t="s">
        <v>25</v>
      </c>
      <c r="D136" s="16" t="s">
        <v>54</v>
      </c>
      <c r="E136" s="16" t="s">
        <v>30</v>
      </c>
      <c r="F136" s="16" t="s">
        <v>17</v>
      </c>
      <c r="G136" s="16" t="s">
        <v>18</v>
      </c>
      <c r="H136" s="17">
        <v>45059.0</v>
      </c>
      <c r="I136" s="18">
        <v>201.0</v>
      </c>
      <c r="J136" s="19">
        <v>70.69</v>
      </c>
      <c r="K136" s="19">
        <v>181.15</v>
      </c>
      <c r="L136" s="19">
        <v>14208.689999999999</v>
      </c>
      <c r="M136" s="19">
        <v>36411.15</v>
      </c>
      <c r="N136" s="19">
        <v>-22202.460000000003</v>
      </c>
      <c r="O136" s="20">
        <v>-1.5625972556231436</v>
      </c>
    </row>
    <row r="137" ht="15.75" customHeight="1">
      <c r="B137" s="16" t="s">
        <v>166</v>
      </c>
      <c r="C137" s="16" t="s">
        <v>25</v>
      </c>
      <c r="D137" s="16" t="s">
        <v>29</v>
      </c>
      <c r="E137" s="16" t="s">
        <v>26</v>
      </c>
      <c r="F137" s="16" t="s">
        <v>17</v>
      </c>
      <c r="G137" s="16" t="s">
        <v>18</v>
      </c>
      <c r="H137" s="17">
        <v>45060.0</v>
      </c>
      <c r="I137" s="18">
        <v>26.0</v>
      </c>
      <c r="J137" s="19">
        <v>76.05</v>
      </c>
      <c r="K137" s="19">
        <v>92.33</v>
      </c>
      <c r="L137" s="19">
        <v>1977.3</v>
      </c>
      <c r="M137" s="19">
        <v>2400.58</v>
      </c>
      <c r="N137" s="19">
        <v>-423.28</v>
      </c>
      <c r="O137" s="20">
        <v>-0.2140696909927679</v>
      </c>
    </row>
    <row r="138" ht="15.75" customHeight="1">
      <c r="B138" s="16" t="s">
        <v>167</v>
      </c>
      <c r="C138" s="16" t="s">
        <v>14</v>
      </c>
      <c r="D138" s="16" t="s">
        <v>29</v>
      </c>
      <c r="E138" s="16" t="s">
        <v>26</v>
      </c>
      <c r="F138" s="16" t="s">
        <v>17</v>
      </c>
      <c r="G138" s="16" t="s">
        <v>23</v>
      </c>
      <c r="H138" s="17">
        <v>45061.0</v>
      </c>
      <c r="I138" s="18">
        <v>21.0</v>
      </c>
      <c r="J138" s="19">
        <v>470.21</v>
      </c>
      <c r="K138" s="19">
        <v>355.98</v>
      </c>
      <c r="L138" s="19">
        <v>9874.41</v>
      </c>
      <c r="M138" s="19">
        <v>7475.58</v>
      </c>
      <c r="N138" s="19">
        <v>2398.83</v>
      </c>
      <c r="O138" s="20">
        <v>0.24293400820909805</v>
      </c>
    </row>
    <row r="139" ht="15.75" customHeight="1">
      <c r="B139" s="16" t="s">
        <v>168</v>
      </c>
      <c r="C139" s="16" t="s">
        <v>25</v>
      </c>
      <c r="D139" s="16" t="s">
        <v>21</v>
      </c>
      <c r="E139" s="16" t="s">
        <v>30</v>
      </c>
      <c r="F139" s="16" t="s">
        <v>27</v>
      </c>
      <c r="G139" s="16" t="s">
        <v>31</v>
      </c>
      <c r="H139" s="17">
        <v>45062.0</v>
      </c>
      <c r="I139" s="18">
        <v>415.0</v>
      </c>
      <c r="J139" s="19">
        <v>367.78</v>
      </c>
      <c r="K139" s="19">
        <v>181.35</v>
      </c>
      <c r="L139" s="19">
        <v>152628.69999999998</v>
      </c>
      <c r="M139" s="19">
        <v>75260.25</v>
      </c>
      <c r="N139" s="19">
        <v>77368.44999999998</v>
      </c>
      <c r="O139" s="20">
        <v>0.5069063026809505</v>
      </c>
    </row>
    <row r="140" ht="15.75" customHeight="1">
      <c r="B140" s="16" t="s">
        <v>169</v>
      </c>
      <c r="C140" s="16" t="s">
        <v>25</v>
      </c>
      <c r="D140" s="16" t="s">
        <v>15</v>
      </c>
      <c r="E140" s="16" t="s">
        <v>22</v>
      </c>
      <c r="F140" s="16" t="s">
        <v>27</v>
      </c>
      <c r="G140" s="16" t="s">
        <v>18</v>
      </c>
      <c r="H140" s="17">
        <v>45063.0</v>
      </c>
      <c r="I140" s="18">
        <v>410.0</v>
      </c>
      <c r="J140" s="19">
        <v>85.38</v>
      </c>
      <c r="K140" s="19">
        <v>353.22</v>
      </c>
      <c r="L140" s="19">
        <v>35005.799999999996</v>
      </c>
      <c r="M140" s="19">
        <v>144820.2</v>
      </c>
      <c r="N140" s="19">
        <v>-109814.40000000002</v>
      </c>
      <c r="O140" s="20">
        <v>-3.1370344342937466</v>
      </c>
    </row>
    <row r="141" ht="15.75" customHeight="1">
      <c r="B141" s="16" t="s">
        <v>170</v>
      </c>
      <c r="C141" s="16" t="s">
        <v>25</v>
      </c>
      <c r="D141" s="16" t="s">
        <v>29</v>
      </c>
      <c r="E141" s="16" t="s">
        <v>46</v>
      </c>
      <c r="F141" s="16" t="s">
        <v>17</v>
      </c>
      <c r="G141" s="16" t="s">
        <v>23</v>
      </c>
      <c r="H141" s="17">
        <v>45064.0</v>
      </c>
      <c r="I141" s="18">
        <v>403.0</v>
      </c>
      <c r="J141" s="19">
        <v>98.23</v>
      </c>
      <c r="K141" s="19">
        <v>44.07</v>
      </c>
      <c r="L141" s="19">
        <v>39586.69</v>
      </c>
      <c r="M141" s="19">
        <v>17760.21</v>
      </c>
      <c r="N141" s="19">
        <v>21826.480000000003</v>
      </c>
      <c r="O141" s="20">
        <v>0.5513590552784282</v>
      </c>
    </row>
    <row r="142" ht="15.75" customHeight="1">
      <c r="B142" s="16" t="s">
        <v>171</v>
      </c>
      <c r="C142" s="16" t="s">
        <v>14</v>
      </c>
      <c r="D142" s="16" t="s">
        <v>34</v>
      </c>
      <c r="E142" s="16" t="s">
        <v>22</v>
      </c>
      <c r="F142" s="16" t="s">
        <v>27</v>
      </c>
      <c r="G142" s="16" t="s">
        <v>23</v>
      </c>
      <c r="H142" s="17">
        <v>45065.0</v>
      </c>
      <c r="I142" s="18">
        <v>383.0</v>
      </c>
      <c r="J142" s="19">
        <v>366.76</v>
      </c>
      <c r="K142" s="19">
        <v>395.33</v>
      </c>
      <c r="L142" s="19">
        <v>140469.08</v>
      </c>
      <c r="M142" s="19">
        <v>151411.38999999998</v>
      </c>
      <c r="N142" s="19">
        <v>-10942.309999999998</v>
      </c>
      <c r="O142" s="20">
        <v>-0.0778983531464718</v>
      </c>
    </row>
    <row r="143" ht="15.75" customHeight="1">
      <c r="B143" s="16" t="s">
        <v>172</v>
      </c>
      <c r="C143" s="16" t="s">
        <v>25</v>
      </c>
      <c r="D143" s="16" t="s">
        <v>15</v>
      </c>
      <c r="E143" s="16" t="s">
        <v>16</v>
      </c>
      <c r="F143" s="16" t="s">
        <v>27</v>
      </c>
      <c r="G143" s="16" t="s">
        <v>23</v>
      </c>
      <c r="H143" s="17">
        <v>45066.0</v>
      </c>
      <c r="I143" s="18">
        <v>202.0</v>
      </c>
      <c r="J143" s="19">
        <v>82.3</v>
      </c>
      <c r="K143" s="19">
        <v>178.42</v>
      </c>
      <c r="L143" s="19">
        <v>16624.6</v>
      </c>
      <c r="M143" s="19">
        <v>36040.84</v>
      </c>
      <c r="N143" s="19">
        <v>-19416.239999999998</v>
      </c>
      <c r="O143" s="20">
        <v>-1.1679222357229648</v>
      </c>
    </row>
    <row r="144" ht="15.75" customHeight="1">
      <c r="B144" s="16" t="s">
        <v>173</v>
      </c>
      <c r="C144" s="16" t="s">
        <v>20</v>
      </c>
      <c r="D144" s="16" t="s">
        <v>54</v>
      </c>
      <c r="E144" s="16" t="s">
        <v>26</v>
      </c>
      <c r="F144" s="16" t="s">
        <v>27</v>
      </c>
      <c r="G144" s="16" t="s">
        <v>31</v>
      </c>
      <c r="H144" s="17">
        <v>45067.0</v>
      </c>
      <c r="I144" s="18">
        <v>31.0</v>
      </c>
      <c r="J144" s="19">
        <v>121.11</v>
      </c>
      <c r="K144" s="19">
        <v>21.04</v>
      </c>
      <c r="L144" s="19">
        <v>3754.41</v>
      </c>
      <c r="M144" s="19">
        <v>652.24</v>
      </c>
      <c r="N144" s="19">
        <v>3102.17</v>
      </c>
      <c r="O144" s="20">
        <v>0.8262736355379408</v>
      </c>
    </row>
    <row r="145" ht="15.75" customHeight="1">
      <c r="B145" s="16" t="s">
        <v>174</v>
      </c>
      <c r="C145" s="16" t="s">
        <v>25</v>
      </c>
      <c r="D145" s="16" t="s">
        <v>21</v>
      </c>
      <c r="E145" s="16" t="s">
        <v>46</v>
      </c>
      <c r="F145" s="16" t="s">
        <v>27</v>
      </c>
      <c r="G145" s="16" t="s">
        <v>18</v>
      </c>
      <c r="H145" s="17">
        <v>45068.0</v>
      </c>
      <c r="I145" s="18">
        <v>483.0</v>
      </c>
      <c r="J145" s="19">
        <v>481.86</v>
      </c>
      <c r="K145" s="19">
        <v>17.13</v>
      </c>
      <c r="L145" s="19">
        <v>232738.38</v>
      </c>
      <c r="M145" s="19">
        <v>8273.789999999999</v>
      </c>
      <c r="N145" s="19">
        <v>224464.59</v>
      </c>
      <c r="O145" s="20">
        <v>0.9644502552608641</v>
      </c>
    </row>
    <row r="146" ht="15.75" customHeight="1">
      <c r="B146" s="16" t="s">
        <v>175</v>
      </c>
      <c r="C146" s="16" t="s">
        <v>20</v>
      </c>
      <c r="D146" s="16" t="s">
        <v>54</v>
      </c>
      <c r="E146" s="16" t="s">
        <v>46</v>
      </c>
      <c r="F146" s="16" t="s">
        <v>27</v>
      </c>
      <c r="G146" s="16" t="s">
        <v>23</v>
      </c>
      <c r="H146" s="17">
        <v>45069.0</v>
      </c>
      <c r="I146" s="18">
        <v>129.0</v>
      </c>
      <c r="J146" s="19">
        <v>131.38</v>
      </c>
      <c r="K146" s="19">
        <v>298.99</v>
      </c>
      <c r="L146" s="19">
        <v>16948.02</v>
      </c>
      <c r="M146" s="19">
        <v>38569.71</v>
      </c>
      <c r="N146" s="19">
        <v>-21621.69</v>
      </c>
      <c r="O146" s="20">
        <v>-1.275764956614401</v>
      </c>
    </row>
    <row r="147" ht="15.75" customHeight="1">
      <c r="B147" s="16" t="s">
        <v>176</v>
      </c>
      <c r="C147" s="16" t="s">
        <v>20</v>
      </c>
      <c r="D147" s="16" t="s">
        <v>15</v>
      </c>
      <c r="E147" s="16" t="s">
        <v>16</v>
      </c>
      <c r="F147" s="16" t="s">
        <v>17</v>
      </c>
      <c r="G147" s="16" t="s">
        <v>31</v>
      </c>
      <c r="H147" s="17">
        <v>45070.0</v>
      </c>
      <c r="I147" s="18">
        <v>219.0</v>
      </c>
      <c r="J147" s="19">
        <v>332.51</v>
      </c>
      <c r="K147" s="19">
        <v>264.3</v>
      </c>
      <c r="L147" s="19">
        <v>72819.69</v>
      </c>
      <c r="M147" s="19">
        <v>57881.700000000004</v>
      </c>
      <c r="N147" s="19">
        <v>14937.989999999998</v>
      </c>
      <c r="O147" s="20">
        <v>0.20513668761841747</v>
      </c>
    </row>
    <row r="148" ht="15.75" customHeight="1">
      <c r="B148" s="16" t="s">
        <v>177</v>
      </c>
      <c r="C148" s="16" t="s">
        <v>20</v>
      </c>
      <c r="D148" s="16" t="s">
        <v>15</v>
      </c>
      <c r="E148" s="16" t="s">
        <v>16</v>
      </c>
      <c r="F148" s="16" t="s">
        <v>27</v>
      </c>
      <c r="G148" s="16" t="s">
        <v>31</v>
      </c>
      <c r="H148" s="17">
        <v>45071.0</v>
      </c>
      <c r="I148" s="18">
        <v>315.0</v>
      </c>
      <c r="J148" s="19">
        <v>489.42</v>
      </c>
      <c r="K148" s="19">
        <v>321.25</v>
      </c>
      <c r="L148" s="19">
        <v>154167.30000000002</v>
      </c>
      <c r="M148" s="19">
        <v>101193.75</v>
      </c>
      <c r="N148" s="19">
        <v>52973.55000000002</v>
      </c>
      <c r="O148" s="20">
        <v>0.3436108046258838</v>
      </c>
    </row>
    <row r="149" ht="15.75" customHeight="1">
      <c r="B149" s="16" t="s">
        <v>178</v>
      </c>
      <c r="C149" s="16" t="s">
        <v>14</v>
      </c>
      <c r="D149" s="16" t="s">
        <v>15</v>
      </c>
      <c r="E149" s="16" t="s">
        <v>30</v>
      </c>
      <c r="F149" s="16" t="s">
        <v>17</v>
      </c>
      <c r="G149" s="16" t="s">
        <v>31</v>
      </c>
      <c r="H149" s="17">
        <v>45072.0</v>
      </c>
      <c r="I149" s="18">
        <v>279.0</v>
      </c>
      <c r="J149" s="19">
        <v>190.28</v>
      </c>
      <c r="K149" s="19">
        <v>43.94</v>
      </c>
      <c r="L149" s="19">
        <v>53088.12</v>
      </c>
      <c r="M149" s="19">
        <v>12259.26</v>
      </c>
      <c r="N149" s="19">
        <v>40828.86</v>
      </c>
      <c r="O149" s="20">
        <v>0.7690771494639478</v>
      </c>
    </row>
    <row r="150" ht="15.75" customHeight="1">
      <c r="B150" s="16" t="s">
        <v>179</v>
      </c>
      <c r="C150" s="16" t="s">
        <v>14</v>
      </c>
      <c r="D150" s="16" t="s">
        <v>54</v>
      </c>
      <c r="E150" s="16" t="s">
        <v>26</v>
      </c>
      <c r="F150" s="16" t="s">
        <v>27</v>
      </c>
      <c r="G150" s="16" t="s">
        <v>23</v>
      </c>
      <c r="H150" s="17">
        <v>45073.0</v>
      </c>
      <c r="I150" s="18">
        <v>201.0</v>
      </c>
      <c r="J150" s="19">
        <v>13.67</v>
      </c>
      <c r="K150" s="19">
        <v>16.16</v>
      </c>
      <c r="L150" s="19">
        <v>2747.67</v>
      </c>
      <c r="M150" s="19">
        <v>3248.16</v>
      </c>
      <c r="N150" s="19">
        <v>-500.4899999999998</v>
      </c>
      <c r="O150" s="20">
        <v>-0.18215069495245054</v>
      </c>
    </row>
    <row r="151" ht="15.75" customHeight="1">
      <c r="B151" s="16" t="s">
        <v>180</v>
      </c>
      <c r="C151" s="16" t="s">
        <v>14</v>
      </c>
      <c r="D151" s="16" t="s">
        <v>15</v>
      </c>
      <c r="E151" s="16" t="s">
        <v>26</v>
      </c>
      <c r="F151" s="16" t="s">
        <v>17</v>
      </c>
      <c r="G151" s="16" t="s">
        <v>18</v>
      </c>
      <c r="H151" s="17">
        <v>45074.0</v>
      </c>
      <c r="I151" s="18">
        <v>184.0</v>
      </c>
      <c r="J151" s="19">
        <v>125.85</v>
      </c>
      <c r="K151" s="19">
        <v>204.41</v>
      </c>
      <c r="L151" s="19">
        <v>23156.399999999998</v>
      </c>
      <c r="M151" s="19">
        <v>37611.44</v>
      </c>
      <c r="N151" s="19">
        <v>-14455.040000000005</v>
      </c>
      <c r="O151" s="20">
        <v>-0.6242352006356776</v>
      </c>
    </row>
    <row r="152" ht="15.75" customHeight="1">
      <c r="B152" s="16" t="s">
        <v>181</v>
      </c>
      <c r="C152" s="16" t="s">
        <v>25</v>
      </c>
      <c r="D152" s="16" t="s">
        <v>54</v>
      </c>
      <c r="E152" s="16" t="s">
        <v>22</v>
      </c>
      <c r="F152" s="16" t="s">
        <v>27</v>
      </c>
      <c r="G152" s="16" t="s">
        <v>23</v>
      </c>
      <c r="H152" s="17">
        <v>45075.0</v>
      </c>
      <c r="I152" s="18">
        <v>294.0</v>
      </c>
      <c r="J152" s="19">
        <v>416.28</v>
      </c>
      <c r="K152" s="19">
        <v>156.26</v>
      </c>
      <c r="L152" s="19">
        <v>122386.31999999999</v>
      </c>
      <c r="M152" s="19">
        <v>45940.439999999995</v>
      </c>
      <c r="N152" s="19">
        <v>76445.88</v>
      </c>
      <c r="O152" s="20">
        <v>0.624627654463342</v>
      </c>
    </row>
    <row r="153" ht="15.75" customHeight="1">
      <c r="B153" s="16" t="s">
        <v>182</v>
      </c>
      <c r="C153" s="16" t="s">
        <v>20</v>
      </c>
      <c r="D153" s="16" t="s">
        <v>15</v>
      </c>
      <c r="E153" s="16" t="s">
        <v>30</v>
      </c>
      <c r="F153" s="16" t="s">
        <v>17</v>
      </c>
      <c r="G153" s="16" t="s">
        <v>23</v>
      </c>
      <c r="H153" s="17">
        <v>45076.0</v>
      </c>
      <c r="I153" s="18">
        <v>213.0</v>
      </c>
      <c r="J153" s="19">
        <v>432.98</v>
      </c>
      <c r="K153" s="19">
        <v>185.85</v>
      </c>
      <c r="L153" s="19">
        <v>92224.74</v>
      </c>
      <c r="M153" s="19">
        <v>39586.049999999996</v>
      </c>
      <c r="N153" s="19">
        <v>52638.69000000001</v>
      </c>
      <c r="O153" s="20">
        <v>0.5707653933207077</v>
      </c>
    </row>
    <row r="154" ht="15.75" customHeight="1">
      <c r="B154" s="16" t="s">
        <v>183</v>
      </c>
      <c r="C154" s="16" t="s">
        <v>14</v>
      </c>
      <c r="D154" s="16" t="s">
        <v>34</v>
      </c>
      <c r="E154" s="16" t="s">
        <v>30</v>
      </c>
      <c r="F154" s="16" t="s">
        <v>27</v>
      </c>
      <c r="G154" s="16" t="s">
        <v>18</v>
      </c>
      <c r="H154" s="17">
        <v>45077.0</v>
      </c>
      <c r="I154" s="18">
        <v>173.0</v>
      </c>
      <c r="J154" s="19">
        <v>385.42</v>
      </c>
      <c r="K154" s="19">
        <v>396.65</v>
      </c>
      <c r="L154" s="19">
        <v>66677.66</v>
      </c>
      <c r="M154" s="19">
        <v>68620.45</v>
      </c>
      <c r="N154" s="19">
        <v>-1942.7899999999936</v>
      </c>
      <c r="O154" s="20">
        <v>-0.02913704530122973</v>
      </c>
    </row>
    <row r="155" ht="15.75" customHeight="1">
      <c r="B155" s="16" t="s">
        <v>184</v>
      </c>
      <c r="C155" s="16" t="s">
        <v>14</v>
      </c>
      <c r="D155" s="16" t="s">
        <v>15</v>
      </c>
      <c r="E155" s="16" t="s">
        <v>30</v>
      </c>
      <c r="F155" s="16" t="s">
        <v>17</v>
      </c>
      <c r="G155" s="16" t="s">
        <v>18</v>
      </c>
      <c r="H155" s="17">
        <v>45078.0</v>
      </c>
      <c r="I155" s="18">
        <v>260.0</v>
      </c>
      <c r="J155" s="19">
        <v>60.99</v>
      </c>
      <c r="K155" s="19">
        <v>388.36</v>
      </c>
      <c r="L155" s="19">
        <v>15857.4</v>
      </c>
      <c r="M155" s="19">
        <v>100973.6</v>
      </c>
      <c r="N155" s="19">
        <v>-85116.20000000001</v>
      </c>
      <c r="O155" s="20">
        <v>-5.36760124610592</v>
      </c>
    </row>
    <row r="156" ht="15.75" customHeight="1">
      <c r="B156" s="16" t="s">
        <v>185</v>
      </c>
      <c r="C156" s="16" t="s">
        <v>25</v>
      </c>
      <c r="D156" s="16" t="s">
        <v>54</v>
      </c>
      <c r="E156" s="16" t="s">
        <v>30</v>
      </c>
      <c r="F156" s="16" t="s">
        <v>27</v>
      </c>
      <c r="G156" s="16" t="s">
        <v>18</v>
      </c>
      <c r="H156" s="17">
        <v>45079.0</v>
      </c>
      <c r="I156" s="18">
        <v>236.0</v>
      </c>
      <c r="J156" s="19">
        <v>398.78</v>
      </c>
      <c r="K156" s="19">
        <v>377.04</v>
      </c>
      <c r="L156" s="19">
        <v>94112.07999999999</v>
      </c>
      <c r="M156" s="19">
        <v>88981.44</v>
      </c>
      <c r="N156" s="19">
        <v>5130.639999999985</v>
      </c>
      <c r="O156" s="20">
        <v>0.05451627463764466</v>
      </c>
    </row>
    <row r="157" ht="15.75" customHeight="1">
      <c r="B157" s="16" t="s">
        <v>186</v>
      </c>
      <c r="C157" s="16" t="s">
        <v>14</v>
      </c>
      <c r="D157" s="16" t="s">
        <v>29</v>
      </c>
      <c r="E157" s="16" t="s">
        <v>26</v>
      </c>
      <c r="F157" s="16" t="s">
        <v>17</v>
      </c>
      <c r="G157" s="16" t="s">
        <v>31</v>
      </c>
      <c r="H157" s="17">
        <v>45080.0</v>
      </c>
      <c r="I157" s="18">
        <v>445.0</v>
      </c>
      <c r="J157" s="19">
        <v>459.75</v>
      </c>
      <c r="K157" s="19">
        <v>313.97</v>
      </c>
      <c r="L157" s="19">
        <v>204588.75</v>
      </c>
      <c r="M157" s="19">
        <v>139716.65000000002</v>
      </c>
      <c r="N157" s="19">
        <v>64872.09999999998</v>
      </c>
      <c r="O157" s="20">
        <v>0.3170853724850461</v>
      </c>
    </row>
    <row r="158" ht="15.75" customHeight="1">
      <c r="B158" s="16" t="s">
        <v>187</v>
      </c>
      <c r="C158" s="16" t="s">
        <v>25</v>
      </c>
      <c r="D158" s="16" t="s">
        <v>15</v>
      </c>
      <c r="E158" s="16" t="s">
        <v>26</v>
      </c>
      <c r="F158" s="16" t="s">
        <v>27</v>
      </c>
      <c r="G158" s="16" t="s">
        <v>18</v>
      </c>
      <c r="H158" s="17">
        <v>45081.0</v>
      </c>
      <c r="I158" s="18">
        <v>390.0</v>
      </c>
      <c r="J158" s="19">
        <v>302.3</v>
      </c>
      <c r="K158" s="19">
        <v>143.23</v>
      </c>
      <c r="L158" s="19">
        <v>117897.0</v>
      </c>
      <c r="M158" s="19">
        <v>55859.7</v>
      </c>
      <c r="N158" s="19">
        <v>62037.3</v>
      </c>
      <c r="O158" s="20">
        <v>0.5261991399272247</v>
      </c>
    </row>
    <row r="159" ht="15.75" customHeight="1">
      <c r="B159" s="16" t="s">
        <v>188</v>
      </c>
      <c r="C159" s="16" t="s">
        <v>52</v>
      </c>
      <c r="D159" s="16" t="s">
        <v>29</v>
      </c>
      <c r="E159" s="16" t="s">
        <v>30</v>
      </c>
      <c r="F159" s="16" t="s">
        <v>17</v>
      </c>
      <c r="G159" s="16" t="s">
        <v>23</v>
      </c>
      <c r="H159" s="17">
        <v>45082.0</v>
      </c>
      <c r="I159" s="18">
        <v>469.0</v>
      </c>
      <c r="J159" s="19">
        <v>470.73</v>
      </c>
      <c r="K159" s="19">
        <v>166.03</v>
      </c>
      <c r="L159" s="19">
        <v>220772.37</v>
      </c>
      <c r="M159" s="19">
        <v>77868.07</v>
      </c>
      <c r="N159" s="19">
        <v>142904.3</v>
      </c>
      <c r="O159" s="20">
        <v>0.647292503133431</v>
      </c>
    </row>
    <row r="160" ht="15.75" customHeight="1">
      <c r="B160" s="16" t="s">
        <v>189</v>
      </c>
      <c r="C160" s="16" t="s">
        <v>14</v>
      </c>
      <c r="D160" s="16" t="s">
        <v>34</v>
      </c>
      <c r="E160" s="16" t="s">
        <v>22</v>
      </c>
      <c r="F160" s="16" t="s">
        <v>17</v>
      </c>
      <c r="G160" s="16" t="s">
        <v>18</v>
      </c>
      <c r="H160" s="17">
        <v>45083.0</v>
      </c>
      <c r="I160" s="18">
        <v>16.0</v>
      </c>
      <c r="J160" s="19">
        <v>249.64520588235297</v>
      </c>
      <c r="K160" s="19">
        <v>220.75</v>
      </c>
      <c r="L160" s="19">
        <v>3994.3232941176475</v>
      </c>
      <c r="M160" s="19">
        <v>3532.0</v>
      </c>
      <c r="N160" s="19">
        <v>462.3232941176475</v>
      </c>
      <c r="O160" s="20">
        <v>0.11574508623237906</v>
      </c>
    </row>
    <row r="161" ht="15.75" customHeight="1">
      <c r="B161" s="16" t="s">
        <v>190</v>
      </c>
      <c r="C161" s="16" t="s">
        <v>52</v>
      </c>
      <c r="D161" s="16" t="s">
        <v>21</v>
      </c>
      <c r="E161" s="16" t="s">
        <v>46</v>
      </c>
      <c r="F161" s="16" t="s">
        <v>27</v>
      </c>
      <c r="G161" s="16" t="s">
        <v>23</v>
      </c>
      <c r="H161" s="17">
        <v>45084.0</v>
      </c>
      <c r="I161" s="18">
        <v>38.0</v>
      </c>
      <c r="J161" s="19">
        <v>335.15</v>
      </c>
      <c r="K161" s="19">
        <v>332.55</v>
      </c>
      <c r="L161" s="19">
        <v>12735.699999999999</v>
      </c>
      <c r="M161" s="19">
        <v>12636.9</v>
      </c>
      <c r="N161" s="19">
        <v>98.79999999999927</v>
      </c>
      <c r="O161" s="20">
        <v>0.007757720423690828</v>
      </c>
    </row>
    <row r="162" ht="15.75" customHeight="1">
      <c r="B162" s="16" t="s">
        <v>191</v>
      </c>
      <c r="C162" s="16" t="s">
        <v>25</v>
      </c>
      <c r="D162" s="16" t="s">
        <v>34</v>
      </c>
      <c r="E162" s="16" t="s">
        <v>39</v>
      </c>
      <c r="F162" s="16" t="s">
        <v>27</v>
      </c>
      <c r="G162" s="16" t="s">
        <v>31</v>
      </c>
      <c r="H162" s="17">
        <v>45085.0</v>
      </c>
      <c r="I162" s="18">
        <v>404.0</v>
      </c>
      <c r="J162" s="19">
        <v>290.71</v>
      </c>
      <c r="K162" s="19">
        <v>29.35</v>
      </c>
      <c r="L162" s="19">
        <v>117446.84</v>
      </c>
      <c r="M162" s="19">
        <v>11857.400000000001</v>
      </c>
      <c r="N162" s="19">
        <v>105589.44</v>
      </c>
      <c r="O162" s="20">
        <v>0.8990402806920987</v>
      </c>
    </row>
    <row r="163" ht="15.75" customHeight="1">
      <c r="B163" s="16" t="s">
        <v>192</v>
      </c>
      <c r="C163" s="16" t="s">
        <v>20</v>
      </c>
      <c r="D163" s="16" t="s">
        <v>15</v>
      </c>
      <c r="E163" s="16" t="s">
        <v>22</v>
      </c>
      <c r="F163" s="16" t="s">
        <v>17</v>
      </c>
      <c r="G163" s="16" t="s">
        <v>23</v>
      </c>
      <c r="H163" s="17">
        <v>45086.0</v>
      </c>
      <c r="I163" s="18">
        <v>42.0</v>
      </c>
      <c r="J163" s="19">
        <v>177.54</v>
      </c>
      <c r="K163" s="19">
        <v>170.87</v>
      </c>
      <c r="L163" s="19">
        <v>7456.679999999999</v>
      </c>
      <c r="M163" s="19">
        <v>7176.54</v>
      </c>
      <c r="N163" s="19">
        <v>280.1399999999994</v>
      </c>
      <c r="O163" s="20">
        <v>0.037568998535541215</v>
      </c>
    </row>
    <row r="164" ht="15.75" customHeight="1">
      <c r="B164" s="16" t="s">
        <v>193</v>
      </c>
      <c r="C164" s="16" t="s">
        <v>14</v>
      </c>
      <c r="D164" s="16" t="s">
        <v>29</v>
      </c>
      <c r="E164" s="16" t="s">
        <v>30</v>
      </c>
      <c r="F164" s="16" t="s">
        <v>27</v>
      </c>
      <c r="G164" s="16" t="s">
        <v>23</v>
      </c>
      <c r="H164" s="17">
        <v>45087.0</v>
      </c>
      <c r="I164" s="18">
        <v>143.0</v>
      </c>
      <c r="J164" s="19">
        <v>83.85</v>
      </c>
      <c r="K164" s="19">
        <v>34.88</v>
      </c>
      <c r="L164" s="19">
        <v>11990.55</v>
      </c>
      <c r="M164" s="19">
        <v>4987.84</v>
      </c>
      <c r="N164" s="19">
        <v>7002.709999999999</v>
      </c>
      <c r="O164" s="20">
        <v>0.5840190816935003</v>
      </c>
    </row>
    <row r="165" ht="15.75" customHeight="1">
      <c r="B165" s="16" t="s">
        <v>194</v>
      </c>
      <c r="C165" s="16" t="s">
        <v>25</v>
      </c>
      <c r="D165" s="16" t="s">
        <v>29</v>
      </c>
      <c r="E165" s="16" t="s">
        <v>26</v>
      </c>
      <c r="F165" s="16" t="s">
        <v>17</v>
      </c>
      <c r="G165" s="16" t="s">
        <v>18</v>
      </c>
      <c r="H165" s="17">
        <v>45088.0</v>
      </c>
      <c r="I165" s="18">
        <v>376.0</v>
      </c>
      <c r="J165" s="19">
        <v>304.45</v>
      </c>
      <c r="K165" s="19">
        <v>206.83</v>
      </c>
      <c r="L165" s="19">
        <v>114473.2</v>
      </c>
      <c r="M165" s="19">
        <v>77768.08</v>
      </c>
      <c r="N165" s="19">
        <v>36705.119999999995</v>
      </c>
      <c r="O165" s="20">
        <v>0.32064378387255704</v>
      </c>
    </row>
    <row r="166" ht="15.75" customHeight="1">
      <c r="B166" s="16" t="s">
        <v>195</v>
      </c>
      <c r="C166" s="16" t="s">
        <v>20</v>
      </c>
      <c r="D166" s="16" t="s">
        <v>54</v>
      </c>
      <c r="E166" s="16" t="s">
        <v>46</v>
      </c>
      <c r="F166" s="16" t="s">
        <v>17</v>
      </c>
      <c r="G166" s="16" t="s">
        <v>18</v>
      </c>
      <c r="H166" s="17">
        <v>45089.0</v>
      </c>
      <c r="I166" s="18">
        <v>88.0</v>
      </c>
      <c r="J166" s="19">
        <v>162.47</v>
      </c>
      <c r="K166" s="19">
        <v>359.76</v>
      </c>
      <c r="L166" s="19">
        <v>14297.36</v>
      </c>
      <c r="M166" s="19">
        <v>31658.879999999997</v>
      </c>
      <c r="N166" s="19">
        <v>-17361.519999999997</v>
      </c>
      <c r="O166" s="20">
        <v>-1.2143164891980056</v>
      </c>
    </row>
    <row r="167" ht="15.75" customHeight="1">
      <c r="B167" s="16" t="s">
        <v>196</v>
      </c>
      <c r="C167" s="16" t="s">
        <v>20</v>
      </c>
      <c r="D167" s="16" t="s">
        <v>29</v>
      </c>
      <c r="E167" s="16" t="s">
        <v>16</v>
      </c>
      <c r="F167" s="16" t="s">
        <v>17</v>
      </c>
      <c r="G167" s="16" t="s">
        <v>23</v>
      </c>
      <c r="H167" s="17">
        <v>45090.0</v>
      </c>
      <c r="I167" s="18">
        <v>425.0</v>
      </c>
      <c r="J167" s="19">
        <v>433.89</v>
      </c>
      <c r="K167" s="19">
        <v>313.43</v>
      </c>
      <c r="L167" s="19">
        <v>184403.25</v>
      </c>
      <c r="M167" s="19">
        <v>133207.75</v>
      </c>
      <c r="N167" s="19">
        <v>51195.5</v>
      </c>
      <c r="O167" s="20">
        <v>0.27762797022286756</v>
      </c>
    </row>
    <row r="168" ht="15.75" customHeight="1">
      <c r="B168" s="16" t="s">
        <v>197</v>
      </c>
      <c r="C168" s="16" t="s">
        <v>52</v>
      </c>
      <c r="D168" s="16" t="s">
        <v>54</v>
      </c>
      <c r="E168" s="16" t="s">
        <v>16</v>
      </c>
      <c r="F168" s="16" t="s">
        <v>27</v>
      </c>
      <c r="G168" s="16" t="s">
        <v>18</v>
      </c>
      <c r="H168" s="17">
        <v>45091.0</v>
      </c>
      <c r="I168" s="18">
        <v>444.0</v>
      </c>
      <c r="J168" s="19">
        <v>496.7</v>
      </c>
      <c r="K168" s="19">
        <v>92.68</v>
      </c>
      <c r="L168" s="19">
        <v>220534.8</v>
      </c>
      <c r="M168" s="19">
        <v>41149.920000000006</v>
      </c>
      <c r="N168" s="19">
        <v>179384.87999999998</v>
      </c>
      <c r="O168" s="20">
        <v>0.8134084960740889</v>
      </c>
    </row>
    <row r="169" ht="15.75" customHeight="1">
      <c r="B169" s="16" t="s">
        <v>198</v>
      </c>
      <c r="C169" s="16" t="s">
        <v>25</v>
      </c>
      <c r="D169" s="16" t="s">
        <v>21</v>
      </c>
      <c r="E169" s="16" t="s">
        <v>22</v>
      </c>
      <c r="F169" s="16" t="s">
        <v>17</v>
      </c>
      <c r="G169" s="16" t="s">
        <v>31</v>
      </c>
      <c r="H169" s="17">
        <v>45092.0</v>
      </c>
      <c r="I169" s="18">
        <v>468.0</v>
      </c>
      <c r="J169" s="19">
        <v>377.45</v>
      </c>
      <c r="K169" s="19">
        <v>390.44</v>
      </c>
      <c r="L169" s="19">
        <v>176646.6</v>
      </c>
      <c r="M169" s="19">
        <v>182725.92</v>
      </c>
      <c r="N169" s="19">
        <v>-6079.320000000007</v>
      </c>
      <c r="O169" s="20">
        <v>-0.034415154325076205</v>
      </c>
    </row>
    <row r="170" ht="15.75" customHeight="1">
      <c r="B170" s="16" t="s">
        <v>199</v>
      </c>
      <c r="C170" s="16" t="s">
        <v>20</v>
      </c>
      <c r="D170" s="16" t="s">
        <v>15</v>
      </c>
      <c r="E170" s="16" t="s">
        <v>30</v>
      </c>
      <c r="F170" s="16" t="s">
        <v>17</v>
      </c>
      <c r="G170" s="16" t="s">
        <v>31</v>
      </c>
      <c r="H170" s="17">
        <v>45093.0</v>
      </c>
      <c r="I170" s="18">
        <v>67.0</v>
      </c>
      <c r="J170" s="19">
        <v>49.79</v>
      </c>
      <c r="K170" s="19">
        <v>267.61</v>
      </c>
      <c r="L170" s="19">
        <v>3335.93</v>
      </c>
      <c r="M170" s="19">
        <v>17929.870000000003</v>
      </c>
      <c r="N170" s="19">
        <v>-14593.940000000002</v>
      </c>
      <c r="O170" s="20">
        <v>-4.374774051014261</v>
      </c>
    </row>
    <row r="171" ht="15.75" customHeight="1">
      <c r="B171" s="16" t="s">
        <v>200</v>
      </c>
      <c r="C171" s="16" t="s">
        <v>14</v>
      </c>
      <c r="D171" s="16" t="s">
        <v>54</v>
      </c>
      <c r="E171" s="16" t="s">
        <v>46</v>
      </c>
      <c r="F171" s="16" t="s">
        <v>27</v>
      </c>
      <c r="G171" s="16" t="s">
        <v>18</v>
      </c>
      <c r="H171" s="17">
        <v>45094.0</v>
      </c>
      <c r="I171" s="18">
        <v>480.0</v>
      </c>
      <c r="J171" s="19">
        <v>147.9</v>
      </c>
      <c r="K171" s="19">
        <v>6.15</v>
      </c>
      <c r="L171" s="19">
        <v>70992.0</v>
      </c>
      <c r="M171" s="19">
        <v>2952.0</v>
      </c>
      <c r="N171" s="19">
        <v>68040.0</v>
      </c>
      <c r="O171" s="20">
        <v>0.9584178498985801</v>
      </c>
    </row>
    <row r="172" ht="15.75" customHeight="1">
      <c r="B172" s="16" t="s">
        <v>201</v>
      </c>
      <c r="C172" s="16" t="s">
        <v>14</v>
      </c>
      <c r="D172" s="16" t="s">
        <v>21</v>
      </c>
      <c r="E172" s="16" t="s">
        <v>30</v>
      </c>
      <c r="F172" s="16" t="s">
        <v>27</v>
      </c>
      <c r="G172" s="16" t="s">
        <v>31</v>
      </c>
      <c r="H172" s="17">
        <v>45095.0</v>
      </c>
      <c r="I172" s="18">
        <v>35.0</v>
      </c>
      <c r="J172" s="19">
        <v>59.01</v>
      </c>
      <c r="K172" s="19">
        <v>103.65</v>
      </c>
      <c r="L172" s="19">
        <v>2065.35</v>
      </c>
      <c r="M172" s="19">
        <v>3627.75</v>
      </c>
      <c r="N172" s="19">
        <v>-1562.4</v>
      </c>
      <c r="O172" s="20">
        <v>-0.7564819522114896</v>
      </c>
    </row>
    <row r="173" ht="15.75" customHeight="1">
      <c r="B173" s="16" t="s">
        <v>202</v>
      </c>
      <c r="C173" s="16" t="s">
        <v>52</v>
      </c>
      <c r="D173" s="16" t="s">
        <v>29</v>
      </c>
      <c r="E173" s="16" t="s">
        <v>46</v>
      </c>
      <c r="F173" s="16" t="s">
        <v>27</v>
      </c>
      <c r="G173" s="16" t="s">
        <v>18</v>
      </c>
      <c r="H173" s="17">
        <v>45096.0</v>
      </c>
      <c r="I173" s="18">
        <v>491.0</v>
      </c>
      <c r="J173" s="19">
        <v>327.0</v>
      </c>
      <c r="K173" s="19">
        <v>105.76</v>
      </c>
      <c r="L173" s="19">
        <v>160557.0</v>
      </c>
      <c r="M173" s="19">
        <v>51928.16</v>
      </c>
      <c r="N173" s="19">
        <v>108628.84</v>
      </c>
      <c r="O173" s="20">
        <v>0.6765749235474006</v>
      </c>
    </row>
    <row r="174" ht="15.75" customHeight="1">
      <c r="B174" s="16" t="s">
        <v>203</v>
      </c>
      <c r="C174" s="16" t="s">
        <v>20</v>
      </c>
      <c r="D174" s="16" t="s">
        <v>29</v>
      </c>
      <c r="E174" s="16" t="s">
        <v>22</v>
      </c>
      <c r="F174" s="16" t="s">
        <v>27</v>
      </c>
      <c r="G174" s="16" t="s">
        <v>23</v>
      </c>
      <c r="H174" s="17">
        <v>45097.0</v>
      </c>
      <c r="I174" s="18">
        <v>439.0</v>
      </c>
      <c r="J174" s="19">
        <v>383.77</v>
      </c>
      <c r="K174" s="19">
        <v>29.56</v>
      </c>
      <c r="L174" s="19">
        <v>168475.03</v>
      </c>
      <c r="M174" s="19">
        <v>12976.84</v>
      </c>
      <c r="N174" s="19">
        <v>155498.19</v>
      </c>
      <c r="O174" s="20">
        <v>0.9229746983870548</v>
      </c>
    </row>
    <row r="175" ht="15.75" customHeight="1">
      <c r="B175" s="16" t="s">
        <v>204</v>
      </c>
      <c r="C175" s="16" t="s">
        <v>25</v>
      </c>
      <c r="D175" s="16" t="s">
        <v>21</v>
      </c>
      <c r="E175" s="16" t="s">
        <v>22</v>
      </c>
      <c r="F175" s="16" t="s">
        <v>17</v>
      </c>
      <c r="G175" s="16" t="s">
        <v>23</v>
      </c>
      <c r="H175" s="17">
        <v>45098.0</v>
      </c>
      <c r="I175" s="18">
        <v>235.0</v>
      </c>
      <c r="J175" s="19">
        <v>463.21</v>
      </c>
      <c r="K175" s="19">
        <v>384.01</v>
      </c>
      <c r="L175" s="19">
        <v>108854.34999999999</v>
      </c>
      <c r="M175" s="19">
        <v>90242.34999999999</v>
      </c>
      <c r="N175" s="19">
        <v>18612.0</v>
      </c>
      <c r="O175" s="20">
        <v>0.17098076466397533</v>
      </c>
    </row>
    <row r="176" ht="15.75" customHeight="1">
      <c r="B176" s="16" t="s">
        <v>205</v>
      </c>
      <c r="C176" s="16" t="s">
        <v>14</v>
      </c>
      <c r="D176" s="16" t="s">
        <v>29</v>
      </c>
      <c r="E176" s="16" t="s">
        <v>16</v>
      </c>
      <c r="F176" s="16" t="s">
        <v>17</v>
      </c>
      <c r="G176" s="16" t="s">
        <v>31</v>
      </c>
      <c r="H176" s="17">
        <v>45099.0</v>
      </c>
      <c r="I176" s="18">
        <v>294.0</v>
      </c>
      <c r="J176" s="19">
        <v>221.9</v>
      </c>
      <c r="K176" s="19">
        <v>192.35</v>
      </c>
      <c r="L176" s="19">
        <v>65238.6</v>
      </c>
      <c r="M176" s="19">
        <v>56550.9</v>
      </c>
      <c r="N176" s="19">
        <v>8687.699999999997</v>
      </c>
      <c r="O176" s="20">
        <v>0.13316809373591704</v>
      </c>
    </row>
    <row r="177" ht="15.75" customHeight="1">
      <c r="B177" s="16" t="s">
        <v>206</v>
      </c>
      <c r="C177" s="16" t="s">
        <v>20</v>
      </c>
      <c r="D177" s="16" t="s">
        <v>21</v>
      </c>
      <c r="E177" s="16" t="s">
        <v>30</v>
      </c>
      <c r="F177" s="16" t="s">
        <v>17</v>
      </c>
      <c r="G177" s="16" t="s">
        <v>18</v>
      </c>
      <c r="H177" s="17">
        <v>45100.0</v>
      </c>
      <c r="I177" s="18">
        <v>13.0</v>
      </c>
      <c r="J177" s="19">
        <v>451.18</v>
      </c>
      <c r="K177" s="19">
        <v>358.53</v>
      </c>
      <c r="L177" s="19">
        <v>5865.34</v>
      </c>
      <c r="M177" s="19">
        <v>4660.889999999999</v>
      </c>
      <c r="N177" s="19">
        <v>1204.4500000000007</v>
      </c>
      <c r="O177" s="20">
        <v>0.20535041446872657</v>
      </c>
    </row>
    <row r="178" ht="15.75" customHeight="1">
      <c r="B178" s="16" t="s">
        <v>207</v>
      </c>
      <c r="C178" s="16" t="s">
        <v>20</v>
      </c>
      <c r="D178" s="16" t="s">
        <v>54</v>
      </c>
      <c r="E178" s="16" t="s">
        <v>16</v>
      </c>
      <c r="F178" s="16" t="s">
        <v>17</v>
      </c>
      <c r="G178" s="16" t="s">
        <v>18</v>
      </c>
      <c r="H178" s="17">
        <v>45101.0</v>
      </c>
      <c r="I178" s="18">
        <v>474.0</v>
      </c>
      <c r="J178" s="19">
        <v>439.56</v>
      </c>
      <c r="K178" s="19">
        <v>130.24</v>
      </c>
      <c r="L178" s="19">
        <v>208351.44</v>
      </c>
      <c r="M178" s="19">
        <v>61733.76</v>
      </c>
      <c r="N178" s="19">
        <v>146617.68</v>
      </c>
      <c r="O178" s="20">
        <v>0.7037037037037036</v>
      </c>
    </row>
    <row r="179" ht="15.75" customHeight="1">
      <c r="B179" s="16" t="s">
        <v>208</v>
      </c>
      <c r="C179" s="16" t="s">
        <v>52</v>
      </c>
      <c r="D179" s="16" t="s">
        <v>54</v>
      </c>
      <c r="E179" s="16" t="s">
        <v>30</v>
      </c>
      <c r="F179" s="16" t="s">
        <v>27</v>
      </c>
      <c r="G179" s="16" t="s">
        <v>31</v>
      </c>
      <c r="H179" s="17">
        <v>45102.0</v>
      </c>
      <c r="I179" s="18">
        <v>108.0</v>
      </c>
      <c r="J179" s="19">
        <v>162.01</v>
      </c>
      <c r="K179" s="19">
        <v>51.84</v>
      </c>
      <c r="L179" s="19">
        <v>17497.079999999998</v>
      </c>
      <c r="M179" s="19">
        <v>5598.72</v>
      </c>
      <c r="N179" s="19">
        <v>11898.359999999997</v>
      </c>
      <c r="O179" s="20">
        <v>0.6800197518671686</v>
      </c>
    </row>
    <row r="180" ht="15.75" customHeight="1">
      <c r="B180" s="16" t="s">
        <v>209</v>
      </c>
      <c r="C180" s="16" t="s">
        <v>14</v>
      </c>
      <c r="D180" s="16" t="s">
        <v>21</v>
      </c>
      <c r="E180" s="16" t="s">
        <v>16</v>
      </c>
      <c r="F180" s="16" t="s">
        <v>17</v>
      </c>
      <c r="G180" s="16" t="s">
        <v>23</v>
      </c>
      <c r="H180" s="17">
        <v>45103.0</v>
      </c>
      <c r="I180" s="18">
        <v>406.0</v>
      </c>
      <c r="J180" s="19">
        <v>435.11</v>
      </c>
      <c r="K180" s="19">
        <v>190.79</v>
      </c>
      <c r="L180" s="19">
        <v>176654.66</v>
      </c>
      <c r="M180" s="19">
        <v>77460.73999999999</v>
      </c>
      <c r="N180" s="19">
        <v>99193.92000000001</v>
      </c>
      <c r="O180" s="20">
        <v>0.5615131805750271</v>
      </c>
    </row>
    <row r="181" ht="15.75" customHeight="1">
      <c r="B181" s="16" t="s">
        <v>210</v>
      </c>
      <c r="C181" s="16" t="s">
        <v>14</v>
      </c>
      <c r="D181" s="16" t="s">
        <v>54</v>
      </c>
      <c r="E181" s="16" t="s">
        <v>26</v>
      </c>
      <c r="F181" s="16" t="s">
        <v>17</v>
      </c>
      <c r="G181" s="16" t="s">
        <v>31</v>
      </c>
      <c r="H181" s="17">
        <v>45104.0</v>
      </c>
      <c r="I181" s="18">
        <v>498.0</v>
      </c>
      <c r="J181" s="19">
        <v>190.96</v>
      </c>
      <c r="K181" s="19">
        <v>47.35</v>
      </c>
      <c r="L181" s="19">
        <v>95098.08</v>
      </c>
      <c r="M181" s="19">
        <v>23580.3</v>
      </c>
      <c r="N181" s="19">
        <v>71517.78</v>
      </c>
      <c r="O181" s="20">
        <v>0.7520423125261835</v>
      </c>
    </row>
    <row r="182" ht="15.75" customHeight="1">
      <c r="B182" s="16" t="s">
        <v>211</v>
      </c>
      <c r="C182" s="16" t="s">
        <v>25</v>
      </c>
      <c r="D182" s="16" t="s">
        <v>54</v>
      </c>
      <c r="E182" s="16" t="s">
        <v>26</v>
      </c>
      <c r="F182" s="16" t="s">
        <v>27</v>
      </c>
      <c r="G182" s="16" t="s">
        <v>23</v>
      </c>
      <c r="H182" s="17">
        <v>45105.0</v>
      </c>
      <c r="I182" s="18">
        <v>48.0</v>
      </c>
      <c r="J182" s="19">
        <v>151.95</v>
      </c>
      <c r="K182" s="19">
        <v>195.43</v>
      </c>
      <c r="L182" s="19">
        <v>7293.599999999999</v>
      </c>
      <c r="M182" s="19">
        <v>9380.64</v>
      </c>
      <c r="N182" s="19">
        <v>-2087.04</v>
      </c>
      <c r="O182" s="20">
        <v>-0.2861467588022376</v>
      </c>
    </row>
    <row r="183" ht="15.75" customHeight="1">
      <c r="B183" s="16" t="s">
        <v>212</v>
      </c>
      <c r="C183" s="16" t="s">
        <v>14</v>
      </c>
      <c r="D183" s="16" t="s">
        <v>54</v>
      </c>
      <c r="E183" s="16" t="s">
        <v>26</v>
      </c>
      <c r="F183" s="16" t="s">
        <v>17</v>
      </c>
      <c r="G183" s="16" t="s">
        <v>18</v>
      </c>
      <c r="H183" s="17">
        <v>45106.0</v>
      </c>
      <c r="I183" s="18">
        <v>280.0</v>
      </c>
      <c r="J183" s="19">
        <v>326.29</v>
      </c>
      <c r="K183" s="19">
        <v>368.28</v>
      </c>
      <c r="L183" s="19">
        <v>91361.20000000001</v>
      </c>
      <c r="M183" s="19">
        <v>103118.4</v>
      </c>
      <c r="N183" s="19">
        <v>-11757.199999999983</v>
      </c>
      <c r="O183" s="20">
        <v>-0.12868920285635457</v>
      </c>
    </row>
    <row r="184" ht="15.75" customHeight="1">
      <c r="B184" s="16" t="s">
        <v>213</v>
      </c>
      <c r="C184" s="16" t="s">
        <v>25</v>
      </c>
      <c r="D184" s="16" t="s">
        <v>34</v>
      </c>
      <c r="E184" s="16" t="s">
        <v>26</v>
      </c>
      <c r="F184" s="16" t="s">
        <v>17</v>
      </c>
      <c r="G184" s="16" t="s">
        <v>23</v>
      </c>
      <c r="H184" s="17">
        <v>45107.0</v>
      </c>
      <c r="I184" s="18">
        <v>384.0</v>
      </c>
      <c r="J184" s="19">
        <v>167.55</v>
      </c>
      <c r="K184" s="19">
        <v>209.27</v>
      </c>
      <c r="L184" s="19">
        <v>64339.200000000004</v>
      </c>
      <c r="M184" s="19">
        <v>80359.68000000001</v>
      </c>
      <c r="N184" s="19">
        <v>-16020.480000000003</v>
      </c>
      <c r="O184" s="20">
        <v>-0.24900029841838262</v>
      </c>
    </row>
    <row r="185" ht="15.75" customHeight="1">
      <c r="B185" s="16" t="s">
        <v>214</v>
      </c>
      <c r="C185" s="16" t="s">
        <v>14</v>
      </c>
      <c r="D185" s="16" t="s">
        <v>15</v>
      </c>
      <c r="E185" s="16" t="s">
        <v>46</v>
      </c>
      <c r="F185" s="16" t="s">
        <v>17</v>
      </c>
      <c r="G185" s="16" t="s">
        <v>31</v>
      </c>
      <c r="H185" s="17">
        <v>45108.0</v>
      </c>
      <c r="I185" s="18">
        <v>294.0</v>
      </c>
      <c r="J185" s="19">
        <v>316.95</v>
      </c>
      <c r="K185" s="19">
        <v>247.37</v>
      </c>
      <c r="L185" s="19">
        <v>93183.3</v>
      </c>
      <c r="M185" s="19">
        <v>72726.78</v>
      </c>
      <c r="N185" s="19">
        <v>20456.520000000004</v>
      </c>
      <c r="O185" s="20">
        <v>0.21952989430509548</v>
      </c>
    </row>
    <row r="186" ht="15.75" customHeight="1">
      <c r="B186" s="16" t="s">
        <v>215</v>
      </c>
      <c r="C186" s="16" t="s">
        <v>52</v>
      </c>
      <c r="D186" s="16" t="s">
        <v>29</v>
      </c>
      <c r="E186" s="16" t="s">
        <v>26</v>
      </c>
      <c r="F186" s="16" t="s">
        <v>17</v>
      </c>
      <c r="G186" s="16" t="s">
        <v>18</v>
      </c>
      <c r="H186" s="17">
        <v>45109.0</v>
      </c>
      <c r="I186" s="18">
        <v>166.0</v>
      </c>
      <c r="J186" s="19">
        <v>306.87</v>
      </c>
      <c r="K186" s="19">
        <v>64.34</v>
      </c>
      <c r="L186" s="19">
        <v>50940.42</v>
      </c>
      <c r="M186" s="19">
        <v>10680.44</v>
      </c>
      <c r="N186" s="19">
        <v>40259.979999999996</v>
      </c>
      <c r="O186" s="20">
        <v>0.7903346694039821</v>
      </c>
    </row>
    <row r="187" ht="15.75" customHeight="1">
      <c r="B187" s="16" t="s">
        <v>216</v>
      </c>
      <c r="C187" s="16" t="s">
        <v>14</v>
      </c>
      <c r="D187" s="16" t="s">
        <v>34</v>
      </c>
      <c r="E187" s="16" t="s">
        <v>22</v>
      </c>
      <c r="F187" s="16" t="s">
        <v>17</v>
      </c>
      <c r="G187" s="16" t="s">
        <v>31</v>
      </c>
      <c r="H187" s="17">
        <v>45110.0</v>
      </c>
      <c r="I187" s="18">
        <v>84.0</v>
      </c>
      <c r="J187" s="19">
        <v>283.9</v>
      </c>
      <c r="K187" s="19">
        <v>19.41</v>
      </c>
      <c r="L187" s="19">
        <v>23847.6</v>
      </c>
      <c r="M187" s="19">
        <v>1630.44</v>
      </c>
      <c r="N187" s="19">
        <v>22217.16</v>
      </c>
      <c r="O187" s="20">
        <v>0.9316308559351885</v>
      </c>
    </row>
    <row r="188" ht="15.75" customHeight="1">
      <c r="B188" s="16" t="s">
        <v>217</v>
      </c>
      <c r="C188" s="16" t="s">
        <v>25</v>
      </c>
      <c r="D188" s="16" t="s">
        <v>54</v>
      </c>
      <c r="E188" s="16" t="s">
        <v>22</v>
      </c>
      <c r="F188" s="16" t="s">
        <v>17</v>
      </c>
      <c r="G188" s="16" t="s">
        <v>31</v>
      </c>
      <c r="H188" s="17">
        <v>45111.0</v>
      </c>
      <c r="I188" s="18">
        <v>381.0</v>
      </c>
      <c r="J188" s="19">
        <v>193.31</v>
      </c>
      <c r="K188" s="19">
        <v>46.1</v>
      </c>
      <c r="L188" s="19">
        <v>73651.11</v>
      </c>
      <c r="M188" s="19">
        <v>17564.100000000002</v>
      </c>
      <c r="N188" s="19">
        <v>56087.009999999995</v>
      </c>
      <c r="O188" s="20">
        <v>0.7615229424240856</v>
      </c>
    </row>
    <row r="189" ht="15.75" customHeight="1">
      <c r="B189" s="16" t="s">
        <v>218</v>
      </c>
      <c r="C189" s="16" t="s">
        <v>25</v>
      </c>
      <c r="D189" s="16" t="s">
        <v>21</v>
      </c>
      <c r="E189" s="16" t="s">
        <v>46</v>
      </c>
      <c r="F189" s="16" t="s">
        <v>27</v>
      </c>
      <c r="G189" s="16" t="s">
        <v>23</v>
      </c>
      <c r="H189" s="17">
        <v>45112.0</v>
      </c>
      <c r="I189" s="18">
        <v>297.0</v>
      </c>
      <c r="J189" s="19">
        <v>276.51</v>
      </c>
      <c r="K189" s="19">
        <v>240.22</v>
      </c>
      <c r="L189" s="19">
        <v>82123.47</v>
      </c>
      <c r="M189" s="19">
        <v>71345.34</v>
      </c>
      <c r="N189" s="19">
        <v>10778.130000000005</v>
      </c>
      <c r="O189" s="20">
        <v>0.131242993020144</v>
      </c>
    </row>
    <row r="190" ht="15.75" customHeight="1">
      <c r="B190" s="16" t="s">
        <v>219</v>
      </c>
      <c r="C190" s="16" t="s">
        <v>52</v>
      </c>
      <c r="D190" s="16" t="s">
        <v>54</v>
      </c>
      <c r="E190" s="16" t="s">
        <v>26</v>
      </c>
      <c r="F190" s="16" t="s">
        <v>27</v>
      </c>
      <c r="G190" s="16" t="s">
        <v>31</v>
      </c>
      <c r="H190" s="17">
        <v>45113.0</v>
      </c>
      <c r="I190" s="18">
        <v>139.0</v>
      </c>
      <c r="J190" s="19">
        <v>300.26</v>
      </c>
      <c r="K190" s="19">
        <v>39.81</v>
      </c>
      <c r="L190" s="19">
        <v>41736.14</v>
      </c>
      <c r="M190" s="19">
        <v>5533.59</v>
      </c>
      <c r="N190" s="19">
        <v>36202.55</v>
      </c>
      <c r="O190" s="20">
        <v>0.8674149070805303</v>
      </c>
    </row>
    <row r="191" ht="15.75" customHeight="1">
      <c r="B191" s="16" t="s">
        <v>220</v>
      </c>
      <c r="C191" s="16" t="s">
        <v>14</v>
      </c>
      <c r="D191" s="16" t="s">
        <v>15</v>
      </c>
      <c r="E191" s="16" t="s">
        <v>26</v>
      </c>
      <c r="F191" s="16" t="s">
        <v>17</v>
      </c>
      <c r="G191" s="16" t="s">
        <v>23</v>
      </c>
      <c r="H191" s="17">
        <v>45114.0</v>
      </c>
      <c r="I191" s="18">
        <v>184.0</v>
      </c>
      <c r="J191" s="19">
        <v>275.12</v>
      </c>
      <c r="K191" s="19">
        <v>151.65</v>
      </c>
      <c r="L191" s="19">
        <v>50622.08</v>
      </c>
      <c r="M191" s="19">
        <v>27903.600000000002</v>
      </c>
      <c r="N191" s="19">
        <v>22718.48</v>
      </c>
      <c r="O191" s="20">
        <v>0.44878598429776095</v>
      </c>
    </row>
    <row r="192" ht="15.75" customHeight="1">
      <c r="B192" s="16" t="s">
        <v>221</v>
      </c>
      <c r="C192" s="16" t="s">
        <v>14</v>
      </c>
      <c r="D192" s="16" t="s">
        <v>54</v>
      </c>
      <c r="E192" s="16" t="s">
        <v>26</v>
      </c>
      <c r="F192" s="16" t="s">
        <v>17</v>
      </c>
      <c r="G192" s="16" t="s">
        <v>18</v>
      </c>
      <c r="H192" s="17">
        <v>45115.0</v>
      </c>
      <c r="I192" s="18">
        <v>471.0</v>
      </c>
      <c r="J192" s="19">
        <v>224.99</v>
      </c>
      <c r="K192" s="19">
        <v>220.94</v>
      </c>
      <c r="L192" s="19">
        <v>105970.29000000001</v>
      </c>
      <c r="M192" s="19">
        <v>104062.74</v>
      </c>
      <c r="N192" s="19">
        <v>1907.550000000003</v>
      </c>
      <c r="O192" s="20">
        <v>0.018000800035557162</v>
      </c>
    </row>
    <row r="193" ht="15.75" customHeight="1">
      <c r="B193" s="16" t="s">
        <v>222</v>
      </c>
      <c r="C193" s="16" t="s">
        <v>52</v>
      </c>
      <c r="D193" s="16" t="s">
        <v>21</v>
      </c>
      <c r="E193" s="16" t="s">
        <v>16</v>
      </c>
      <c r="F193" s="16" t="s">
        <v>27</v>
      </c>
      <c r="G193" s="16" t="s">
        <v>23</v>
      </c>
      <c r="H193" s="17">
        <v>45116.0</v>
      </c>
      <c r="I193" s="18">
        <v>93.0</v>
      </c>
      <c r="J193" s="19">
        <v>12.26</v>
      </c>
      <c r="K193" s="19">
        <v>156.68</v>
      </c>
      <c r="L193" s="19">
        <v>1140.18</v>
      </c>
      <c r="M193" s="19">
        <v>14571.24</v>
      </c>
      <c r="N193" s="19">
        <v>-13431.06</v>
      </c>
      <c r="O193" s="20">
        <v>-11.779771615008155</v>
      </c>
    </row>
    <row r="194" ht="15.75" customHeight="1">
      <c r="B194" s="16" t="s">
        <v>223</v>
      </c>
      <c r="C194" s="16" t="s">
        <v>14</v>
      </c>
      <c r="D194" s="16" t="s">
        <v>15</v>
      </c>
      <c r="E194" s="16" t="s">
        <v>30</v>
      </c>
      <c r="F194" s="16" t="s">
        <v>17</v>
      </c>
      <c r="G194" s="16" t="s">
        <v>18</v>
      </c>
      <c r="H194" s="17">
        <v>45117.0</v>
      </c>
      <c r="I194" s="18">
        <v>31.0</v>
      </c>
      <c r="J194" s="19">
        <v>295.6</v>
      </c>
      <c r="K194" s="19">
        <v>67.15</v>
      </c>
      <c r="L194" s="19">
        <v>9163.6</v>
      </c>
      <c r="M194" s="19">
        <v>2081.65</v>
      </c>
      <c r="N194" s="19">
        <v>7081.950000000001</v>
      </c>
      <c r="O194" s="20">
        <v>0.7728349120433018</v>
      </c>
    </row>
    <row r="195" ht="15.75" customHeight="1">
      <c r="B195" s="16" t="s">
        <v>224</v>
      </c>
      <c r="C195" s="16" t="s">
        <v>14</v>
      </c>
      <c r="D195" s="16" t="s">
        <v>54</v>
      </c>
      <c r="E195" s="16" t="s">
        <v>16</v>
      </c>
      <c r="F195" s="16" t="s">
        <v>17</v>
      </c>
      <c r="G195" s="16" t="s">
        <v>23</v>
      </c>
      <c r="H195" s="17">
        <v>45118.0</v>
      </c>
      <c r="I195" s="18">
        <v>468.0</v>
      </c>
      <c r="J195" s="19">
        <v>88.38</v>
      </c>
      <c r="K195" s="19">
        <v>110.97</v>
      </c>
      <c r="L195" s="19">
        <v>41361.84</v>
      </c>
      <c r="M195" s="19">
        <v>51933.96</v>
      </c>
      <c r="N195" s="19">
        <v>-10572.120000000003</v>
      </c>
      <c r="O195" s="20">
        <v>-0.2556008146639512</v>
      </c>
    </row>
    <row r="196" ht="15.75" customHeight="1">
      <c r="B196" s="16" t="s">
        <v>225</v>
      </c>
      <c r="C196" s="16" t="s">
        <v>25</v>
      </c>
      <c r="D196" s="16" t="s">
        <v>15</v>
      </c>
      <c r="E196" s="16" t="s">
        <v>30</v>
      </c>
      <c r="F196" s="16" t="s">
        <v>17</v>
      </c>
      <c r="G196" s="16" t="s">
        <v>31</v>
      </c>
      <c r="H196" s="17">
        <v>45119.0</v>
      </c>
      <c r="I196" s="18">
        <v>36.0</v>
      </c>
      <c r="J196" s="19">
        <v>323.08</v>
      </c>
      <c r="K196" s="19">
        <v>371.47</v>
      </c>
      <c r="L196" s="19">
        <v>11630.88</v>
      </c>
      <c r="M196" s="19">
        <v>13372.920000000002</v>
      </c>
      <c r="N196" s="19">
        <v>-1742.0400000000027</v>
      </c>
      <c r="O196" s="20">
        <v>-0.14977714497957187</v>
      </c>
    </row>
    <row r="197" ht="15.75" customHeight="1">
      <c r="B197" s="16" t="s">
        <v>226</v>
      </c>
      <c r="C197" s="16" t="s">
        <v>14</v>
      </c>
      <c r="D197" s="16" t="s">
        <v>29</v>
      </c>
      <c r="E197" s="16" t="s">
        <v>26</v>
      </c>
      <c r="F197" s="16" t="s">
        <v>27</v>
      </c>
      <c r="G197" s="16" t="s">
        <v>23</v>
      </c>
      <c r="H197" s="17">
        <v>45120.0</v>
      </c>
      <c r="I197" s="18">
        <v>204.0</v>
      </c>
      <c r="J197" s="19">
        <v>380.88</v>
      </c>
      <c r="K197" s="19">
        <v>271.04</v>
      </c>
      <c r="L197" s="19">
        <v>77699.52</v>
      </c>
      <c r="M197" s="19">
        <v>55292.16</v>
      </c>
      <c r="N197" s="19">
        <v>22407.36</v>
      </c>
      <c r="O197" s="20">
        <v>0.28838479311069104</v>
      </c>
    </row>
    <row r="198" ht="15.75" customHeight="1">
      <c r="B198" s="16" t="s">
        <v>227</v>
      </c>
      <c r="C198" s="16" t="s">
        <v>14</v>
      </c>
      <c r="D198" s="16" t="s">
        <v>29</v>
      </c>
      <c r="E198" s="16" t="s">
        <v>26</v>
      </c>
      <c r="F198" s="16" t="s">
        <v>17</v>
      </c>
      <c r="G198" s="16" t="s">
        <v>23</v>
      </c>
      <c r="H198" s="17">
        <v>45121.0</v>
      </c>
      <c r="I198" s="18">
        <v>346.0</v>
      </c>
      <c r="J198" s="19">
        <v>252.72</v>
      </c>
      <c r="K198" s="19">
        <v>199.43</v>
      </c>
      <c r="L198" s="19">
        <v>87441.12</v>
      </c>
      <c r="M198" s="19">
        <v>69002.78</v>
      </c>
      <c r="N198" s="19">
        <v>18438.339999999997</v>
      </c>
      <c r="O198" s="20">
        <v>0.21086578031022474</v>
      </c>
    </row>
    <row r="199" ht="15.75" customHeight="1">
      <c r="B199" s="16" t="s">
        <v>228</v>
      </c>
      <c r="C199" s="16" t="s">
        <v>52</v>
      </c>
      <c r="D199" s="16" t="s">
        <v>54</v>
      </c>
      <c r="E199" s="16" t="s">
        <v>16</v>
      </c>
      <c r="F199" s="16" t="s">
        <v>27</v>
      </c>
      <c r="G199" s="16" t="s">
        <v>18</v>
      </c>
      <c r="H199" s="17">
        <v>45122.0</v>
      </c>
      <c r="I199" s="18">
        <v>391.0</v>
      </c>
      <c r="J199" s="19">
        <v>273.47</v>
      </c>
      <c r="K199" s="19">
        <v>7.06</v>
      </c>
      <c r="L199" s="19">
        <v>106926.77</v>
      </c>
      <c r="M199" s="19">
        <v>2760.46</v>
      </c>
      <c r="N199" s="19">
        <v>104166.31</v>
      </c>
      <c r="O199" s="20">
        <v>0.9741836398873733</v>
      </c>
    </row>
    <row r="200" ht="15.75" customHeight="1">
      <c r="B200" s="16" t="s">
        <v>229</v>
      </c>
      <c r="C200" s="16" t="s">
        <v>52</v>
      </c>
      <c r="D200" s="16" t="s">
        <v>15</v>
      </c>
      <c r="E200" s="16" t="s">
        <v>16</v>
      </c>
      <c r="F200" s="16" t="s">
        <v>17</v>
      </c>
      <c r="G200" s="16" t="s">
        <v>31</v>
      </c>
      <c r="H200" s="17">
        <v>45123.0</v>
      </c>
      <c r="I200" s="18">
        <v>245.0</v>
      </c>
      <c r="J200" s="19">
        <v>475.98</v>
      </c>
      <c r="K200" s="19">
        <v>396.98</v>
      </c>
      <c r="L200" s="19">
        <v>116615.1</v>
      </c>
      <c r="M200" s="19">
        <v>97260.1</v>
      </c>
      <c r="N200" s="19">
        <v>19355.0</v>
      </c>
      <c r="O200" s="20">
        <v>0.16597336022521955</v>
      </c>
    </row>
    <row r="201" ht="15.75" customHeight="1">
      <c r="B201" s="16" t="s">
        <v>230</v>
      </c>
      <c r="C201" s="16" t="s">
        <v>20</v>
      </c>
      <c r="D201" s="16" t="s">
        <v>21</v>
      </c>
      <c r="E201" s="16" t="s">
        <v>30</v>
      </c>
      <c r="F201" s="16" t="s">
        <v>27</v>
      </c>
      <c r="G201" s="16" t="s">
        <v>23</v>
      </c>
      <c r="H201" s="17">
        <v>45124.0</v>
      </c>
      <c r="I201" s="18">
        <v>449.0</v>
      </c>
      <c r="J201" s="19">
        <v>424.35</v>
      </c>
      <c r="K201" s="19">
        <v>269.24</v>
      </c>
      <c r="L201" s="19">
        <v>190533.15000000002</v>
      </c>
      <c r="M201" s="19">
        <v>120888.76000000001</v>
      </c>
      <c r="N201" s="19">
        <v>69644.39000000001</v>
      </c>
      <c r="O201" s="20">
        <v>0.36552374219394373</v>
      </c>
    </row>
    <row r="202" ht="15.75" customHeight="1">
      <c r="B202" s="16" t="s">
        <v>231</v>
      </c>
      <c r="C202" s="16" t="s">
        <v>25</v>
      </c>
      <c r="D202" s="16" t="s">
        <v>54</v>
      </c>
      <c r="E202" s="16" t="s">
        <v>22</v>
      </c>
      <c r="F202" s="16" t="s">
        <v>27</v>
      </c>
      <c r="G202" s="16" t="s">
        <v>31</v>
      </c>
      <c r="H202" s="17">
        <v>45125.0</v>
      </c>
      <c r="I202" s="18">
        <v>101.0</v>
      </c>
      <c r="J202" s="19">
        <v>457.55</v>
      </c>
      <c r="K202" s="19">
        <v>128.14</v>
      </c>
      <c r="L202" s="19">
        <v>46212.55</v>
      </c>
      <c r="M202" s="19">
        <v>12942.14</v>
      </c>
      <c r="N202" s="19">
        <v>33270.41</v>
      </c>
      <c r="O202" s="20">
        <v>0.719943175609223</v>
      </c>
    </row>
    <row r="203" ht="15.75" customHeight="1">
      <c r="B203" s="16" t="s">
        <v>232</v>
      </c>
      <c r="C203" s="16" t="s">
        <v>14</v>
      </c>
      <c r="D203" s="16" t="s">
        <v>29</v>
      </c>
      <c r="E203" s="16" t="s">
        <v>30</v>
      </c>
      <c r="F203" s="16" t="s">
        <v>17</v>
      </c>
      <c r="G203" s="16" t="s">
        <v>23</v>
      </c>
      <c r="H203" s="17">
        <v>45126.0</v>
      </c>
      <c r="I203" s="18">
        <v>255.9029411764706</v>
      </c>
      <c r="J203" s="19">
        <v>407.81</v>
      </c>
      <c r="K203" s="19">
        <v>351.95</v>
      </c>
      <c r="L203" s="19">
        <v>104359.77844117647</v>
      </c>
      <c r="M203" s="19">
        <v>90065.04014705883</v>
      </c>
      <c r="N203" s="19">
        <v>14294.738294117647</v>
      </c>
      <c r="O203" s="20">
        <v>0.13697555234055075</v>
      </c>
    </row>
    <row r="204" ht="15.75" customHeight="1">
      <c r="B204" s="16" t="s">
        <v>233</v>
      </c>
      <c r="C204" s="16" t="s">
        <v>14</v>
      </c>
      <c r="D204" s="16" t="s">
        <v>29</v>
      </c>
      <c r="E204" s="16" t="s">
        <v>16</v>
      </c>
      <c r="F204" s="16" t="s">
        <v>27</v>
      </c>
      <c r="G204" s="16" t="s">
        <v>23</v>
      </c>
      <c r="H204" s="17">
        <v>45127.0</v>
      </c>
      <c r="I204" s="18">
        <v>30.0</v>
      </c>
      <c r="J204" s="19">
        <v>58.91</v>
      </c>
      <c r="K204" s="19">
        <v>104.86</v>
      </c>
      <c r="L204" s="19">
        <v>1767.3</v>
      </c>
      <c r="M204" s="19">
        <v>3145.8</v>
      </c>
      <c r="N204" s="19">
        <v>-1378.5000000000002</v>
      </c>
      <c r="O204" s="20">
        <v>-0.7800033950093365</v>
      </c>
    </row>
    <row r="205" ht="15.75" customHeight="1">
      <c r="B205" s="16" t="s">
        <v>234</v>
      </c>
      <c r="C205" s="16" t="s">
        <v>20</v>
      </c>
      <c r="D205" s="16" t="s">
        <v>54</v>
      </c>
      <c r="E205" s="16" t="s">
        <v>16</v>
      </c>
      <c r="F205" s="16" t="s">
        <v>17</v>
      </c>
      <c r="G205" s="16" t="s">
        <v>31</v>
      </c>
      <c r="H205" s="17">
        <v>45128.0</v>
      </c>
      <c r="I205" s="18">
        <v>312.0</v>
      </c>
      <c r="J205" s="19">
        <v>78.75</v>
      </c>
      <c r="K205" s="19">
        <v>218.52</v>
      </c>
      <c r="L205" s="19">
        <v>24570.0</v>
      </c>
      <c r="M205" s="19">
        <v>68178.24</v>
      </c>
      <c r="N205" s="19">
        <v>-43608.240000000005</v>
      </c>
      <c r="O205" s="20">
        <v>-1.7748571428571431</v>
      </c>
    </row>
    <row r="206" ht="15.75" customHeight="1">
      <c r="B206" s="16" t="s">
        <v>235</v>
      </c>
      <c r="C206" s="16" t="s">
        <v>14</v>
      </c>
      <c r="D206" s="16" t="s">
        <v>15</v>
      </c>
      <c r="E206" s="16" t="s">
        <v>46</v>
      </c>
      <c r="F206" s="16" t="s">
        <v>27</v>
      </c>
      <c r="G206" s="16" t="s">
        <v>23</v>
      </c>
      <c r="H206" s="17">
        <v>45129.0</v>
      </c>
      <c r="I206" s="18">
        <v>473.0</v>
      </c>
      <c r="J206" s="19">
        <v>265.68</v>
      </c>
      <c r="K206" s="19">
        <v>255.16</v>
      </c>
      <c r="L206" s="19">
        <v>125666.64</v>
      </c>
      <c r="M206" s="19">
        <v>120690.68</v>
      </c>
      <c r="N206" s="19">
        <v>4975.960000000006</v>
      </c>
      <c r="O206" s="20">
        <v>0.039596507076181925</v>
      </c>
    </row>
    <row r="207" ht="15.75" customHeight="1">
      <c r="B207" s="16" t="s">
        <v>236</v>
      </c>
      <c r="C207" s="16" t="s">
        <v>25</v>
      </c>
      <c r="D207" s="16" t="s">
        <v>29</v>
      </c>
      <c r="E207" s="16" t="s">
        <v>16</v>
      </c>
      <c r="F207" s="16" t="s">
        <v>17</v>
      </c>
      <c r="G207" s="16" t="s">
        <v>31</v>
      </c>
      <c r="H207" s="17">
        <v>45130.0</v>
      </c>
      <c r="I207" s="18">
        <v>366.0</v>
      </c>
      <c r="J207" s="19">
        <v>126.8</v>
      </c>
      <c r="K207" s="19">
        <v>89.98</v>
      </c>
      <c r="L207" s="19">
        <v>46408.799999999996</v>
      </c>
      <c r="M207" s="19">
        <v>32932.68</v>
      </c>
      <c r="N207" s="19">
        <v>13476.119999999995</v>
      </c>
      <c r="O207" s="20">
        <v>0.290378548895899</v>
      </c>
    </row>
    <row r="208" ht="15.75" customHeight="1">
      <c r="B208" s="16" t="s">
        <v>237</v>
      </c>
      <c r="C208" s="16" t="s">
        <v>20</v>
      </c>
      <c r="D208" s="16" t="s">
        <v>15</v>
      </c>
      <c r="E208" s="16" t="s">
        <v>46</v>
      </c>
      <c r="F208" s="16" t="s">
        <v>17</v>
      </c>
      <c r="G208" s="16" t="s">
        <v>23</v>
      </c>
      <c r="H208" s="17">
        <v>45131.0</v>
      </c>
      <c r="I208" s="18">
        <v>452.0</v>
      </c>
      <c r="J208" s="19">
        <v>240.96</v>
      </c>
      <c r="K208" s="19">
        <v>391.4</v>
      </c>
      <c r="L208" s="19">
        <v>108913.92</v>
      </c>
      <c r="M208" s="19">
        <v>176912.8</v>
      </c>
      <c r="N208" s="19">
        <v>-67998.87999999999</v>
      </c>
      <c r="O208" s="20">
        <v>-0.6243359893758299</v>
      </c>
    </row>
    <row r="209" ht="15.75" customHeight="1">
      <c r="B209" s="16" t="s">
        <v>238</v>
      </c>
      <c r="C209" s="16" t="s">
        <v>25</v>
      </c>
      <c r="D209" s="16" t="s">
        <v>29</v>
      </c>
      <c r="E209" s="16" t="s">
        <v>22</v>
      </c>
      <c r="F209" s="16" t="s">
        <v>27</v>
      </c>
      <c r="G209" s="16" t="s">
        <v>18</v>
      </c>
      <c r="H209" s="17">
        <v>45132.0</v>
      </c>
      <c r="I209" s="18">
        <v>93.0</v>
      </c>
      <c r="J209" s="19">
        <v>200.21</v>
      </c>
      <c r="K209" s="19">
        <v>299.78</v>
      </c>
      <c r="L209" s="19">
        <v>18619.530000000002</v>
      </c>
      <c r="M209" s="19">
        <v>27879.539999999997</v>
      </c>
      <c r="N209" s="19">
        <v>-9260.009999999995</v>
      </c>
      <c r="O209" s="20">
        <v>-0.49732780580390556</v>
      </c>
    </row>
    <row r="210" ht="15.75" customHeight="1">
      <c r="B210" s="16" t="s">
        <v>239</v>
      </c>
      <c r="C210" s="16" t="s">
        <v>20</v>
      </c>
      <c r="D210" s="16" t="s">
        <v>29</v>
      </c>
      <c r="E210" s="16" t="s">
        <v>30</v>
      </c>
      <c r="F210" s="16" t="s">
        <v>17</v>
      </c>
      <c r="G210" s="16" t="s">
        <v>31</v>
      </c>
      <c r="H210" s="17">
        <v>45133.0</v>
      </c>
      <c r="I210" s="18">
        <v>271.0</v>
      </c>
      <c r="J210" s="19">
        <v>276.96</v>
      </c>
      <c r="K210" s="19">
        <v>224.01</v>
      </c>
      <c r="L210" s="19">
        <v>75056.15999999999</v>
      </c>
      <c r="M210" s="19">
        <v>60706.71</v>
      </c>
      <c r="N210" s="19">
        <v>14349.44999999999</v>
      </c>
      <c r="O210" s="20">
        <v>0.19118284228769486</v>
      </c>
    </row>
    <row r="211" ht="15.75" customHeight="1">
      <c r="B211" s="16" t="s">
        <v>240</v>
      </c>
      <c r="C211" s="16" t="s">
        <v>20</v>
      </c>
      <c r="D211" s="16" t="s">
        <v>34</v>
      </c>
      <c r="E211" s="16" t="s">
        <v>30</v>
      </c>
      <c r="F211" s="16" t="s">
        <v>17</v>
      </c>
      <c r="G211" s="16" t="s">
        <v>23</v>
      </c>
      <c r="H211" s="17">
        <v>45134.0</v>
      </c>
      <c r="I211" s="18">
        <v>156.0</v>
      </c>
      <c r="J211" s="19">
        <v>374.7</v>
      </c>
      <c r="K211" s="19">
        <v>73.88</v>
      </c>
      <c r="L211" s="19">
        <v>58453.2</v>
      </c>
      <c r="M211" s="19">
        <v>11525.279999999999</v>
      </c>
      <c r="N211" s="19">
        <v>46927.92</v>
      </c>
      <c r="O211" s="20">
        <v>0.8028289298105151</v>
      </c>
    </row>
    <row r="212" ht="15.75" customHeight="1">
      <c r="B212" s="16" t="s">
        <v>241</v>
      </c>
      <c r="C212" s="16" t="s">
        <v>52</v>
      </c>
      <c r="D212" s="16" t="s">
        <v>29</v>
      </c>
      <c r="E212" s="16" t="s">
        <v>46</v>
      </c>
      <c r="F212" s="16" t="s">
        <v>27</v>
      </c>
      <c r="G212" s="16" t="s">
        <v>23</v>
      </c>
      <c r="H212" s="17">
        <v>45135.0</v>
      </c>
      <c r="I212" s="18">
        <v>450.0</v>
      </c>
      <c r="J212" s="19">
        <v>359.17</v>
      </c>
      <c r="K212" s="19">
        <v>23.44</v>
      </c>
      <c r="L212" s="19">
        <v>161626.5</v>
      </c>
      <c r="M212" s="19">
        <v>10548.0</v>
      </c>
      <c r="N212" s="19">
        <v>151078.5</v>
      </c>
      <c r="O212" s="20">
        <v>0.9347384247013949</v>
      </c>
    </row>
    <row r="213" ht="15.75" customHeight="1">
      <c r="B213" s="16" t="s">
        <v>242</v>
      </c>
      <c r="C213" s="16" t="s">
        <v>25</v>
      </c>
      <c r="D213" s="16" t="s">
        <v>21</v>
      </c>
      <c r="E213" s="16" t="s">
        <v>30</v>
      </c>
      <c r="F213" s="16" t="s">
        <v>17</v>
      </c>
      <c r="G213" s="16" t="s">
        <v>18</v>
      </c>
      <c r="H213" s="17">
        <v>45136.0</v>
      </c>
      <c r="I213" s="18">
        <v>462.0</v>
      </c>
      <c r="J213" s="19">
        <v>263.01</v>
      </c>
      <c r="K213" s="19">
        <v>129.38</v>
      </c>
      <c r="L213" s="19">
        <v>121510.62</v>
      </c>
      <c r="M213" s="19">
        <v>59773.56</v>
      </c>
      <c r="N213" s="19">
        <v>61737.06</v>
      </c>
      <c r="O213" s="20">
        <v>0.5080795407018744</v>
      </c>
    </row>
    <row r="214" ht="15.75" customHeight="1">
      <c r="B214" s="16" t="s">
        <v>243</v>
      </c>
      <c r="C214" s="16" t="s">
        <v>14</v>
      </c>
      <c r="D214" s="16" t="s">
        <v>54</v>
      </c>
      <c r="E214" s="16" t="s">
        <v>39</v>
      </c>
      <c r="F214" s="16" t="s">
        <v>17</v>
      </c>
      <c r="G214" s="16" t="s">
        <v>31</v>
      </c>
      <c r="H214" s="17">
        <v>45137.0</v>
      </c>
      <c r="I214" s="18">
        <v>396.0</v>
      </c>
      <c r="J214" s="19">
        <v>412.08</v>
      </c>
      <c r="K214" s="19">
        <v>301.77</v>
      </c>
      <c r="L214" s="19">
        <v>163183.68</v>
      </c>
      <c r="M214" s="19">
        <v>119500.92</v>
      </c>
      <c r="N214" s="19">
        <v>43682.759999999995</v>
      </c>
      <c r="O214" s="20">
        <v>0.26769073966220147</v>
      </c>
    </row>
    <row r="215" ht="15.75" customHeight="1">
      <c r="B215" s="16" t="s">
        <v>244</v>
      </c>
      <c r="C215" s="16" t="s">
        <v>14</v>
      </c>
      <c r="D215" s="16" t="s">
        <v>54</v>
      </c>
      <c r="E215" s="16" t="s">
        <v>26</v>
      </c>
      <c r="F215" s="16" t="s">
        <v>27</v>
      </c>
      <c r="G215" s="16" t="s">
        <v>23</v>
      </c>
      <c r="H215" s="17">
        <v>45138.0</v>
      </c>
      <c r="I215" s="18">
        <v>266.0</v>
      </c>
      <c r="J215" s="19">
        <v>218.28</v>
      </c>
      <c r="K215" s="19">
        <v>109.19</v>
      </c>
      <c r="L215" s="19">
        <v>58062.48</v>
      </c>
      <c r="M215" s="19">
        <v>29044.54</v>
      </c>
      <c r="N215" s="19">
        <v>29017.940000000002</v>
      </c>
      <c r="O215" s="20">
        <v>0.499770936411948</v>
      </c>
    </row>
    <row r="216" ht="15.75" customHeight="1">
      <c r="B216" s="16" t="s">
        <v>245</v>
      </c>
      <c r="C216" s="16" t="s">
        <v>25</v>
      </c>
      <c r="D216" s="16" t="s">
        <v>15</v>
      </c>
      <c r="E216" s="16" t="s">
        <v>46</v>
      </c>
      <c r="F216" s="16" t="s">
        <v>27</v>
      </c>
      <c r="G216" s="16" t="s">
        <v>18</v>
      </c>
      <c r="H216" s="17">
        <v>45139.0</v>
      </c>
      <c r="I216" s="18">
        <v>67.0</v>
      </c>
      <c r="J216" s="19">
        <v>448.87</v>
      </c>
      <c r="K216" s="19">
        <v>216.74</v>
      </c>
      <c r="L216" s="19">
        <v>30074.29</v>
      </c>
      <c r="M216" s="19">
        <v>14521.58</v>
      </c>
      <c r="N216" s="19">
        <v>15552.710000000001</v>
      </c>
      <c r="O216" s="20">
        <v>0.5171430480985586</v>
      </c>
    </row>
    <row r="217" ht="15.75" customHeight="1">
      <c r="B217" s="16" t="s">
        <v>246</v>
      </c>
      <c r="C217" s="16" t="s">
        <v>14</v>
      </c>
      <c r="D217" s="16" t="s">
        <v>29</v>
      </c>
      <c r="E217" s="16" t="s">
        <v>30</v>
      </c>
      <c r="F217" s="16" t="s">
        <v>17</v>
      </c>
      <c r="G217" s="16" t="s">
        <v>23</v>
      </c>
      <c r="H217" s="17">
        <v>45140.0</v>
      </c>
      <c r="I217" s="18">
        <v>389.0</v>
      </c>
      <c r="J217" s="19">
        <v>40.28</v>
      </c>
      <c r="K217" s="19">
        <v>291.72</v>
      </c>
      <c r="L217" s="19">
        <v>15668.92</v>
      </c>
      <c r="M217" s="19">
        <v>113479.08000000002</v>
      </c>
      <c r="N217" s="19">
        <v>-97810.16000000002</v>
      </c>
      <c r="O217" s="20">
        <v>-6.242303872889773</v>
      </c>
    </row>
    <row r="218" ht="15.75" customHeight="1">
      <c r="B218" s="16" t="s">
        <v>247</v>
      </c>
      <c r="C218" s="16" t="s">
        <v>14</v>
      </c>
      <c r="D218" s="16" t="s">
        <v>21</v>
      </c>
      <c r="E218" s="16" t="s">
        <v>46</v>
      </c>
      <c r="F218" s="16" t="s">
        <v>17</v>
      </c>
      <c r="G218" s="16" t="s">
        <v>31</v>
      </c>
      <c r="H218" s="17">
        <v>45141.0</v>
      </c>
      <c r="I218" s="18">
        <v>431.0</v>
      </c>
      <c r="J218" s="19">
        <v>477.56</v>
      </c>
      <c r="K218" s="19">
        <v>44.96</v>
      </c>
      <c r="L218" s="19">
        <v>205828.36000000002</v>
      </c>
      <c r="M218" s="19">
        <v>19377.760000000002</v>
      </c>
      <c r="N218" s="19">
        <v>186450.6</v>
      </c>
      <c r="O218" s="20">
        <v>0.9058547617053354</v>
      </c>
    </row>
    <row r="219" ht="15.75" customHeight="1">
      <c r="B219" s="16" t="s">
        <v>248</v>
      </c>
      <c r="C219" s="16" t="s">
        <v>25</v>
      </c>
      <c r="D219" s="16" t="s">
        <v>15</v>
      </c>
      <c r="E219" s="16" t="s">
        <v>46</v>
      </c>
      <c r="F219" s="16" t="s">
        <v>27</v>
      </c>
      <c r="G219" s="16" t="s">
        <v>23</v>
      </c>
      <c r="H219" s="17">
        <v>45142.0</v>
      </c>
      <c r="I219" s="18">
        <v>24.0</v>
      </c>
      <c r="J219" s="19">
        <v>329.07</v>
      </c>
      <c r="K219" s="19">
        <v>274.75</v>
      </c>
      <c r="L219" s="19">
        <v>7897.68</v>
      </c>
      <c r="M219" s="19">
        <v>6594.0</v>
      </c>
      <c r="N219" s="19">
        <v>1303.6800000000003</v>
      </c>
      <c r="O219" s="20">
        <v>0.16507126143373754</v>
      </c>
    </row>
    <row r="220" ht="15.75" customHeight="1">
      <c r="B220" s="16" t="s">
        <v>249</v>
      </c>
      <c r="C220" s="16" t="s">
        <v>20</v>
      </c>
      <c r="D220" s="16" t="s">
        <v>34</v>
      </c>
      <c r="E220" s="16" t="s">
        <v>26</v>
      </c>
      <c r="F220" s="16" t="s">
        <v>27</v>
      </c>
      <c r="G220" s="16" t="s">
        <v>23</v>
      </c>
      <c r="H220" s="17">
        <v>45143.0</v>
      </c>
      <c r="I220" s="18">
        <v>171.0</v>
      </c>
      <c r="J220" s="19">
        <v>193.14</v>
      </c>
      <c r="K220" s="19">
        <v>38.56</v>
      </c>
      <c r="L220" s="19">
        <v>33026.939999999995</v>
      </c>
      <c r="M220" s="19">
        <v>6593.76</v>
      </c>
      <c r="N220" s="19">
        <v>26433.179999999993</v>
      </c>
      <c r="O220" s="20">
        <v>0.8003520762141451</v>
      </c>
    </row>
    <row r="221" ht="15.75" customHeight="1">
      <c r="B221" s="16" t="s">
        <v>250</v>
      </c>
      <c r="C221" s="16" t="s">
        <v>25</v>
      </c>
      <c r="D221" s="16" t="s">
        <v>15</v>
      </c>
      <c r="E221" s="16" t="s">
        <v>16</v>
      </c>
      <c r="F221" s="16" t="s">
        <v>17</v>
      </c>
      <c r="G221" s="16" t="s">
        <v>23</v>
      </c>
      <c r="H221" s="17">
        <v>45144.0</v>
      </c>
      <c r="I221" s="18">
        <v>454.0</v>
      </c>
      <c r="J221" s="19">
        <v>102.59</v>
      </c>
      <c r="K221" s="19">
        <v>386.12</v>
      </c>
      <c r="L221" s="19">
        <v>46575.86</v>
      </c>
      <c r="M221" s="19">
        <v>175298.48</v>
      </c>
      <c r="N221" s="19">
        <v>-128722.62000000001</v>
      </c>
      <c r="O221" s="20">
        <v>-2.763719660785652</v>
      </c>
    </row>
    <row r="222" ht="15.75" customHeight="1">
      <c r="B222" s="16" t="s">
        <v>251</v>
      </c>
      <c r="C222" s="16" t="s">
        <v>20</v>
      </c>
      <c r="D222" s="16" t="s">
        <v>15</v>
      </c>
      <c r="E222" s="16" t="s">
        <v>46</v>
      </c>
      <c r="F222" s="16" t="s">
        <v>27</v>
      </c>
      <c r="G222" s="16" t="s">
        <v>23</v>
      </c>
      <c r="H222" s="17">
        <v>45145.0</v>
      </c>
      <c r="I222" s="18">
        <v>172.0</v>
      </c>
      <c r="J222" s="19">
        <v>242.2</v>
      </c>
      <c r="K222" s="19">
        <v>196.38</v>
      </c>
      <c r="L222" s="19">
        <v>41658.4</v>
      </c>
      <c r="M222" s="19">
        <v>33777.36</v>
      </c>
      <c r="N222" s="19">
        <v>7881.040000000001</v>
      </c>
      <c r="O222" s="20">
        <v>0.18918249380677127</v>
      </c>
    </row>
    <row r="223" ht="15.75" customHeight="1">
      <c r="B223" s="16" t="s">
        <v>252</v>
      </c>
      <c r="C223" s="16" t="s">
        <v>14</v>
      </c>
      <c r="D223" s="16" t="s">
        <v>29</v>
      </c>
      <c r="E223" s="16" t="s">
        <v>30</v>
      </c>
      <c r="F223" s="16" t="s">
        <v>17</v>
      </c>
      <c r="G223" s="16" t="s">
        <v>18</v>
      </c>
      <c r="H223" s="17">
        <v>45146.0</v>
      </c>
      <c r="I223" s="18">
        <v>329.0</v>
      </c>
      <c r="J223" s="19">
        <v>101.31</v>
      </c>
      <c r="K223" s="19">
        <v>61.97</v>
      </c>
      <c r="L223" s="19">
        <v>33330.99</v>
      </c>
      <c r="M223" s="19">
        <v>20388.13</v>
      </c>
      <c r="N223" s="19">
        <v>12942.859999999997</v>
      </c>
      <c r="O223" s="20">
        <v>0.38831309841081824</v>
      </c>
    </row>
    <row r="224" ht="15.75" customHeight="1">
      <c r="B224" s="16" t="s">
        <v>253</v>
      </c>
      <c r="C224" s="16" t="s">
        <v>14</v>
      </c>
      <c r="D224" s="16" t="s">
        <v>34</v>
      </c>
      <c r="E224" s="16" t="s">
        <v>22</v>
      </c>
      <c r="F224" s="16" t="s">
        <v>17</v>
      </c>
      <c r="G224" s="16" t="s">
        <v>18</v>
      </c>
      <c r="H224" s="17">
        <v>45147.0</v>
      </c>
      <c r="I224" s="18">
        <v>290.0</v>
      </c>
      <c r="J224" s="19">
        <v>87.33</v>
      </c>
      <c r="K224" s="19">
        <v>138.27</v>
      </c>
      <c r="L224" s="19">
        <v>25325.7</v>
      </c>
      <c r="M224" s="19">
        <v>40098.3</v>
      </c>
      <c r="N224" s="19">
        <v>-14772.600000000002</v>
      </c>
      <c r="O224" s="20">
        <v>-0.5833047062864996</v>
      </c>
    </row>
    <row r="225" ht="15.75" customHeight="1">
      <c r="B225" s="16" t="s">
        <v>254</v>
      </c>
      <c r="C225" s="16" t="s">
        <v>39</v>
      </c>
      <c r="D225" s="16" t="s">
        <v>15</v>
      </c>
      <c r="E225" s="16" t="s">
        <v>46</v>
      </c>
      <c r="F225" s="16" t="s">
        <v>17</v>
      </c>
      <c r="G225" s="16" t="s">
        <v>31</v>
      </c>
      <c r="H225" s="17">
        <v>45148.0</v>
      </c>
      <c r="I225" s="18">
        <v>289.0</v>
      </c>
      <c r="J225" s="19">
        <v>310.59</v>
      </c>
      <c r="K225" s="19">
        <v>166.54</v>
      </c>
      <c r="L225" s="19">
        <v>89760.51</v>
      </c>
      <c r="M225" s="19">
        <v>48130.06</v>
      </c>
      <c r="N225" s="19">
        <v>41630.45</v>
      </c>
      <c r="O225" s="20">
        <v>0.4637947132876139</v>
      </c>
    </row>
    <row r="226" ht="15.75" customHeight="1">
      <c r="B226" s="16" t="s">
        <v>255</v>
      </c>
      <c r="C226" s="16" t="s">
        <v>52</v>
      </c>
      <c r="D226" s="16" t="s">
        <v>21</v>
      </c>
      <c r="E226" s="16" t="s">
        <v>46</v>
      </c>
      <c r="F226" s="16" t="s">
        <v>17</v>
      </c>
      <c r="G226" s="16" t="s">
        <v>18</v>
      </c>
      <c r="H226" s="17">
        <v>45149.0</v>
      </c>
      <c r="I226" s="18">
        <v>21.0</v>
      </c>
      <c r="J226" s="19">
        <v>263.93</v>
      </c>
      <c r="K226" s="19">
        <v>303.76</v>
      </c>
      <c r="L226" s="19">
        <v>5542.53</v>
      </c>
      <c r="M226" s="19">
        <v>6378.96</v>
      </c>
      <c r="N226" s="19">
        <v>-836.4300000000003</v>
      </c>
      <c r="O226" s="20">
        <v>-0.15091122646156183</v>
      </c>
    </row>
    <row r="227" ht="15.75" customHeight="1">
      <c r="B227" s="16" t="s">
        <v>256</v>
      </c>
      <c r="C227" s="16" t="s">
        <v>20</v>
      </c>
      <c r="D227" s="16" t="s">
        <v>21</v>
      </c>
      <c r="E227" s="16" t="s">
        <v>26</v>
      </c>
      <c r="F227" s="16" t="s">
        <v>17</v>
      </c>
      <c r="G227" s="16" t="s">
        <v>18</v>
      </c>
      <c r="H227" s="17">
        <v>45150.0</v>
      </c>
      <c r="I227" s="18">
        <v>283.0</v>
      </c>
      <c r="J227" s="19">
        <v>336.7</v>
      </c>
      <c r="K227" s="19">
        <v>297.88</v>
      </c>
      <c r="L227" s="19">
        <v>95286.09999999999</v>
      </c>
      <c r="M227" s="19">
        <v>84300.04</v>
      </c>
      <c r="N227" s="19">
        <v>10986.059999999998</v>
      </c>
      <c r="O227" s="20">
        <v>0.11529551529551528</v>
      </c>
    </row>
    <row r="228" ht="15.75" customHeight="1">
      <c r="B228" s="16" t="s">
        <v>257</v>
      </c>
      <c r="C228" s="16" t="s">
        <v>52</v>
      </c>
      <c r="D228" s="16" t="s">
        <v>54</v>
      </c>
      <c r="E228" s="16" t="s">
        <v>16</v>
      </c>
      <c r="F228" s="16" t="s">
        <v>27</v>
      </c>
      <c r="G228" s="16" t="s">
        <v>31</v>
      </c>
      <c r="H228" s="17">
        <v>45151.0</v>
      </c>
      <c r="I228" s="18">
        <v>280.0</v>
      </c>
      <c r="J228" s="19">
        <v>465.15</v>
      </c>
      <c r="K228" s="19">
        <v>245.55</v>
      </c>
      <c r="L228" s="19">
        <v>130242.0</v>
      </c>
      <c r="M228" s="19">
        <v>68754.0</v>
      </c>
      <c r="N228" s="19">
        <v>61488.0</v>
      </c>
      <c r="O228" s="20">
        <v>0.47210577233150597</v>
      </c>
    </row>
    <row r="229" ht="15.75" customHeight="1">
      <c r="B229" s="16" t="s">
        <v>258</v>
      </c>
      <c r="C229" s="16" t="s">
        <v>52</v>
      </c>
      <c r="D229" s="16" t="s">
        <v>34</v>
      </c>
      <c r="E229" s="16" t="s">
        <v>22</v>
      </c>
      <c r="F229" s="16" t="s">
        <v>27</v>
      </c>
      <c r="G229" s="16" t="s">
        <v>18</v>
      </c>
      <c r="H229" s="17">
        <v>45152.0</v>
      </c>
      <c r="I229" s="18">
        <v>217.0</v>
      </c>
      <c r="J229" s="19">
        <v>268.47</v>
      </c>
      <c r="K229" s="19">
        <v>44.16</v>
      </c>
      <c r="L229" s="19">
        <v>58257.990000000005</v>
      </c>
      <c r="M229" s="19">
        <v>9582.72</v>
      </c>
      <c r="N229" s="19">
        <v>48675.270000000004</v>
      </c>
      <c r="O229" s="20">
        <v>0.8355123477483518</v>
      </c>
    </row>
    <row r="230" ht="15.75" customHeight="1">
      <c r="B230" s="16" t="s">
        <v>259</v>
      </c>
      <c r="C230" s="16" t="s">
        <v>25</v>
      </c>
      <c r="D230" s="16" t="s">
        <v>34</v>
      </c>
      <c r="E230" s="16" t="s">
        <v>30</v>
      </c>
      <c r="F230" s="16" t="s">
        <v>27</v>
      </c>
      <c r="G230" s="16" t="s">
        <v>18</v>
      </c>
      <c r="H230" s="17">
        <v>45153.0</v>
      </c>
      <c r="I230" s="18">
        <v>36.0</v>
      </c>
      <c r="J230" s="19">
        <v>292.56</v>
      </c>
      <c r="K230" s="19">
        <v>62.32</v>
      </c>
      <c r="L230" s="19">
        <v>10532.16</v>
      </c>
      <c r="M230" s="19">
        <v>2243.52</v>
      </c>
      <c r="N230" s="19">
        <v>8288.64</v>
      </c>
      <c r="O230" s="20">
        <v>0.7869838665572874</v>
      </c>
    </row>
    <row r="231" ht="15.75" customHeight="1">
      <c r="B231" s="16" t="s">
        <v>260</v>
      </c>
      <c r="C231" s="16" t="s">
        <v>52</v>
      </c>
      <c r="D231" s="16" t="s">
        <v>54</v>
      </c>
      <c r="E231" s="16" t="s">
        <v>22</v>
      </c>
      <c r="F231" s="16" t="s">
        <v>27</v>
      </c>
      <c r="G231" s="16" t="s">
        <v>31</v>
      </c>
      <c r="H231" s="17">
        <v>45154.0</v>
      </c>
      <c r="I231" s="18">
        <v>255.9029411764706</v>
      </c>
      <c r="J231" s="19">
        <v>49.37</v>
      </c>
      <c r="K231" s="19">
        <v>39.32</v>
      </c>
      <c r="L231" s="19">
        <v>12633.928205882352</v>
      </c>
      <c r="M231" s="19">
        <v>10062.103647058824</v>
      </c>
      <c r="N231" s="19">
        <v>2571.8245588235277</v>
      </c>
      <c r="O231" s="20">
        <v>0.2035649179663762</v>
      </c>
    </row>
    <row r="232" ht="15.75" customHeight="1">
      <c r="B232" s="16" t="s">
        <v>261</v>
      </c>
      <c r="C232" s="16" t="s">
        <v>25</v>
      </c>
      <c r="D232" s="16" t="s">
        <v>15</v>
      </c>
      <c r="E232" s="16" t="s">
        <v>30</v>
      </c>
      <c r="F232" s="16" t="s">
        <v>17</v>
      </c>
      <c r="G232" s="16" t="s">
        <v>31</v>
      </c>
      <c r="H232" s="17">
        <v>45155.0</v>
      </c>
      <c r="I232" s="18">
        <v>69.0</v>
      </c>
      <c r="J232" s="19">
        <v>360.23</v>
      </c>
      <c r="K232" s="19">
        <v>231.71</v>
      </c>
      <c r="L232" s="19">
        <v>24855.870000000003</v>
      </c>
      <c r="M232" s="19">
        <v>15987.99</v>
      </c>
      <c r="N232" s="19">
        <v>8867.880000000003</v>
      </c>
      <c r="O232" s="20">
        <v>0.35677206229353475</v>
      </c>
    </row>
    <row r="233" ht="15.75" customHeight="1">
      <c r="B233" s="16" t="s">
        <v>262</v>
      </c>
      <c r="C233" s="16" t="s">
        <v>25</v>
      </c>
      <c r="D233" s="16" t="s">
        <v>34</v>
      </c>
      <c r="E233" s="16" t="s">
        <v>16</v>
      </c>
      <c r="F233" s="16" t="s">
        <v>17</v>
      </c>
      <c r="G233" s="16" t="s">
        <v>31</v>
      </c>
      <c r="H233" s="17">
        <v>45156.0</v>
      </c>
      <c r="I233" s="18">
        <v>439.0</v>
      </c>
      <c r="J233" s="19">
        <v>202.95</v>
      </c>
      <c r="K233" s="19">
        <v>351.1</v>
      </c>
      <c r="L233" s="19">
        <v>89095.04999999999</v>
      </c>
      <c r="M233" s="19">
        <v>154132.90000000002</v>
      </c>
      <c r="N233" s="19">
        <v>-65037.850000000035</v>
      </c>
      <c r="O233" s="20">
        <v>-0.7299827543729988</v>
      </c>
    </row>
    <row r="234" ht="15.75" customHeight="1">
      <c r="B234" s="16" t="s">
        <v>263</v>
      </c>
      <c r="C234" s="16" t="s">
        <v>52</v>
      </c>
      <c r="D234" s="16" t="s">
        <v>21</v>
      </c>
      <c r="E234" s="16" t="s">
        <v>30</v>
      </c>
      <c r="F234" s="16" t="s">
        <v>17</v>
      </c>
      <c r="G234" s="16" t="s">
        <v>23</v>
      </c>
      <c r="H234" s="17">
        <v>45157.0</v>
      </c>
      <c r="I234" s="18">
        <v>482.0</v>
      </c>
      <c r="J234" s="19">
        <v>488.48</v>
      </c>
      <c r="K234" s="19">
        <v>174.65</v>
      </c>
      <c r="L234" s="19">
        <v>235447.36000000002</v>
      </c>
      <c r="M234" s="19">
        <v>84181.3</v>
      </c>
      <c r="N234" s="19">
        <v>151266.06</v>
      </c>
      <c r="O234" s="20">
        <v>0.6424623321323288</v>
      </c>
    </row>
    <row r="235" ht="15.75" customHeight="1">
      <c r="B235" s="16" t="s">
        <v>264</v>
      </c>
      <c r="C235" s="16" t="s">
        <v>20</v>
      </c>
      <c r="D235" s="16" t="s">
        <v>21</v>
      </c>
      <c r="E235" s="16" t="s">
        <v>26</v>
      </c>
      <c r="F235" s="16" t="s">
        <v>17</v>
      </c>
      <c r="G235" s="16" t="s">
        <v>23</v>
      </c>
      <c r="H235" s="17">
        <v>45158.0</v>
      </c>
      <c r="I235" s="18">
        <v>154.0</v>
      </c>
      <c r="J235" s="19">
        <v>412.47</v>
      </c>
      <c r="K235" s="19">
        <v>66.02</v>
      </c>
      <c r="L235" s="19">
        <v>63520.380000000005</v>
      </c>
      <c r="M235" s="19">
        <v>10167.08</v>
      </c>
      <c r="N235" s="19">
        <v>53353.3</v>
      </c>
      <c r="O235" s="20">
        <v>0.839939874415109</v>
      </c>
    </row>
    <row r="236" ht="15.75" customHeight="1">
      <c r="B236" s="16" t="s">
        <v>265</v>
      </c>
      <c r="C236" s="16" t="s">
        <v>20</v>
      </c>
      <c r="D236" s="16" t="s">
        <v>29</v>
      </c>
      <c r="E236" s="16" t="s">
        <v>26</v>
      </c>
      <c r="F236" s="16" t="s">
        <v>27</v>
      </c>
      <c r="G236" s="16" t="s">
        <v>31</v>
      </c>
      <c r="H236" s="17">
        <v>45159.0</v>
      </c>
      <c r="I236" s="18">
        <v>102.0</v>
      </c>
      <c r="J236" s="19">
        <v>263.63</v>
      </c>
      <c r="K236" s="19">
        <v>224.1</v>
      </c>
      <c r="L236" s="19">
        <v>26890.26</v>
      </c>
      <c r="M236" s="19">
        <v>22858.2</v>
      </c>
      <c r="N236" s="19">
        <v>4032.0599999999977</v>
      </c>
      <c r="O236" s="20">
        <v>0.14994499867238167</v>
      </c>
    </row>
    <row r="237" ht="15.75" customHeight="1">
      <c r="B237" s="16" t="s">
        <v>266</v>
      </c>
      <c r="C237" s="16" t="s">
        <v>20</v>
      </c>
      <c r="D237" s="16" t="s">
        <v>34</v>
      </c>
      <c r="E237" s="16" t="s">
        <v>26</v>
      </c>
      <c r="F237" s="16" t="s">
        <v>17</v>
      </c>
      <c r="G237" s="16" t="s">
        <v>31</v>
      </c>
      <c r="H237" s="17">
        <v>45160.0</v>
      </c>
      <c r="I237" s="18">
        <v>318.0</v>
      </c>
      <c r="J237" s="19">
        <v>66.0</v>
      </c>
      <c r="K237" s="19">
        <v>325.08</v>
      </c>
      <c r="L237" s="19">
        <v>20988.0</v>
      </c>
      <c r="M237" s="19">
        <v>103375.43999999999</v>
      </c>
      <c r="N237" s="19">
        <v>-82387.43999999999</v>
      </c>
      <c r="O237" s="20">
        <v>-3.925454545454545</v>
      </c>
    </row>
    <row r="238" ht="15.75" customHeight="1">
      <c r="B238" s="16" t="s">
        <v>267</v>
      </c>
      <c r="C238" s="16" t="s">
        <v>20</v>
      </c>
      <c r="D238" s="16" t="s">
        <v>15</v>
      </c>
      <c r="E238" s="16" t="s">
        <v>26</v>
      </c>
      <c r="F238" s="16" t="s">
        <v>17</v>
      </c>
      <c r="G238" s="16" t="s">
        <v>31</v>
      </c>
      <c r="H238" s="17">
        <v>45161.0</v>
      </c>
      <c r="I238" s="18">
        <v>17.0</v>
      </c>
      <c r="J238" s="19">
        <v>430.41</v>
      </c>
      <c r="K238" s="19">
        <v>297.2</v>
      </c>
      <c r="L238" s="19">
        <v>7316.97</v>
      </c>
      <c r="M238" s="19">
        <v>5052.4</v>
      </c>
      <c r="N238" s="19">
        <v>2264.5700000000006</v>
      </c>
      <c r="O238" s="20">
        <v>0.30949559722125425</v>
      </c>
    </row>
    <row r="239" ht="15.75" customHeight="1">
      <c r="B239" s="16" t="s">
        <v>268</v>
      </c>
      <c r="C239" s="16" t="s">
        <v>20</v>
      </c>
      <c r="D239" s="16" t="s">
        <v>54</v>
      </c>
      <c r="E239" s="16" t="s">
        <v>22</v>
      </c>
      <c r="F239" s="16" t="s">
        <v>27</v>
      </c>
      <c r="G239" s="16" t="s">
        <v>23</v>
      </c>
      <c r="H239" s="17">
        <v>45162.0</v>
      </c>
      <c r="I239" s="18">
        <v>88.0</v>
      </c>
      <c r="J239" s="19">
        <v>400.89</v>
      </c>
      <c r="K239" s="19">
        <v>352.82</v>
      </c>
      <c r="L239" s="19">
        <v>35278.32</v>
      </c>
      <c r="M239" s="19">
        <v>31048.16</v>
      </c>
      <c r="N239" s="19">
        <v>4230.16</v>
      </c>
      <c r="O239" s="20">
        <v>0.11990820424555364</v>
      </c>
    </row>
    <row r="240" ht="15.75" customHeight="1">
      <c r="B240" s="16" t="s">
        <v>269</v>
      </c>
      <c r="C240" s="16" t="s">
        <v>52</v>
      </c>
      <c r="D240" s="16" t="s">
        <v>54</v>
      </c>
      <c r="E240" s="16" t="s">
        <v>16</v>
      </c>
      <c r="F240" s="16" t="s">
        <v>27</v>
      </c>
      <c r="G240" s="16" t="s">
        <v>23</v>
      </c>
      <c r="H240" s="17">
        <v>45163.0</v>
      </c>
      <c r="I240" s="18">
        <v>36.0</v>
      </c>
      <c r="J240" s="19">
        <v>96.37</v>
      </c>
      <c r="K240" s="19">
        <v>112.61</v>
      </c>
      <c r="L240" s="19">
        <v>3469.32</v>
      </c>
      <c r="M240" s="19">
        <v>4053.96</v>
      </c>
      <c r="N240" s="19">
        <v>-584.6399999999999</v>
      </c>
      <c r="O240" s="20">
        <v>-0.16851717339420977</v>
      </c>
    </row>
    <row r="241" ht="15.75" customHeight="1">
      <c r="B241" s="16" t="s">
        <v>270</v>
      </c>
      <c r="C241" s="16" t="s">
        <v>52</v>
      </c>
      <c r="D241" s="16" t="s">
        <v>15</v>
      </c>
      <c r="E241" s="16" t="s">
        <v>30</v>
      </c>
      <c r="F241" s="16" t="s">
        <v>27</v>
      </c>
      <c r="G241" s="16" t="s">
        <v>18</v>
      </c>
      <c r="H241" s="17">
        <v>45164.0</v>
      </c>
      <c r="I241" s="18">
        <v>183.0</v>
      </c>
      <c r="J241" s="19">
        <v>151.16</v>
      </c>
      <c r="K241" s="19">
        <v>79.19</v>
      </c>
      <c r="L241" s="19">
        <v>27662.28</v>
      </c>
      <c r="M241" s="19">
        <v>14491.77</v>
      </c>
      <c r="N241" s="19">
        <v>13170.509999999998</v>
      </c>
      <c r="O241" s="20">
        <v>0.476118020640381</v>
      </c>
    </row>
    <row r="242" ht="15.75" customHeight="1">
      <c r="B242" s="16" t="s">
        <v>271</v>
      </c>
      <c r="C242" s="16" t="s">
        <v>14</v>
      </c>
      <c r="D242" s="16" t="s">
        <v>29</v>
      </c>
      <c r="E242" s="16" t="s">
        <v>30</v>
      </c>
      <c r="F242" s="16" t="s">
        <v>27</v>
      </c>
      <c r="G242" s="16" t="s">
        <v>18</v>
      </c>
      <c r="H242" s="17">
        <v>45165.0</v>
      </c>
      <c r="I242" s="18">
        <v>59.0</v>
      </c>
      <c r="J242" s="19">
        <v>397.74</v>
      </c>
      <c r="K242" s="19">
        <v>352.17</v>
      </c>
      <c r="L242" s="19">
        <v>23466.66</v>
      </c>
      <c r="M242" s="19">
        <v>20778.030000000002</v>
      </c>
      <c r="N242" s="19">
        <v>2688.6299999999974</v>
      </c>
      <c r="O242" s="20">
        <v>0.11457233368532196</v>
      </c>
    </row>
    <row r="243" ht="15.75" customHeight="1">
      <c r="B243" s="16" t="s">
        <v>272</v>
      </c>
      <c r="C243" s="16" t="s">
        <v>20</v>
      </c>
      <c r="D243" s="16" t="s">
        <v>54</v>
      </c>
      <c r="E243" s="16" t="s">
        <v>26</v>
      </c>
      <c r="F243" s="16" t="s">
        <v>17</v>
      </c>
      <c r="G243" s="16" t="s">
        <v>31</v>
      </c>
      <c r="H243" s="17">
        <v>45166.0</v>
      </c>
      <c r="I243" s="18">
        <v>208.0</v>
      </c>
      <c r="J243" s="19">
        <v>96.69</v>
      </c>
      <c r="K243" s="19">
        <v>263.71</v>
      </c>
      <c r="L243" s="19">
        <v>20111.52</v>
      </c>
      <c r="M243" s="19">
        <v>54851.67999999999</v>
      </c>
      <c r="N243" s="19">
        <v>-34740.15999999999</v>
      </c>
      <c r="O243" s="20">
        <v>-1.727376150584341</v>
      </c>
    </row>
    <row r="244" ht="15.75" customHeight="1">
      <c r="B244" s="16" t="s">
        <v>273</v>
      </c>
      <c r="C244" s="16" t="s">
        <v>52</v>
      </c>
      <c r="D244" s="16" t="s">
        <v>34</v>
      </c>
      <c r="E244" s="16" t="s">
        <v>26</v>
      </c>
      <c r="F244" s="16" t="s">
        <v>17</v>
      </c>
      <c r="G244" s="16" t="s">
        <v>23</v>
      </c>
      <c r="H244" s="17">
        <v>45167.0</v>
      </c>
      <c r="I244" s="18">
        <v>396.0</v>
      </c>
      <c r="J244" s="19">
        <v>459.29</v>
      </c>
      <c r="K244" s="19">
        <v>125.75</v>
      </c>
      <c r="L244" s="19">
        <v>181878.84</v>
      </c>
      <c r="M244" s="19">
        <v>49797.0</v>
      </c>
      <c r="N244" s="19">
        <v>132081.84</v>
      </c>
      <c r="O244" s="20">
        <v>0.7262078425395719</v>
      </c>
    </row>
    <row r="245" ht="15.75" customHeight="1">
      <c r="B245" s="16" t="s">
        <v>274</v>
      </c>
      <c r="C245" s="16" t="s">
        <v>14</v>
      </c>
      <c r="D245" s="16" t="s">
        <v>29</v>
      </c>
      <c r="E245" s="16" t="s">
        <v>46</v>
      </c>
      <c r="F245" s="16" t="s">
        <v>27</v>
      </c>
      <c r="G245" s="16" t="s">
        <v>23</v>
      </c>
      <c r="H245" s="17">
        <v>45168.0</v>
      </c>
      <c r="I245" s="18">
        <v>358.0</v>
      </c>
      <c r="J245" s="19">
        <v>215.14</v>
      </c>
      <c r="K245" s="19">
        <v>297.45</v>
      </c>
      <c r="L245" s="19">
        <v>77020.12</v>
      </c>
      <c r="M245" s="19">
        <v>106487.09999999999</v>
      </c>
      <c r="N245" s="19">
        <v>-29466.979999999996</v>
      </c>
      <c r="O245" s="20">
        <v>-0.38258808217904616</v>
      </c>
    </row>
    <row r="246" ht="15.75" customHeight="1">
      <c r="B246" s="16" t="s">
        <v>275</v>
      </c>
      <c r="C246" s="16" t="s">
        <v>20</v>
      </c>
      <c r="D246" s="16" t="s">
        <v>34</v>
      </c>
      <c r="E246" s="16" t="s">
        <v>16</v>
      </c>
      <c r="F246" s="16" t="s">
        <v>17</v>
      </c>
      <c r="G246" s="16" t="s">
        <v>23</v>
      </c>
      <c r="H246" s="17">
        <v>45169.0</v>
      </c>
      <c r="I246" s="18">
        <v>457.0</v>
      </c>
      <c r="J246" s="19">
        <v>48.08</v>
      </c>
      <c r="K246" s="19">
        <v>326.42</v>
      </c>
      <c r="L246" s="19">
        <v>21972.559999999998</v>
      </c>
      <c r="M246" s="19">
        <v>149173.94</v>
      </c>
      <c r="N246" s="19">
        <v>-127201.38</v>
      </c>
      <c r="O246" s="20">
        <v>-5.78910149750416</v>
      </c>
    </row>
    <row r="247" ht="15.75" customHeight="1">
      <c r="B247" s="16" t="s">
        <v>276</v>
      </c>
      <c r="C247" s="16" t="s">
        <v>25</v>
      </c>
      <c r="D247" s="16" t="s">
        <v>21</v>
      </c>
      <c r="E247" s="16" t="s">
        <v>22</v>
      </c>
      <c r="F247" s="16" t="s">
        <v>17</v>
      </c>
      <c r="G247" s="16" t="s">
        <v>31</v>
      </c>
      <c r="H247" s="17">
        <v>45170.0</v>
      </c>
      <c r="I247" s="18">
        <v>437.0</v>
      </c>
      <c r="J247" s="19">
        <v>408.8</v>
      </c>
      <c r="K247" s="19">
        <v>246.76</v>
      </c>
      <c r="L247" s="19">
        <v>178645.6</v>
      </c>
      <c r="M247" s="19">
        <v>107834.12</v>
      </c>
      <c r="N247" s="19">
        <v>70811.48000000001</v>
      </c>
      <c r="O247" s="20">
        <v>0.3963796477495108</v>
      </c>
    </row>
    <row r="248" ht="15.75" customHeight="1">
      <c r="B248" s="16" t="s">
        <v>277</v>
      </c>
      <c r="C248" s="16" t="s">
        <v>14</v>
      </c>
      <c r="D248" s="16" t="s">
        <v>29</v>
      </c>
      <c r="E248" s="16" t="s">
        <v>30</v>
      </c>
      <c r="F248" s="16" t="s">
        <v>17</v>
      </c>
      <c r="G248" s="16" t="s">
        <v>18</v>
      </c>
      <c r="H248" s="17">
        <v>45171.0</v>
      </c>
      <c r="I248" s="18">
        <v>190.0</v>
      </c>
      <c r="J248" s="19">
        <v>189.89</v>
      </c>
      <c r="K248" s="19">
        <v>275.78</v>
      </c>
      <c r="L248" s="19">
        <v>36079.1</v>
      </c>
      <c r="M248" s="19">
        <v>52398.2</v>
      </c>
      <c r="N248" s="19">
        <v>-16319.099999999999</v>
      </c>
      <c r="O248" s="20">
        <v>-0.45231449786718625</v>
      </c>
    </row>
    <row r="249" ht="15.75" customHeight="1">
      <c r="B249" s="16" t="s">
        <v>278</v>
      </c>
      <c r="C249" s="16" t="s">
        <v>52</v>
      </c>
      <c r="D249" s="16" t="s">
        <v>54</v>
      </c>
      <c r="E249" s="16" t="s">
        <v>46</v>
      </c>
      <c r="F249" s="16" t="s">
        <v>27</v>
      </c>
      <c r="G249" s="16" t="s">
        <v>31</v>
      </c>
      <c r="H249" s="17">
        <v>45172.0</v>
      </c>
      <c r="I249" s="18">
        <v>33.0</v>
      </c>
      <c r="J249" s="19">
        <v>265.62</v>
      </c>
      <c r="K249" s="19">
        <v>151.35</v>
      </c>
      <c r="L249" s="19">
        <v>8765.460000000001</v>
      </c>
      <c r="M249" s="19">
        <v>4994.55</v>
      </c>
      <c r="N249" s="19">
        <v>3770.9100000000008</v>
      </c>
      <c r="O249" s="20">
        <v>0.4302010390783827</v>
      </c>
    </row>
    <row r="250" ht="15.75" customHeight="1">
      <c r="B250" s="16" t="s">
        <v>279</v>
      </c>
      <c r="C250" s="16" t="s">
        <v>25</v>
      </c>
      <c r="D250" s="16" t="s">
        <v>29</v>
      </c>
      <c r="E250" s="16" t="s">
        <v>46</v>
      </c>
      <c r="F250" s="16" t="s">
        <v>17</v>
      </c>
      <c r="G250" s="16" t="s">
        <v>18</v>
      </c>
      <c r="H250" s="17">
        <v>45173.0</v>
      </c>
      <c r="I250" s="18">
        <v>325.0</v>
      </c>
      <c r="J250" s="19">
        <v>60.59</v>
      </c>
      <c r="K250" s="19">
        <v>216.4</v>
      </c>
      <c r="L250" s="19">
        <v>19691.75</v>
      </c>
      <c r="M250" s="19">
        <v>70330.0</v>
      </c>
      <c r="N250" s="19">
        <v>-50638.25</v>
      </c>
      <c r="O250" s="20">
        <v>-2.57154645981185</v>
      </c>
    </row>
    <row r="251" ht="15.75" customHeight="1">
      <c r="B251" s="16" t="s">
        <v>280</v>
      </c>
      <c r="C251" s="16" t="s">
        <v>25</v>
      </c>
      <c r="D251" s="16" t="s">
        <v>29</v>
      </c>
      <c r="E251" s="16" t="s">
        <v>30</v>
      </c>
      <c r="F251" s="16" t="s">
        <v>27</v>
      </c>
      <c r="G251" s="16" t="s">
        <v>18</v>
      </c>
      <c r="H251" s="17">
        <v>45174.0</v>
      </c>
      <c r="I251" s="18">
        <v>387.0</v>
      </c>
      <c r="J251" s="19">
        <v>6.28</v>
      </c>
      <c r="K251" s="19">
        <v>210.62</v>
      </c>
      <c r="L251" s="19">
        <v>2430.36</v>
      </c>
      <c r="M251" s="19">
        <v>81509.94</v>
      </c>
      <c r="N251" s="19">
        <v>-79079.58</v>
      </c>
      <c r="O251" s="20">
        <v>-32.538216560509554</v>
      </c>
    </row>
    <row r="252" ht="15.75" customHeight="1">
      <c r="B252" s="16" t="s">
        <v>281</v>
      </c>
      <c r="C252" s="16" t="s">
        <v>25</v>
      </c>
      <c r="D252" s="16" t="s">
        <v>29</v>
      </c>
      <c r="E252" s="16" t="s">
        <v>22</v>
      </c>
      <c r="F252" s="16" t="s">
        <v>17</v>
      </c>
      <c r="G252" s="16" t="s">
        <v>31</v>
      </c>
      <c r="H252" s="17">
        <v>45175.0</v>
      </c>
      <c r="I252" s="18">
        <v>396.0</v>
      </c>
      <c r="J252" s="19">
        <v>320.8</v>
      </c>
      <c r="K252" s="19">
        <v>339.52</v>
      </c>
      <c r="L252" s="19">
        <v>127036.8</v>
      </c>
      <c r="M252" s="19">
        <v>134449.91999999998</v>
      </c>
      <c r="N252" s="19">
        <v>-7413.119999999981</v>
      </c>
      <c r="O252" s="20">
        <v>-0.058354114713216804</v>
      </c>
    </row>
    <row r="253" ht="15.75" customHeight="1">
      <c r="B253" s="16" t="s">
        <v>282</v>
      </c>
      <c r="C253" s="16" t="s">
        <v>14</v>
      </c>
      <c r="D253" s="16" t="s">
        <v>29</v>
      </c>
      <c r="E253" s="16" t="s">
        <v>46</v>
      </c>
      <c r="F253" s="16" t="s">
        <v>17</v>
      </c>
      <c r="G253" s="16" t="s">
        <v>18</v>
      </c>
      <c r="H253" s="17">
        <v>45176.0</v>
      </c>
      <c r="I253" s="18">
        <v>413.0</v>
      </c>
      <c r="J253" s="19">
        <v>260.01</v>
      </c>
      <c r="K253" s="19">
        <v>336.31</v>
      </c>
      <c r="L253" s="19">
        <v>107384.12999999999</v>
      </c>
      <c r="M253" s="19">
        <v>138896.03</v>
      </c>
      <c r="N253" s="19">
        <v>-31511.90000000001</v>
      </c>
      <c r="O253" s="20">
        <v>-0.2934502519133881</v>
      </c>
    </row>
    <row r="254" ht="15.75" customHeight="1">
      <c r="B254" s="16" t="s">
        <v>283</v>
      </c>
      <c r="C254" s="16" t="s">
        <v>52</v>
      </c>
      <c r="D254" s="16" t="s">
        <v>34</v>
      </c>
      <c r="E254" s="16" t="s">
        <v>46</v>
      </c>
      <c r="F254" s="16" t="s">
        <v>17</v>
      </c>
      <c r="G254" s="16" t="s">
        <v>18</v>
      </c>
      <c r="H254" s="17">
        <v>45177.0</v>
      </c>
      <c r="I254" s="18">
        <v>255.9029411764706</v>
      </c>
      <c r="J254" s="19">
        <v>298.8</v>
      </c>
      <c r="K254" s="19">
        <v>333.41</v>
      </c>
      <c r="L254" s="19">
        <v>76463.79882352942</v>
      </c>
      <c r="M254" s="19">
        <v>85320.59961764707</v>
      </c>
      <c r="N254" s="19">
        <v>-8856.800794117647</v>
      </c>
      <c r="O254" s="20">
        <v>-0.11582998661311913</v>
      </c>
    </row>
    <row r="255" ht="15.75" customHeight="1">
      <c r="B255" s="16" t="s">
        <v>284</v>
      </c>
      <c r="C255" s="16" t="s">
        <v>25</v>
      </c>
      <c r="D255" s="16" t="s">
        <v>21</v>
      </c>
      <c r="E255" s="16" t="s">
        <v>16</v>
      </c>
      <c r="F255" s="16" t="s">
        <v>27</v>
      </c>
      <c r="G255" s="16" t="s">
        <v>23</v>
      </c>
      <c r="H255" s="17">
        <v>45178.0</v>
      </c>
      <c r="I255" s="18">
        <v>24.0</v>
      </c>
      <c r="J255" s="19">
        <v>397.9</v>
      </c>
      <c r="K255" s="19">
        <v>6.39</v>
      </c>
      <c r="L255" s="19">
        <v>9549.599999999999</v>
      </c>
      <c r="M255" s="19">
        <v>153.35999999999999</v>
      </c>
      <c r="N255" s="19">
        <v>9396.239999999998</v>
      </c>
      <c r="O255" s="20">
        <v>0.9839406886152299</v>
      </c>
    </row>
    <row r="256" ht="15.75" customHeight="1">
      <c r="B256" s="16" t="s">
        <v>285</v>
      </c>
      <c r="C256" s="16" t="s">
        <v>20</v>
      </c>
      <c r="D256" s="16" t="s">
        <v>15</v>
      </c>
      <c r="E256" s="16" t="s">
        <v>39</v>
      </c>
      <c r="F256" s="16" t="s">
        <v>17</v>
      </c>
      <c r="G256" s="16" t="s">
        <v>18</v>
      </c>
      <c r="H256" s="17">
        <v>45179.0</v>
      </c>
      <c r="I256" s="18">
        <v>162.0</v>
      </c>
      <c r="J256" s="19">
        <v>325.07</v>
      </c>
      <c r="K256" s="19">
        <v>300.32</v>
      </c>
      <c r="L256" s="19">
        <v>52661.34</v>
      </c>
      <c r="M256" s="19">
        <v>48651.84</v>
      </c>
      <c r="N256" s="19">
        <v>4009.5</v>
      </c>
      <c r="O256" s="20">
        <v>0.07613744731903899</v>
      </c>
    </row>
    <row r="257" ht="15.75" customHeight="1">
      <c r="B257" s="16" t="s">
        <v>286</v>
      </c>
      <c r="C257" s="16" t="s">
        <v>25</v>
      </c>
      <c r="D257" s="16" t="s">
        <v>29</v>
      </c>
      <c r="E257" s="16" t="s">
        <v>46</v>
      </c>
      <c r="F257" s="16" t="s">
        <v>27</v>
      </c>
      <c r="G257" s="16" t="s">
        <v>31</v>
      </c>
      <c r="H257" s="17">
        <v>45180.0</v>
      </c>
      <c r="I257" s="18">
        <v>231.0</v>
      </c>
      <c r="J257" s="19">
        <v>91.51</v>
      </c>
      <c r="K257" s="19">
        <v>303.95</v>
      </c>
      <c r="L257" s="19">
        <v>21138.81</v>
      </c>
      <c r="M257" s="19">
        <v>70212.45</v>
      </c>
      <c r="N257" s="19">
        <v>-49073.64</v>
      </c>
      <c r="O257" s="20">
        <v>-2.321494918588132</v>
      </c>
    </row>
    <row r="258" ht="15.75" customHeight="1">
      <c r="B258" s="16" t="s">
        <v>287</v>
      </c>
      <c r="C258" s="16" t="s">
        <v>25</v>
      </c>
      <c r="D258" s="16" t="s">
        <v>54</v>
      </c>
      <c r="E258" s="16" t="s">
        <v>22</v>
      </c>
      <c r="F258" s="16" t="s">
        <v>27</v>
      </c>
      <c r="G258" s="16" t="s">
        <v>31</v>
      </c>
      <c r="H258" s="17">
        <v>45181.0</v>
      </c>
      <c r="I258" s="18">
        <v>215.0</v>
      </c>
      <c r="J258" s="19">
        <v>183.58</v>
      </c>
      <c r="K258" s="19">
        <v>271.99</v>
      </c>
      <c r="L258" s="19">
        <v>39469.700000000004</v>
      </c>
      <c r="M258" s="19">
        <v>58477.85</v>
      </c>
      <c r="N258" s="19">
        <v>-19008.149999999994</v>
      </c>
      <c r="O258" s="20">
        <v>-0.4815884083233466</v>
      </c>
    </row>
    <row r="259" ht="15.75" customHeight="1">
      <c r="B259" s="16" t="s">
        <v>288</v>
      </c>
      <c r="C259" s="16" t="s">
        <v>14</v>
      </c>
      <c r="D259" s="16" t="s">
        <v>29</v>
      </c>
      <c r="E259" s="16" t="s">
        <v>30</v>
      </c>
      <c r="F259" s="16" t="s">
        <v>27</v>
      </c>
      <c r="G259" s="16" t="s">
        <v>18</v>
      </c>
      <c r="H259" s="17">
        <v>45182.0</v>
      </c>
      <c r="I259" s="18">
        <v>464.0</v>
      </c>
      <c r="J259" s="19">
        <v>453.42</v>
      </c>
      <c r="K259" s="19">
        <v>302.99</v>
      </c>
      <c r="L259" s="19">
        <v>210386.88</v>
      </c>
      <c r="M259" s="19">
        <v>140587.36000000002</v>
      </c>
      <c r="N259" s="19">
        <v>69799.51999999999</v>
      </c>
      <c r="O259" s="20">
        <v>0.33176745622160464</v>
      </c>
    </row>
    <row r="260" ht="15.75" customHeight="1">
      <c r="B260" s="16" t="s">
        <v>289</v>
      </c>
      <c r="C260" s="16" t="s">
        <v>14</v>
      </c>
      <c r="D260" s="16" t="s">
        <v>54</v>
      </c>
      <c r="E260" s="16" t="s">
        <v>26</v>
      </c>
      <c r="F260" s="16" t="s">
        <v>17</v>
      </c>
      <c r="G260" s="16" t="s">
        <v>23</v>
      </c>
      <c r="H260" s="17">
        <v>45183.0</v>
      </c>
      <c r="I260" s="18">
        <v>282.0</v>
      </c>
      <c r="J260" s="19">
        <v>249.64520588235297</v>
      </c>
      <c r="K260" s="19">
        <v>337.1</v>
      </c>
      <c r="L260" s="19">
        <v>70399.94805882353</v>
      </c>
      <c r="M260" s="19">
        <v>95062.20000000001</v>
      </c>
      <c r="N260" s="19">
        <v>-24662.25194117648</v>
      </c>
      <c r="O260" s="20">
        <v>-0.35031633717356775</v>
      </c>
    </row>
    <row r="261" ht="15.75" customHeight="1">
      <c r="B261" s="16" t="s">
        <v>290</v>
      </c>
      <c r="C261" s="16" t="s">
        <v>52</v>
      </c>
      <c r="D261" s="16" t="s">
        <v>34</v>
      </c>
      <c r="E261" s="16" t="s">
        <v>46</v>
      </c>
      <c r="F261" s="16" t="s">
        <v>17</v>
      </c>
      <c r="G261" s="16" t="s">
        <v>23</v>
      </c>
      <c r="H261" s="17">
        <v>45184.0</v>
      </c>
      <c r="I261" s="18">
        <v>391.0</v>
      </c>
      <c r="J261" s="19">
        <v>280.54</v>
      </c>
      <c r="K261" s="19">
        <v>189.19</v>
      </c>
      <c r="L261" s="19">
        <v>109691.14000000001</v>
      </c>
      <c r="M261" s="19">
        <v>73973.29</v>
      </c>
      <c r="N261" s="19">
        <v>35717.85000000002</v>
      </c>
      <c r="O261" s="20">
        <v>0.3256220146859629</v>
      </c>
    </row>
    <row r="262" ht="15.75" customHeight="1">
      <c r="B262" s="16" t="s">
        <v>291</v>
      </c>
      <c r="C262" s="16" t="s">
        <v>20</v>
      </c>
      <c r="D262" s="16" t="s">
        <v>54</v>
      </c>
      <c r="E262" s="16" t="s">
        <v>16</v>
      </c>
      <c r="F262" s="16" t="s">
        <v>17</v>
      </c>
      <c r="G262" s="16" t="s">
        <v>18</v>
      </c>
      <c r="H262" s="17">
        <v>45185.0</v>
      </c>
      <c r="I262" s="18">
        <v>245.0</v>
      </c>
      <c r="J262" s="19">
        <v>131.54</v>
      </c>
      <c r="K262" s="19">
        <v>201.82</v>
      </c>
      <c r="L262" s="19">
        <v>32227.3</v>
      </c>
      <c r="M262" s="19">
        <v>49445.9</v>
      </c>
      <c r="N262" s="19">
        <v>-17218.600000000002</v>
      </c>
      <c r="O262" s="20">
        <v>-0.5342861487000153</v>
      </c>
    </row>
    <row r="263" ht="15.75" customHeight="1">
      <c r="B263" s="16" t="s">
        <v>292</v>
      </c>
      <c r="C263" s="16" t="s">
        <v>14</v>
      </c>
      <c r="D263" s="16" t="s">
        <v>15</v>
      </c>
      <c r="E263" s="16" t="s">
        <v>30</v>
      </c>
      <c r="F263" s="16" t="s">
        <v>17</v>
      </c>
      <c r="G263" s="16" t="s">
        <v>18</v>
      </c>
      <c r="H263" s="17">
        <v>45186.0</v>
      </c>
      <c r="I263" s="18">
        <v>349.0</v>
      </c>
      <c r="J263" s="19">
        <v>154.52</v>
      </c>
      <c r="K263" s="19">
        <v>51.64</v>
      </c>
      <c r="L263" s="19">
        <v>53927.48</v>
      </c>
      <c r="M263" s="19">
        <v>18022.36</v>
      </c>
      <c r="N263" s="19">
        <v>35905.12</v>
      </c>
      <c r="O263" s="20">
        <v>0.6658037794460264</v>
      </c>
    </row>
    <row r="264" ht="15.75" customHeight="1">
      <c r="B264" s="16" t="s">
        <v>293</v>
      </c>
      <c r="C264" s="16" t="s">
        <v>25</v>
      </c>
      <c r="D264" s="16" t="s">
        <v>21</v>
      </c>
      <c r="E264" s="16" t="s">
        <v>22</v>
      </c>
      <c r="F264" s="16" t="s">
        <v>27</v>
      </c>
      <c r="G264" s="16" t="s">
        <v>31</v>
      </c>
      <c r="H264" s="17">
        <v>45187.0</v>
      </c>
      <c r="I264" s="18">
        <v>237.0</v>
      </c>
      <c r="J264" s="19">
        <v>249.64520588235297</v>
      </c>
      <c r="K264" s="19">
        <v>155.38</v>
      </c>
      <c r="L264" s="19">
        <v>59165.91379411765</v>
      </c>
      <c r="M264" s="19">
        <v>36825.06</v>
      </c>
      <c r="N264" s="19">
        <v>22340.853794117655</v>
      </c>
      <c r="O264" s="20">
        <v>0.3775966998812551</v>
      </c>
    </row>
    <row r="265" ht="15.75" customHeight="1">
      <c r="B265" s="16" t="s">
        <v>294</v>
      </c>
      <c r="C265" s="16" t="s">
        <v>52</v>
      </c>
      <c r="D265" s="16" t="s">
        <v>54</v>
      </c>
      <c r="E265" s="16" t="s">
        <v>30</v>
      </c>
      <c r="F265" s="16" t="s">
        <v>27</v>
      </c>
      <c r="G265" s="16" t="s">
        <v>18</v>
      </c>
      <c r="H265" s="17">
        <v>45188.0</v>
      </c>
      <c r="I265" s="18">
        <v>18.0</v>
      </c>
      <c r="J265" s="19">
        <v>426.33</v>
      </c>
      <c r="K265" s="19">
        <v>258.06</v>
      </c>
      <c r="L265" s="19">
        <v>7673.94</v>
      </c>
      <c r="M265" s="19">
        <v>4645.08</v>
      </c>
      <c r="N265" s="19">
        <v>3028.8599999999997</v>
      </c>
      <c r="O265" s="20">
        <v>0.3946942509323763</v>
      </c>
    </row>
    <row r="266" ht="15.75" customHeight="1">
      <c r="B266" s="16" t="s">
        <v>295</v>
      </c>
      <c r="C266" s="16" t="s">
        <v>25</v>
      </c>
      <c r="D266" s="16" t="s">
        <v>54</v>
      </c>
      <c r="E266" s="16" t="s">
        <v>46</v>
      </c>
      <c r="F266" s="16" t="s">
        <v>27</v>
      </c>
      <c r="G266" s="16" t="s">
        <v>23</v>
      </c>
      <c r="H266" s="17">
        <v>45189.0</v>
      </c>
      <c r="I266" s="18">
        <v>175.0</v>
      </c>
      <c r="J266" s="19">
        <v>337.36</v>
      </c>
      <c r="K266" s="19">
        <v>312.6</v>
      </c>
      <c r="L266" s="19">
        <v>59038.0</v>
      </c>
      <c r="M266" s="19">
        <v>54705.00000000001</v>
      </c>
      <c r="N266" s="19">
        <v>4332.999999999993</v>
      </c>
      <c r="O266" s="20">
        <v>0.0733934076357599</v>
      </c>
    </row>
    <row r="267" ht="15.75" customHeight="1">
      <c r="B267" s="16" t="s">
        <v>296</v>
      </c>
      <c r="C267" s="16" t="s">
        <v>25</v>
      </c>
      <c r="D267" s="16" t="s">
        <v>21</v>
      </c>
      <c r="E267" s="16" t="s">
        <v>39</v>
      </c>
      <c r="F267" s="16" t="s">
        <v>17</v>
      </c>
      <c r="G267" s="16" t="s">
        <v>18</v>
      </c>
      <c r="H267" s="17">
        <v>45190.0</v>
      </c>
      <c r="I267" s="18">
        <v>441.0</v>
      </c>
      <c r="J267" s="19">
        <v>405.72</v>
      </c>
      <c r="K267" s="19">
        <v>88.45</v>
      </c>
      <c r="L267" s="19">
        <v>178922.52000000002</v>
      </c>
      <c r="M267" s="19">
        <v>39006.450000000004</v>
      </c>
      <c r="N267" s="19">
        <v>139916.07</v>
      </c>
      <c r="O267" s="20">
        <v>0.7819925071477866</v>
      </c>
    </row>
    <row r="268" ht="15.75" customHeight="1">
      <c r="B268" s="16" t="s">
        <v>297</v>
      </c>
      <c r="C268" s="16" t="s">
        <v>14</v>
      </c>
      <c r="D268" s="16" t="s">
        <v>15</v>
      </c>
      <c r="E268" s="16" t="s">
        <v>26</v>
      </c>
      <c r="F268" s="16" t="s">
        <v>27</v>
      </c>
      <c r="G268" s="16" t="s">
        <v>31</v>
      </c>
      <c r="H268" s="17">
        <v>45191.0</v>
      </c>
      <c r="I268" s="18">
        <v>453.0</v>
      </c>
      <c r="J268" s="19">
        <v>384.49</v>
      </c>
      <c r="K268" s="19">
        <v>56.85</v>
      </c>
      <c r="L268" s="19">
        <v>174173.97</v>
      </c>
      <c r="M268" s="19">
        <v>25753.05</v>
      </c>
      <c r="N268" s="19">
        <v>148420.92</v>
      </c>
      <c r="O268" s="20">
        <v>0.8521417982262218</v>
      </c>
    </row>
    <row r="269" ht="15.75" customHeight="1">
      <c r="B269" s="16" t="s">
        <v>298</v>
      </c>
      <c r="C269" s="16" t="s">
        <v>52</v>
      </c>
      <c r="D269" s="16" t="s">
        <v>29</v>
      </c>
      <c r="E269" s="16" t="s">
        <v>30</v>
      </c>
      <c r="F269" s="16" t="s">
        <v>17</v>
      </c>
      <c r="G269" s="16" t="s">
        <v>31</v>
      </c>
      <c r="H269" s="17">
        <v>45192.0</v>
      </c>
      <c r="I269" s="18">
        <v>328.0</v>
      </c>
      <c r="J269" s="19">
        <v>79.1</v>
      </c>
      <c r="K269" s="19">
        <v>265.89</v>
      </c>
      <c r="L269" s="19">
        <v>25944.8</v>
      </c>
      <c r="M269" s="19">
        <v>87211.92</v>
      </c>
      <c r="N269" s="19">
        <v>-61267.119999999995</v>
      </c>
      <c r="O269" s="20">
        <v>-2.361441213653603</v>
      </c>
    </row>
    <row r="270" ht="15.75" customHeight="1">
      <c r="B270" s="16" t="s">
        <v>299</v>
      </c>
      <c r="C270" s="16" t="s">
        <v>20</v>
      </c>
      <c r="D270" s="16" t="s">
        <v>54</v>
      </c>
      <c r="E270" s="16" t="s">
        <v>46</v>
      </c>
      <c r="F270" s="16" t="s">
        <v>27</v>
      </c>
      <c r="G270" s="16" t="s">
        <v>31</v>
      </c>
      <c r="H270" s="17">
        <v>45193.0</v>
      </c>
      <c r="I270" s="18">
        <v>223.0</v>
      </c>
      <c r="J270" s="19">
        <v>214.85</v>
      </c>
      <c r="K270" s="19">
        <v>2.75</v>
      </c>
      <c r="L270" s="19">
        <v>47911.549999999996</v>
      </c>
      <c r="M270" s="19">
        <v>613.25</v>
      </c>
      <c r="N270" s="19">
        <v>47298.299999999996</v>
      </c>
      <c r="O270" s="20">
        <v>0.9872003723528043</v>
      </c>
    </row>
    <row r="271" ht="15.75" customHeight="1">
      <c r="B271" s="16" t="s">
        <v>300</v>
      </c>
      <c r="C271" s="16" t="s">
        <v>20</v>
      </c>
      <c r="D271" s="16" t="s">
        <v>21</v>
      </c>
      <c r="E271" s="16" t="s">
        <v>16</v>
      </c>
      <c r="F271" s="16" t="s">
        <v>17</v>
      </c>
      <c r="G271" s="16" t="s">
        <v>31</v>
      </c>
      <c r="H271" s="17">
        <v>45194.0</v>
      </c>
      <c r="I271" s="18">
        <v>126.0</v>
      </c>
      <c r="J271" s="19">
        <v>80.73</v>
      </c>
      <c r="K271" s="19">
        <v>72.99</v>
      </c>
      <c r="L271" s="19">
        <v>10171.980000000001</v>
      </c>
      <c r="M271" s="19">
        <v>9196.74</v>
      </c>
      <c r="N271" s="19">
        <v>975.2400000000016</v>
      </c>
      <c r="O271" s="20">
        <v>0.09587513935340036</v>
      </c>
    </row>
    <row r="272" ht="15.75" customHeight="1">
      <c r="B272" s="16" t="s">
        <v>301</v>
      </c>
      <c r="C272" s="16" t="s">
        <v>14</v>
      </c>
      <c r="D272" s="16" t="s">
        <v>34</v>
      </c>
      <c r="E272" s="16" t="s">
        <v>22</v>
      </c>
      <c r="F272" s="16" t="s">
        <v>17</v>
      </c>
      <c r="G272" s="16" t="s">
        <v>31</v>
      </c>
      <c r="H272" s="17">
        <v>45195.0</v>
      </c>
      <c r="I272" s="18">
        <v>395.0</v>
      </c>
      <c r="J272" s="19">
        <v>121.44</v>
      </c>
      <c r="K272" s="19">
        <v>13.57</v>
      </c>
      <c r="L272" s="19">
        <v>47968.799999999996</v>
      </c>
      <c r="M272" s="19">
        <v>5360.150000000001</v>
      </c>
      <c r="N272" s="19">
        <v>42608.649999999994</v>
      </c>
      <c r="O272" s="20">
        <v>0.8882575757575757</v>
      </c>
    </row>
    <row r="273" ht="15.75" customHeight="1">
      <c r="B273" s="16" t="s">
        <v>302</v>
      </c>
      <c r="C273" s="16" t="s">
        <v>14</v>
      </c>
      <c r="D273" s="16" t="s">
        <v>21</v>
      </c>
      <c r="E273" s="16" t="s">
        <v>30</v>
      </c>
      <c r="F273" s="16" t="s">
        <v>27</v>
      </c>
      <c r="G273" s="16" t="s">
        <v>18</v>
      </c>
      <c r="H273" s="17">
        <v>45196.0</v>
      </c>
      <c r="I273" s="18">
        <v>353.0</v>
      </c>
      <c r="J273" s="19">
        <v>435.28</v>
      </c>
      <c r="K273" s="19">
        <v>68.42</v>
      </c>
      <c r="L273" s="19">
        <v>153653.84</v>
      </c>
      <c r="M273" s="19">
        <v>24152.260000000002</v>
      </c>
      <c r="N273" s="19">
        <v>129501.57999999999</v>
      </c>
      <c r="O273" s="20">
        <v>0.8428138209887888</v>
      </c>
    </row>
    <row r="274" ht="15.75" customHeight="1">
      <c r="B274" s="16" t="s">
        <v>303</v>
      </c>
      <c r="C274" s="16" t="s">
        <v>52</v>
      </c>
      <c r="D274" s="16" t="s">
        <v>34</v>
      </c>
      <c r="E274" s="16" t="s">
        <v>30</v>
      </c>
      <c r="F274" s="16" t="s">
        <v>27</v>
      </c>
      <c r="G274" s="16" t="s">
        <v>18</v>
      </c>
      <c r="H274" s="17">
        <v>45197.0</v>
      </c>
      <c r="I274" s="18">
        <v>81.0</v>
      </c>
      <c r="J274" s="19">
        <v>239.08</v>
      </c>
      <c r="K274" s="19">
        <v>74.17</v>
      </c>
      <c r="L274" s="19">
        <v>19365.48</v>
      </c>
      <c r="M274" s="19">
        <v>6007.77</v>
      </c>
      <c r="N274" s="19">
        <v>13357.71</v>
      </c>
      <c r="O274" s="20">
        <v>0.6897691149406057</v>
      </c>
    </row>
    <row r="275" ht="15.75" customHeight="1">
      <c r="B275" s="16" t="s">
        <v>304</v>
      </c>
      <c r="C275" s="16" t="s">
        <v>20</v>
      </c>
      <c r="D275" s="16" t="s">
        <v>15</v>
      </c>
      <c r="E275" s="16" t="s">
        <v>26</v>
      </c>
      <c r="F275" s="16" t="s">
        <v>27</v>
      </c>
      <c r="G275" s="16" t="s">
        <v>18</v>
      </c>
      <c r="H275" s="17">
        <v>45198.0</v>
      </c>
      <c r="I275" s="18">
        <v>404.0</v>
      </c>
      <c r="J275" s="19">
        <v>270.0</v>
      </c>
      <c r="K275" s="19">
        <v>156.29</v>
      </c>
      <c r="L275" s="19">
        <v>109080.0</v>
      </c>
      <c r="M275" s="19">
        <v>63141.159999999996</v>
      </c>
      <c r="N275" s="19">
        <v>45938.840000000004</v>
      </c>
      <c r="O275" s="20">
        <v>0.42114814814814816</v>
      </c>
    </row>
    <row r="276" ht="15.75" customHeight="1">
      <c r="B276" s="16" t="s">
        <v>305</v>
      </c>
      <c r="C276" s="16" t="s">
        <v>20</v>
      </c>
      <c r="D276" s="16" t="s">
        <v>29</v>
      </c>
      <c r="E276" s="16" t="s">
        <v>26</v>
      </c>
      <c r="F276" s="16" t="s">
        <v>27</v>
      </c>
      <c r="G276" s="16" t="s">
        <v>18</v>
      </c>
      <c r="H276" s="17">
        <v>45199.0</v>
      </c>
      <c r="I276" s="18">
        <v>73.0</v>
      </c>
      <c r="J276" s="19">
        <v>93.33</v>
      </c>
      <c r="K276" s="19">
        <v>162.13</v>
      </c>
      <c r="L276" s="19">
        <v>6813.09</v>
      </c>
      <c r="M276" s="19">
        <v>11835.49</v>
      </c>
      <c r="N276" s="19">
        <v>-5022.4</v>
      </c>
      <c r="O276" s="20">
        <v>-0.7371691846137362</v>
      </c>
    </row>
    <row r="277" ht="15.75" customHeight="1">
      <c r="B277" s="16" t="s">
        <v>306</v>
      </c>
      <c r="C277" s="16" t="s">
        <v>20</v>
      </c>
      <c r="D277" s="16" t="s">
        <v>21</v>
      </c>
      <c r="E277" s="16" t="s">
        <v>16</v>
      </c>
      <c r="F277" s="16" t="s">
        <v>17</v>
      </c>
      <c r="G277" s="16" t="s">
        <v>31</v>
      </c>
      <c r="H277" s="17">
        <v>45200.0</v>
      </c>
      <c r="I277" s="18">
        <v>214.0</v>
      </c>
      <c r="J277" s="19">
        <v>159.57</v>
      </c>
      <c r="K277" s="19">
        <v>349.96</v>
      </c>
      <c r="L277" s="19">
        <v>34147.979999999996</v>
      </c>
      <c r="M277" s="19">
        <v>74891.44</v>
      </c>
      <c r="N277" s="19">
        <v>-40743.46000000001</v>
      </c>
      <c r="O277" s="20">
        <v>-1.1931440747007587</v>
      </c>
    </row>
    <row r="278" ht="15.75" customHeight="1">
      <c r="B278" s="16" t="s">
        <v>307</v>
      </c>
      <c r="C278" s="16" t="s">
        <v>25</v>
      </c>
      <c r="D278" s="16" t="s">
        <v>54</v>
      </c>
      <c r="E278" s="16" t="s">
        <v>16</v>
      </c>
      <c r="F278" s="16" t="s">
        <v>27</v>
      </c>
      <c r="G278" s="16" t="s">
        <v>23</v>
      </c>
      <c r="H278" s="17">
        <v>45201.0</v>
      </c>
      <c r="I278" s="18">
        <v>218.0</v>
      </c>
      <c r="J278" s="19">
        <v>118.97</v>
      </c>
      <c r="K278" s="19">
        <v>205.02</v>
      </c>
      <c r="L278" s="19">
        <v>25935.46</v>
      </c>
      <c r="M278" s="19">
        <v>44694.36</v>
      </c>
      <c r="N278" s="19">
        <v>-18758.9</v>
      </c>
      <c r="O278" s="20">
        <v>-0.7232915861141465</v>
      </c>
    </row>
    <row r="279" ht="15.75" customHeight="1">
      <c r="B279" s="16" t="s">
        <v>308</v>
      </c>
      <c r="C279" s="16" t="s">
        <v>20</v>
      </c>
      <c r="D279" s="16" t="s">
        <v>15</v>
      </c>
      <c r="E279" s="16" t="s">
        <v>46</v>
      </c>
      <c r="F279" s="16" t="s">
        <v>27</v>
      </c>
      <c r="G279" s="16" t="s">
        <v>18</v>
      </c>
      <c r="H279" s="17">
        <v>45202.0</v>
      </c>
      <c r="I279" s="18">
        <v>81.0</v>
      </c>
      <c r="J279" s="19">
        <v>107.06</v>
      </c>
      <c r="K279" s="19">
        <v>289.92</v>
      </c>
      <c r="L279" s="19">
        <v>8671.86</v>
      </c>
      <c r="M279" s="19">
        <v>23483.52</v>
      </c>
      <c r="N279" s="19">
        <v>-14811.66</v>
      </c>
      <c r="O279" s="20">
        <v>-1.7080141976461796</v>
      </c>
    </row>
    <row r="280" ht="15.75" customHeight="1">
      <c r="B280" s="16" t="s">
        <v>309</v>
      </c>
      <c r="C280" s="16" t="s">
        <v>25</v>
      </c>
      <c r="D280" s="16" t="s">
        <v>21</v>
      </c>
      <c r="E280" s="16" t="s">
        <v>46</v>
      </c>
      <c r="F280" s="16" t="s">
        <v>27</v>
      </c>
      <c r="G280" s="16" t="s">
        <v>23</v>
      </c>
      <c r="H280" s="17">
        <v>45203.0</v>
      </c>
      <c r="I280" s="18">
        <v>286.0</v>
      </c>
      <c r="J280" s="19">
        <v>320.79</v>
      </c>
      <c r="K280" s="19">
        <v>43.45</v>
      </c>
      <c r="L280" s="19">
        <v>91745.94</v>
      </c>
      <c r="M280" s="19">
        <v>12426.7</v>
      </c>
      <c r="N280" s="19">
        <v>79319.24</v>
      </c>
      <c r="O280" s="20">
        <v>0.8645531344493282</v>
      </c>
    </row>
    <row r="281" ht="15.75" customHeight="1">
      <c r="B281" s="16" t="s">
        <v>310</v>
      </c>
      <c r="C281" s="16" t="s">
        <v>52</v>
      </c>
      <c r="D281" s="16" t="s">
        <v>54</v>
      </c>
      <c r="E281" s="16" t="s">
        <v>16</v>
      </c>
      <c r="F281" s="16" t="s">
        <v>17</v>
      </c>
      <c r="G281" s="16" t="s">
        <v>18</v>
      </c>
      <c r="H281" s="17">
        <v>45204.0</v>
      </c>
      <c r="I281" s="18">
        <v>283.0</v>
      </c>
      <c r="J281" s="19">
        <v>132.16</v>
      </c>
      <c r="K281" s="19">
        <v>91.72</v>
      </c>
      <c r="L281" s="19">
        <v>37401.28</v>
      </c>
      <c r="M281" s="19">
        <v>25956.76</v>
      </c>
      <c r="N281" s="19">
        <v>11444.52</v>
      </c>
      <c r="O281" s="20">
        <v>0.30599273607748184</v>
      </c>
    </row>
    <row r="282" ht="15.75" customHeight="1">
      <c r="B282" s="16" t="s">
        <v>311</v>
      </c>
      <c r="C282" s="16" t="s">
        <v>25</v>
      </c>
      <c r="D282" s="16" t="s">
        <v>21</v>
      </c>
      <c r="E282" s="16" t="s">
        <v>16</v>
      </c>
      <c r="F282" s="16" t="s">
        <v>17</v>
      </c>
      <c r="G282" s="16" t="s">
        <v>18</v>
      </c>
      <c r="H282" s="17">
        <v>45205.0</v>
      </c>
      <c r="I282" s="18">
        <v>487.0</v>
      </c>
      <c r="J282" s="19">
        <v>317.85</v>
      </c>
      <c r="K282" s="19">
        <v>281.77</v>
      </c>
      <c r="L282" s="19">
        <v>154792.95</v>
      </c>
      <c r="M282" s="19">
        <v>137221.99</v>
      </c>
      <c r="N282" s="19">
        <v>17570.96000000002</v>
      </c>
      <c r="O282" s="20">
        <v>0.11351266320591487</v>
      </c>
    </row>
    <row r="283" ht="15.75" customHeight="1">
      <c r="B283" s="16" t="s">
        <v>312</v>
      </c>
      <c r="C283" s="16" t="s">
        <v>52</v>
      </c>
      <c r="D283" s="16" t="s">
        <v>34</v>
      </c>
      <c r="E283" s="16" t="s">
        <v>22</v>
      </c>
      <c r="F283" s="16" t="s">
        <v>27</v>
      </c>
      <c r="G283" s="16" t="s">
        <v>23</v>
      </c>
      <c r="H283" s="17">
        <v>45206.0</v>
      </c>
      <c r="I283" s="18">
        <v>329.0</v>
      </c>
      <c r="J283" s="19">
        <v>33.94</v>
      </c>
      <c r="K283" s="19">
        <v>23.02</v>
      </c>
      <c r="L283" s="19">
        <v>11166.259999999998</v>
      </c>
      <c r="M283" s="19">
        <v>7573.58</v>
      </c>
      <c r="N283" s="19">
        <v>3592.6799999999985</v>
      </c>
      <c r="O283" s="20">
        <v>0.32174425456688266</v>
      </c>
    </row>
    <row r="284" ht="15.75" customHeight="1">
      <c r="B284" s="16" t="s">
        <v>313</v>
      </c>
      <c r="C284" s="16" t="s">
        <v>20</v>
      </c>
      <c r="D284" s="16" t="s">
        <v>21</v>
      </c>
      <c r="E284" s="16" t="s">
        <v>26</v>
      </c>
      <c r="F284" s="16" t="s">
        <v>17</v>
      </c>
      <c r="G284" s="16" t="s">
        <v>31</v>
      </c>
      <c r="H284" s="17">
        <v>45207.0</v>
      </c>
      <c r="I284" s="18">
        <v>347.0</v>
      </c>
      <c r="J284" s="19">
        <v>75.18</v>
      </c>
      <c r="K284" s="19">
        <v>195.67</v>
      </c>
      <c r="L284" s="19">
        <v>26087.460000000003</v>
      </c>
      <c r="M284" s="19">
        <v>67897.48999999999</v>
      </c>
      <c r="N284" s="19">
        <v>-41810.029999999984</v>
      </c>
      <c r="O284" s="20">
        <v>-1.602686884809789</v>
      </c>
    </row>
    <row r="285" ht="15.75" customHeight="1">
      <c r="B285" s="16" t="s">
        <v>314</v>
      </c>
      <c r="C285" s="16" t="s">
        <v>20</v>
      </c>
      <c r="D285" s="16" t="s">
        <v>21</v>
      </c>
      <c r="E285" s="16" t="s">
        <v>46</v>
      </c>
      <c r="F285" s="16" t="s">
        <v>27</v>
      </c>
      <c r="G285" s="16" t="s">
        <v>18</v>
      </c>
      <c r="H285" s="17">
        <v>45208.0</v>
      </c>
      <c r="I285" s="18">
        <v>375.0</v>
      </c>
      <c r="J285" s="19">
        <v>140.9</v>
      </c>
      <c r="K285" s="19">
        <v>240.55</v>
      </c>
      <c r="L285" s="19">
        <v>52837.5</v>
      </c>
      <c r="M285" s="19">
        <v>90206.25</v>
      </c>
      <c r="N285" s="19">
        <v>-37368.75</v>
      </c>
      <c r="O285" s="20">
        <v>-0.7072391767210788</v>
      </c>
    </row>
    <row r="286" ht="15.75" customHeight="1">
      <c r="B286" s="16" t="s">
        <v>315</v>
      </c>
      <c r="C286" s="16" t="s">
        <v>52</v>
      </c>
      <c r="D286" s="16" t="s">
        <v>21</v>
      </c>
      <c r="E286" s="16" t="s">
        <v>26</v>
      </c>
      <c r="F286" s="16" t="s">
        <v>17</v>
      </c>
      <c r="G286" s="16" t="s">
        <v>18</v>
      </c>
      <c r="H286" s="17">
        <v>45209.0</v>
      </c>
      <c r="I286" s="18">
        <v>104.0</v>
      </c>
      <c r="J286" s="19">
        <v>300.54</v>
      </c>
      <c r="K286" s="19">
        <v>241.65</v>
      </c>
      <c r="L286" s="19">
        <v>31256.160000000003</v>
      </c>
      <c r="M286" s="19">
        <v>25131.600000000002</v>
      </c>
      <c r="N286" s="19">
        <v>6124.560000000001</v>
      </c>
      <c r="O286" s="20">
        <v>0.1959472948692354</v>
      </c>
    </row>
    <row r="287" ht="15.75" customHeight="1">
      <c r="B287" s="16" t="s">
        <v>316</v>
      </c>
      <c r="C287" s="16" t="s">
        <v>14</v>
      </c>
      <c r="D287" s="16" t="s">
        <v>15</v>
      </c>
      <c r="E287" s="16" t="s">
        <v>39</v>
      </c>
      <c r="F287" s="16" t="s">
        <v>17</v>
      </c>
      <c r="G287" s="16" t="s">
        <v>18</v>
      </c>
      <c r="H287" s="17">
        <v>45210.0</v>
      </c>
      <c r="I287" s="18">
        <v>175.0</v>
      </c>
      <c r="J287" s="19">
        <v>339.54</v>
      </c>
      <c r="K287" s="19">
        <v>11.13</v>
      </c>
      <c r="L287" s="19">
        <v>59419.5</v>
      </c>
      <c r="M287" s="19">
        <v>1947.7500000000002</v>
      </c>
      <c r="N287" s="19">
        <v>57471.75</v>
      </c>
      <c r="O287" s="20">
        <v>0.9672203569535254</v>
      </c>
    </row>
    <row r="288" ht="15.75" customHeight="1">
      <c r="B288" s="16" t="s">
        <v>317</v>
      </c>
      <c r="C288" s="16" t="s">
        <v>52</v>
      </c>
      <c r="D288" s="16" t="s">
        <v>21</v>
      </c>
      <c r="E288" s="16" t="s">
        <v>16</v>
      </c>
      <c r="F288" s="16" t="s">
        <v>17</v>
      </c>
      <c r="G288" s="16" t="s">
        <v>23</v>
      </c>
      <c r="H288" s="17">
        <v>45211.0</v>
      </c>
      <c r="I288" s="18">
        <v>41.0</v>
      </c>
      <c r="J288" s="19">
        <v>224.14</v>
      </c>
      <c r="K288" s="19">
        <v>130.2</v>
      </c>
      <c r="L288" s="19">
        <v>9189.74</v>
      </c>
      <c r="M288" s="19">
        <v>5338.2</v>
      </c>
      <c r="N288" s="19">
        <v>3851.54</v>
      </c>
      <c r="O288" s="20">
        <v>0.41911305434103685</v>
      </c>
    </row>
    <row r="289" ht="15.75" customHeight="1">
      <c r="B289" s="16" t="s">
        <v>318</v>
      </c>
      <c r="C289" s="16" t="s">
        <v>14</v>
      </c>
      <c r="D289" s="16" t="s">
        <v>54</v>
      </c>
      <c r="E289" s="16" t="s">
        <v>22</v>
      </c>
      <c r="F289" s="16" t="s">
        <v>17</v>
      </c>
      <c r="G289" s="16" t="s">
        <v>31</v>
      </c>
      <c r="H289" s="17">
        <v>45212.0</v>
      </c>
      <c r="I289" s="18">
        <v>20.0</v>
      </c>
      <c r="J289" s="19">
        <v>225.67</v>
      </c>
      <c r="K289" s="19">
        <v>255.32</v>
      </c>
      <c r="L289" s="19">
        <v>4513.4</v>
      </c>
      <c r="M289" s="19">
        <v>5106.4</v>
      </c>
      <c r="N289" s="19">
        <v>-593.0</v>
      </c>
      <c r="O289" s="20">
        <v>-0.13138653786502416</v>
      </c>
    </row>
    <row r="290" ht="15.75" customHeight="1">
      <c r="B290" s="16" t="s">
        <v>319</v>
      </c>
      <c r="C290" s="16" t="s">
        <v>25</v>
      </c>
      <c r="D290" s="16" t="s">
        <v>34</v>
      </c>
      <c r="E290" s="16" t="s">
        <v>30</v>
      </c>
      <c r="F290" s="16" t="s">
        <v>27</v>
      </c>
      <c r="G290" s="16" t="s">
        <v>23</v>
      </c>
      <c r="H290" s="17">
        <v>45213.0</v>
      </c>
      <c r="I290" s="18">
        <v>310.0</v>
      </c>
      <c r="J290" s="19">
        <v>363.64</v>
      </c>
      <c r="K290" s="19">
        <v>61.3</v>
      </c>
      <c r="L290" s="19">
        <v>112728.4</v>
      </c>
      <c r="M290" s="19">
        <v>19003.0</v>
      </c>
      <c r="N290" s="19">
        <v>93725.4</v>
      </c>
      <c r="O290" s="20">
        <v>0.8314266857331427</v>
      </c>
    </row>
    <row r="291" ht="15.75" customHeight="1">
      <c r="B291" s="16" t="s">
        <v>320</v>
      </c>
      <c r="C291" s="16" t="s">
        <v>25</v>
      </c>
      <c r="D291" s="16" t="s">
        <v>34</v>
      </c>
      <c r="E291" s="16" t="s">
        <v>22</v>
      </c>
      <c r="F291" s="16" t="s">
        <v>27</v>
      </c>
      <c r="G291" s="16" t="s">
        <v>23</v>
      </c>
      <c r="H291" s="17">
        <v>45214.0</v>
      </c>
      <c r="I291" s="18">
        <v>226.0</v>
      </c>
      <c r="J291" s="19">
        <v>249.64520588235297</v>
      </c>
      <c r="K291" s="19">
        <v>278.78</v>
      </c>
      <c r="L291" s="19">
        <v>56419.81652941177</v>
      </c>
      <c r="M291" s="19">
        <v>63004.27999999999</v>
      </c>
      <c r="N291" s="19">
        <v>-6584.46347058822</v>
      </c>
      <c r="O291" s="20">
        <v>-0.11670480117842505</v>
      </c>
    </row>
    <row r="292" ht="15.75" customHeight="1">
      <c r="B292" s="16" t="s">
        <v>321</v>
      </c>
      <c r="C292" s="16" t="s">
        <v>25</v>
      </c>
      <c r="D292" s="16" t="s">
        <v>21</v>
      </c>
      <c r="E292" s="16" t="s">
        <v>22</v>
      </c>
      <c r="F292" s="16" t="s">
        <v>27</v>
      </c>
      <c r="G292" s="16" t="s">
        <v>31</v>
      </c>
      <c r="H292" s="17">
        <v>45215.0</v>
      </c>
      <c r="I292" s="18">
        <v>255.9029411764706</v>
      </c>
      <c r="J292" s="19">
        <v>173.84</v>
      </c>
      <c r="K292" s="19">
        <v>298.88</v>
      </c>
      <c r="L292" s="19">
        <v>44486.16729411765</v>
      </c>
      <c r="M292" s="19">
        <v>76484.27105882353</v>
      </c>
      <c r="N292" s="19">
        <v>-31998.103764705884</v>
      </c>
      <c r="O292" s="20">
        <v>-0.7192820984813622</v>
      </c>
    </row>
    <row r="293" ht="15.75" customHeight="1">
      <c r="B293" s="16" t="s">
        <v>322</v>
      </c>
      <c r="C293" s="16" t="s">
        <v>20</v>
      </c>
      <c r="D293" s="16" t="s">
        <v>15</v>
      </c>
      <c r="E293" s="16" t="s">
        <v>26</v>
      </c>
      <c r="F293" s="16" t="s">
        <v>17</v>
      </c>
      <c r="G293" s="16" t="s">
        <v>23</v>
      </c>
      <c r="H293" s="17">
        <v>45216.0</v>
      </c>
      <c r="I293" s="18">
        <v>111.0</v>
      </c>
      <c r="J293" s="19">
        <v>410.26</v>
      </c>
      <c r="K293" s="19">
        <v>392.82</v>
      </c>
      <c r="L293" s="19">
        <v>45538.86</v>
      </c>
      <c r="M293" s="19">
        <v>43603.02</v>
      </c>
      <c r="N293" s="19">
        <v>1935.8400000000038</v>
      </c>
      <c r="O293" s="20">
        <v>0.04250962804075473</v>
      </c>
    </row>
    <row r="294" ht="15.75" customHeight="1">
      <c r="B294" s="16" t="s">
        <v>323</v>
      </c>
      <c r="C294" s="16" t="s">
        <v>25</v>
      </c>
      <c r="D294" s="16" t="s">
        <v>15</v>
      </c>
      <c r="E294" s="16" t="s">
        <v>22</v>
      </c>
      <c r="F294" s="16" t="s">
        <v>27</v>
      </c>
      <c r="G294" s="16" t="s">
        <v>31</v>
      </c>
      <c r="H294" s="17">
        <v>45217.0</v>
      </c>
      <c r="I294" s="18">
        <v>434.0</v>
      </c>
      <c r="J294" s="19">
        <v>303.59</v>
      </c>
      <c r="K294" s="19">
        <v>85.52</v>
      </c>
      <c r="L294" s="19">
        <v>131758.06</v>
      </c>
      <c r="M294" s="19">
        <v>37115.68</v>
      </c>
      <c r="N294" s="19">
        <v>94642.38</v>
      </c>
      <c r="O294" s="20">
        <v>0.7183042919727264</v>
      </c>
    </row>
    <row r="295" ht="15.75" customHeight="1">
      <c r="B295" s="16" t="s">
        <v>324</v>
      </c>
      <c r="C295" s="16" t="s">
        <v>14</v>
      </c>
      <c r="D295" s="16" t="s">
        <v>54</v>
      </c>
      <c r="E295" s="16" t="s">
        <v>46</v>
      </c>
      <c r="F295" s="16" t="s">
        <v>27</v>
      </c>
      <c r="G295" s="16" t="s">
        <v>18</v>
      </c>
      <c r="H295" s="17">
        <v>45218.0</v>
      </c>
      <c r="I295" s="18">
        <v>401.0</v>
      </c>
      <c r="J295" s="19">
        <v>171.93</v>
      </c>
      <c r="K295" s="19">
        <v>330.4</v>
      </c>
      <c r="L295" s="19">
        <v>68943.93000000001</v>
      </c>
      <c r="M295" s="19">
        <v>132490.4</v>
      </c>
      <c r="N295" s="19">
        <v>-63546.46999999999</v>
      </c>
      <c r="O295" s="20">
        <v>-0.9217123247833418</v>
      </c>
    </row>
    <row r="296" ht="15.75" customHeight="1">
      <c r="B296" s="16" t="s">
        <v>325</v>
      </c>
      <c r="C296" s="16" t="s">
        <v>25</v>
      </c>
      <c r="D296" s="16" t="s">
        <v>21</v>
      </c>
      <c r="E296" s="16" t="s">
        <v>26</v>
      </c>
      <c r="F296" s="16" t="s">
        <v>27</v>
      </c>
      <c r="G296" s="16" t="s">
        <v>31</v>
      </c>
      <c r="H296" s="17">
        <v>45219.0</v>
      </c>
      <c r="I296" s="18">
        <v>276.0</v>
      </c>
      <c r="J296" s="19">
        <v>453.23</v>
      </c>
      <c r="K296" s="19">
        <v>209.08</v>
      </c>
      <c r="L296" s="19">
        <v>125091.48000000001</v>
      </c>
      <c r="M296" s="19">
        <v>57706.08</v>
      </c>
      <c r="N296" s="19">
        <v>67385.40000000001</v>
      </c>
      <c r="O296" s="20">
        <v>0.5386889658672197</v>
      </c>
    </row>
    <row r="297" ht="15.75" customHeight="1">
      <c r="B297" s="16" t="s">
        <v>326</v>
      </c>
      <c r="C297" s="16" t="s">
        <v>52</v>
      </c>
      <c r="D297" s="16" t="s">
        <v>34</v>
      </c>
      <c r="E297" s="16" t="s">
        <v>46</v>
      </c>
      <c r="F297" s="16" t="s">
        <v>17</v>
      </c>
      <c r="G297" s="16" t="s">
        <v>18</v>
      </c>
      <c r="H297" s="17">
        <v>45220.0</v>
      </c>
      <c r="I297" s="18">
        <v>255.9029411764706</v>
      </c>
      <c r="J297" s="19">
        <v>387.45</v>
      </c>
      <c r="K297" s="19">
        <v>150.64</v>
      </c>
      <c r="L297" s="19">
        <v>99149.59455882353</v>
      </c>
      <c r="M297" s="19">
        <v>38549.219058823524</v>
      </c>
      <c r="N297" s="19">
        <v>60600.37550000001</v>
      </c>
      <c r="O297" s="20">
        <v>0.6112014453477869</v>
      </c>
    </row>
    <row r="298" ht="15.75" customHeight="1">
      <c r="B298" s="16" t="s">
        <v>327</v>
      </c>
      <c r="C298" s="16" t="s">
        <v>52</v>
      </c>
      <c r="D298" s="16" t="s">
        <v>15</v>
      </c>
      <c r="E298" s="16" t="s">
        <v>30</v>
      </c>
      <c r="F298" s="16" t="s">
        <v>17</v>
      </c>
      <c r="G298" s="16" t="s">
        <v>23</v>
      </c>
      <c r="H298" s="17">
        <v>45221.0</v>
      </c>
      <c r="I298" s="18">
        <v>188.0</v>
      </c>
      <c r="J298" s="19">
        <v>136.12</v>
      </c>
      <c r="K298" s="19">
        <v>50.71</v>
      </c>
      <c r="L298" s="19">
        <v>25590.56</v>
      </c>
      <c r="M298" s="19">
        <v>9533.48</v>
      </c>
      <c r="N298" s="19">
        <v>16057.080000000002</v>
      </c>
      <c r="O298" s="20">
        <v>0.6274610637672642</v>
      </c>
    </row>
    <row r="299" ht="15.75" customHeight="1">
      <c r="B299" s="16" t="s">
        <v>328</v>
      </c>
      <c r="C299" s="16" t="s">
        <v>20</v>
      </c>
      <c r="D299" s="16" t="s">
        <v>21</v>
      </c>
      <c r="E299" s="16" t="s">
        <v>26</v>
      </c>
      <c r="F299" s="16" t="s">
        <v>17</v>
      </c>
      <c r="G299" s="16" t="s">
        <v>23</v>
      </c>
      <c r="H299" s="17">
        <v>45222.0</v>
      </c>
      <c r="I299" s="18">
        <v>97.0</v>
      </c>
      <c r="J299" s="19">
        <v>324.42</v>
      </c>
      <c r="K299" s="19">
        <v>294.73</v>
      </c>
      <c r="L299" s="19">
        <v>31468.74</v>
      </c>
      <c r="M299" s="19">
        <v>28588.81</v>
      </c>
      <c r="N299" s="19">
        <v>2879.9300000000003</v>
      </c>
      <c r="O299" s="20">
        <v>0.09151716910178165</v>
      </c>
    </row>
    <row r="300" ht="15.75" customHeight="1">
      <c r="B300" s="16" t="s">
        <v>329</v>
      </c>
      <c r="C300" s="16" t="s">
        <v>52</v>
      </c>
      <c r="D300" s="16" t="s">
        <v>15</v>
      </c>
      <c r="E300" s="16" t="s">
        <v>30</v>
      </c>
      <c r="F300" s="16" t="s">
        <v>27</v>
      </c>
      <c r="G300" s="16" t="s">
        <v>18</v>
      </c>
      <c r="H300" s="17">
        <v>45223.0</v>
      </c>
      <c r="I300" s="18">
        <v>50.0</v>
      </c>
      <c r="J300" s="19">
        <v>299.9</v>
      </c>
      <c r="K300" s="19">
        <v>95.87</v>
      </c>
      <c r="L300" s="19">
        <v>14994.999999999998</v>
      </c>
      <c r="M300" s="19">
        <v>4793.5</v>
      </c>
      <c r="N300" s="19">
        <v>10201.499999999998</v>
      </c>
      <c r="O300" s="20">
        <v>0.6803267755918639</v>
      </c>
    </row>
    <row r="301" ht="15.75" customHeight="1">
      <c r="B301" s="16" t="s">
        <v>330</v>
      </c>
      <c r="C301" s="16" t="s">
        <v>14</v>
      </c>
      <c r="D301" s="16" t="s">
        <v>15</v>
      </c>
      <c r="E301" s="16" t="s">
        <v>26</v>
      </c>
      <c r="F301" s="16" t="s">
        <v>27</v>
      </c>
      <c r="G301" s="16" t="s">
        <v>23</v>
      </c>
      <c r="H301" s="17">
        <v>45224.0</v>
      </c>
      <c r="I301" s="18">
        <v>410.0</v>
      </c>
      <c r="J301" s="19">
        <v>203.59</v>
      </c>
      <c r="K301" s="19">
        <v>149.83</v>
      </c>
      <c r="L301" s="19">
        <v>83471.9</v>
      </c>
      <c r="M301" s="19">
        <v>61430.3</v>
      </c>
      <c r="N301" s="19">
        <v>22041.59999999999</v>
      </c>
      <c r="O301" s="20">
        <v>0.264060120831082</v>
      </c>
    </row>
    <row r="302" ht="15.75" customHeight="1">
      <c r="B302" s="16" t="s">
        <v>331</v>
      </c>
      <c r="C302" s="16" t="s">
        <v>25</v>
      </c>
      <c r="D302" s="16" t="s">
        <v>34</v>
      </c>
      <c r="E302" s="16" t="s">
        <v>16</v>
      </c>
      <c r="F302" s="16" t="s">
        <v>27</v>
      </c>
      <c r="G302" s="16" t="s">
        <v>31</v>
      </c>
      <c r="H302" s="17">
        <v>45225.0</v>
      </c>
      <c r="I302" s="18">
        <v>85.0</v>
      </c>
      <c r="J302" s="19">
        <v>186.64</v>
      </c>
      <c r="K302" s="19">
        <v>26.89</v>
      </c>
      <c r="L302" s="19">
        <v>15864.4</v>
      </c>
      <c r="M302" s="19">
        <v>2285.65</v>
      </c>
      <c r="N302" s="19">
        <v>13578.75</v>
      </c>
      <c r="O302" s="20">
        <v>0.8559258465495071</v>
      </c>
    </row>
    <row r="303" ht="15.75" customHeight="1">
      <c r="B303" s="16" t="s">
        <v>332</v>
      </c>
      <c r="C303" s="16" t="s">
        <v>20</v>
      </c>
      <c r="D303" s="16" t="s">
        <v>29</v>
      </c>
      <c r="E303" s="16" t="s">
        <v>22</v>
      </c>
      <c r="F303" s="16" t="s">
        <v>17</v>
      </c>
      <c r="G303" s="16" t="s">
        <v>18</v>
      </c>
      <c r="H303" s="17">
        <v>45226.0</v>
      </c>
      <c r="I303" s="18">
        <v>386.0</v>
      </c>
      <c r="J303" s="19">
        <v>175.06</v>
      </c>
      <c r="K303" s="19">
        <v>320.94</v>
      </c>
      <c r="L303" s="19">
        <v>67573.16</v>
      </c>
      <c r="M303" s="19">
        <v>123882.84</v>
      </c>
      <c r="N303" s="19">
        <v>-56309.67999999999</v>
      </c>
      <c r="O303" s="20">
        <v>-0.8333142922426595</v>
      </c>
    </row>
    <row r="304" ht="15.75" customHeight="1">
      <c r="B304" s="16" t="s">
        <v>333</v>
      </c>
      <c r="C304" s="16" t="s">
        <v>25</v>
      </c>
      <c r="D304" s="16" t="s">
        <v>54</v>
      </c>
      <c r="E304" s="16" t="s">
        <v>16</v>
      </c>
      <c r="F304" s="16" t="s">
        <v>17</v>
      </c>
      <c r="G304" s="16" t="s">
        <v>23</v>
      </c>
      <c r="H304" s="17">
        <v>45227.0</v>
      </c>
      <c r="I304" s="18">
        <v>55.0</v>
      </c>
      <c r="J304" s="19">
        <v>310.49</v>
      </c>
      <c r="K304" s="19">
        <v>307.1</v>
      </c>
      <c r="L304" s="19">
        <v>17076.95</v>
      </c>
      <c r="M304" s="19">
        <v>16890.5</v>
      </c>
      <c r="N304" s="19">
        <v>186.45000000000073</v>
      </c>
      <c r="O304" s="20">
        <v>0.010918226029823869</v>
      </c>
    </row>
    <row r="305" ht="15.75" customHeight="1">
      <c r="B305" s="16" t="s">
        <v>334</v>
      </c>
      <c r="C305" s="16" t="s">
        <v>25</v>
      </c>
      <c r="D305" s="16" t="s">
        <v>54</v>
      </c>
      <c r="E305" s="16" t="s">
        <v>30</v>
      </c>
      <c r="F305" s="16" t="s">
        <v>27</v>
      </c>
      <c r="G305" s="16" t="s">
        <v>18</v>
      </c>
      <c r="H305" s="17">
        <v>45228.0</v>
      </c>
      <c r="I305" s="18">
        <v>169.0</v>
      </c>
      <c r="J305" s="19">
        <v>223.99</v>
      </c>
      <c r="K305" s="19">
        <v>293.98</v>
      </c>
      <c r="L305" s="19">
        <v>37854.310000000005</v>
      </c>
      <c r="M305" s="19">
        <v>49682.62</v>
      </c>
      <c r="N305" s="19">
        <v>-11828.309999999998</v>
      </c>
      <c r="O305" s="20">
        <v>-0.312469306665476</v>
      </c>
    </row>
    <row r="306" ht="15.75" customHeight="1">
      <c r="B306" s="16" t="s">
        <v>335</v>
      </c>
      <c r="C306" s="16" t="s">
        <v>14</v>
      </c>
      <c r="D306" s="16" t="s">
        <v>34</v>
      </c>
      <c r="E306" s="16" t="s">
        <v>22</v>
      </c>
      <c r="F306" s="16" t="s">
        <v>17</v>
      </c>
      <c r="G306" s="16" t="s">
        <v>31</v>
      </c>
      <c r="H306" s="17">
        <v>45229.0</v>
      </c>
      <c r="I306" s="18">
        <v>472.0</v>
      </c>
      <c r="J306" s="19">
        <v>416.77</v>
      </c>
      <c r="K306" s="19">
        <v>121.18</v>
      </c>
      <c r="L306" s="19">
        <v>196715.44</v>
      </c>
      <c r="M306" s="19">
        <v>57196.96000000001</v>
      </c>
      <c r="N306" s="19">
        <v>139518.47999999998</v>
      </c>
      <c r="O306" s="20">
        <v>0.7092401084531035</v>
      </c>
    </row>
    <row r="307" ht="15.75" customHeight="1">
      <c r="B307" s="16" t="s">
        <v>336</v>
      </c>
      <c r="C307" s="16" t="s">
        <v>52</v>
      </c>
      <c r="D307" s="16" t="s">
        <v>15</v>
      </c>
      <c r="E307" s="16" t="s">
        <v>26</v>
      </c>
      <c r="F307" s="16" t="s">
        <v>17</v>
      </c>
      <c r="G307" s="16" t="s">
        <v>31</v>
      </c>
      <c r="H307" s="17">
        <v>45230.0</v>
      </c>
      <c r="I307" s="18">
        <v>89.0</v>
      </c>
      <c r="J307" s="19">
        <v>336.45</v>
      </c>
      <c r="K307" s="19">
        <v>71.05</v>
      </c>
      <c r="L307" s="19">
        <v>29944.05</v>
      </c>
      <c r="M307" s="19">
        <v>6323.45</v>
      </c>
      <c r="N307" s="19">
        <v>23620.6</v>
      </c>
      <c r="O307" s="20">
        <v>0.7888244910090653</v>
      </c>
    </row>
    <row r="308" ht="15.75" customHeight="1">
      <c r="B308" s="16" t="s">
        <v>337</v>
      </c>
      <c r="C308" s="16" t="s">
        <v>52</v>
      </c>
      <c r="D308" s="16" t="s">
        <v>21</v>
      </c>
      <c r="E308" s="16" t="s">
        <v>22</v>
      </c>
      <c r="F308" s="16" t="s">
        <v>17</v>
      </c>
      <c r="G308" s="16" t="s">
        <v>23</v>
      </c>
      <c r="H308" s="17">
        <v>45231.0</v>
      </c>
      <c r="I308" s="18">
        <v>319.0</v>
      </c>
      <c r="J308" s="19">
        <v>39.62</v>
      </c>
      <c r="K308" s="19">
        <v>255.75</v>
      </c>
      <c r="L308" s="19">
        <v>12638.779999999999</v>
      </c>
      <c r="M308" s="19">
        <v>81584.25</v>
      </c>
      <c r="N308" s="19">
        <v>-68945.47</v>
      </c>
      <c r="O308" s="20">
        <v>-5.455073195355881</v>
      </c>
    </row>
    <row r="309" ht="15.75" customHeight="1">
      <c r="B309" s="16" t="s">
        <v>338</v>
      </c>
      <c r="C309" s="16" t="s">
        <v>25</v>
      </c>
      <c r="D309" s="16" t="s">
        <v>15</v>
      </c>
      <c r="E309" s="16" t="s">
        <v>39</v>
      </c>
      <c r="F309" s="16" t="s">
        <v>17</v>
      </c>
      <c r="G309" s="16" t="s">
        <v>31</v>
      </c>
      <c r="H309" s="17">
        <v>45232.0</v>
      </c>
      <c r="I309" s="18">
        <v>95.0</v>
      </c>
      <c r="J309" s="19">
        <v>321.88</v>
      </c>
      <c r="K309" s="19">
        <v>199.47</v>
      </c>
      <c r="L309" s="19">
        <v>30578.6</v>
      </c>
      <c r="M309" s="19">
        <v>18949.65</v>
      </c>
      <c r="N309" s="19">
        <v>11628.949999999997</v>
      </c>
      <c r="O309" s="20">
        <v>0.3802970050950664</v>
      </c>
    </row>
    <row r="310" ht="15.75" customHeight="1">
      <c r="B310" s="16" t="s">
        <v>339</v>
      </c>
      <c r="C310" s="16" t="s">
        <v>20</v>
      </c>
      <c r="D310" s="16" t="s">
        <v>34</v>
      </c>
      <c r="E310" s="16" t="s">
        <v>39</v>
      </c>
      <c r="F310" s="16" t="s">
        <v>27</v>
      </c>
      <c r="G310" s="16" t="s">
        <v>18</v>
      </c>
      <c r="H310" s="17">
        <v>45233.0</v>
      </c>
      <c r="I310" s="18">
        <v>101.0</v>
      </c>
      <c r="J310" s="19">
        <v>139.22</v>
      </c>
      <c r="K310" s="19">
        <v>72.94</v>
      </c>
      <c r="L310" s="19">
        <v>14061.22</v>
      </c>
      <c r="M310" s="19">
        <v>7366.94</v>
      </c>
      <c r="N310" s="19">
        <v>6694.28</v>
      </c>
      <c r="O310" s="20">
        <v>0.47608102284154574</v>
      </c>
    </row>
    <row r="311" ht="15.75" customHeight="1">
      <c r="B311" s="16" t="s">
        <v>340</v>
      </c>
      <c r="C311" s="16" t="s">
        <v>52</v>
      </c>
      <c r="D311" s="16" t="s">
        <v>54</v>
      </c>
      <c r="E311" s="16" t="s">
        <v>39</v>
      </c>
      <c r="F311" s="16" t="s">
        <v>17</v>
      </c>
      <c r="G311" s="16" t="s">
        <v>31</v>
      </c>
      <c r="H311" s="17">
        <v>45234.0</v>
      </c>
      <c r="I311" s="18">
        <v>157.0</v>
      </c>
      <c r="J311" s="19">
        <v>249.64520588235297</v>
      </c>
      <c r="K311" s="19">
        <v>274.99</v>
      </c>
      <c r="L311" s="19">
        <v>39194.29732352942</v>
      </c>
      <c r="M311" s="19">
        <v>43173.43</v>
      </c>
      <c r="N311" s="19">
        <v>-3979.132676470581</v>
      </c>
      <c r="O311" s="20">
        <v>-0.10152325588655975</v>
      </c>
    </row>
    <row r="312" ht="15.75" customHeight="1">
      <c r="B312" s="16" t="s">
        <v>341</v>
      </c>
      <c r="C312" s="16" t="s">
        <v>20</v>
      </c>
      <c r="D312" s="16" t="s">
        <v>15</v>
      </c>
      <c r="E312" s="16" t="s">
        <v>22</v>
      </c>
      <c r="F312" s="16" t="s">
        <v>17</v>
      </c>
      <c r="G312" s="16" t="s">
        <v>18</v>
      </c>
      <c r="H312" s="17">
        <v>45235.0</v>
      </c>
      <c r="I312" s="18">
        <v>170.0</v>
      </c>
      <c r="J312" s="19">
        <v>341.67</v>
      </c>
      <c r="K312" s="19">
        <v>396.47</v>
      </c>
      <c r="L312" s="19">
        <v>58083.9</v>
      </c>
      <c r="M312" s="19">
        <v>67399.90000000001</v>
      </c>
      <c r="N312" s="19">
        <v>-9316.000000000007</v>
      </c>
      <c r="O312" s="20">
        <v>-0.16038867913483784</v>
      </c>
    </row>
    <row r="313" ht="15.75" customHeight="1">
      <c r="B313" s="16" t="s">
        <v>342</v>
      </c>
      <c r="C313" s="16" t="s">
        <v>52</v>
      </c>
      <c r="D313" s="16" t="s">
        <v>54</v>
      </c>
      <c r="E313" s="16" t="s">
        <v>46</v>
      </c>
      <c r="F313" s="16" t="s">
        <v>17</v>
      </c>
      <c r="G313" s="16" t="s">
        <v>18</v>
      </c>
      <c r="H313" s="17">
        <v>45236.0</v>
      </c>
      <c r="I313" s="18">
        <v>211.0</v>
      </c>
      <c r="J313" s="19">
        <v>119.26</v>
      </c>
      <c r="K313" s="19">
        <v>299.39</v>
      </c>
      <c r="L313" s="19">
        <v>25163.86</v>
      </c>
      <c r="M313" s="19">
        <v>63171.28999999999</v>
      </c>
      <c r="N313" s="19">
        <v>-38007.42999999999</v>
      </c>
      <c r="O313" s="20">
        <v>-1.5103974509475093</v>
      </c>
    </row>
    <row r="314" ht="15.75" customHeight="1">
      <c r="B314" s="16" t="s">
        <v>343</v>
      </c>
      <c r="C314" s="16" t="s">
        <v>20</v>
      </c>
      <c r="D314" s="16" t="s">
        <v>21</v>
      </c>
      <c r="E314" s="16" t="s">
        <v>30</v>
      </c>
      <c r="F314" s="16" t="s">
        <v>17</v>
      </c>
      <c r="G314" s="16" t="s">
        <v>31</v>
      </c>
      <c r="H314" s="17">
        <v>45237.0</v>
      </c>
      <c r="I314" s="18">
        <v>433.0</v>
      </c>
      <c r="J314" s="19">
        <v>231.15</v>
      </c>
      <c r="K314" s="19">
        <v>296.51</v>
      </c>
      <c r="L314" s="19">
        <v>100087.95</v>
      </c>
      <c r="M314" s="19">
        <v>128388.83</v>
      </c>
      <c r="N314" s="19">
        <v>-28300.880000000005</v>
      </c>
      <c r="O314" s="20">
        <v>-0.28276011248107297</v>
      </c>
    </row>
    <row r="315" ht="15.75" customHeight="1">
      <c r="B315" s="16" t="s">
        <v>344</v>
      </c>
      <c r="C315" s="16" t="s">
        <v>14</v>
      </c>
      <c r="D315" s="16" t="s">
        <v>54</v>
      </c>
      <c r="E315" s="16" t="s">
        <v>16</v>
      </c>
      <c r="F315" s="16" t="s">
        <v>27</v>
      </c>
      <c r="G315" s="16" t="s">
        <v>23</v>
      </c>
      <c r="H315" s="17">
        <v>45238.0</v>
      </c>
      <c r="I315" s="18">
        <v>425.0</v>
      </c>
      <c r="J315" s="19">
        <v>99.21</v>
      </c>
      <c r="K315" s="19">
        <v>380.22</v>
      </c>
      <c r="L315" s="19">
        <v>42164.25</v>
      </c>
      <c r="M315" s="19">
        <v>161593.5</v>
      </c>
      <c r="N315" s="19">
        <v>-119429.25</v>
      </c>
      <c r="O315" s="20">
        <v>-2.832476564862413</v>
      </c>
    </row>
    <row r="316" ht="15.75" customHeight="1">
      <c r="B316" s="16" t="s">
        <v>345</v>
      </c>
      <c r="C316" s="16" t="s">
        <v>20</v>
      </c>
      <c r="D316" s="16" t="s">
        <v>54</v>
      </c>
      <c r="E316" s="16" t="s">
        <v>26</v>
      </c>
      <c r="F316" s="16" t="s">
        <v>27</v>
      </c>
      <c r="G316" s="16" t="s">
        <v>31</v>
      </c>
      <c r="H316" s="17">
        <v>45239.0</v>
      </c>
      <c r="I316" s="18">
        <v>251.0</v>
      </c>
      <c r="J316" s="19">
        <v>30.91</v>
      </c>
      <c r="K316" s="19">
        <v>82.77</v>
      </c>
      <c r="L316" s="19">
        <v>7758.41</v>
      </c>
      <c r="M316" s="19">
        <v>20775.27</v>
      </c>
      <c r="N316" s="19">
        <v>-13016.86</v>
      </c>
      <c r="O316" s="20">
        <v>-1.6777741831122615</v>
      </c>
    </row>
    <row r="317" ht="15.75" customHeight="1">
      <c r="B317" s="16" t="s">
        <v>346</v>
      </c>
      <c r="C317" s="16" t="s">
        <v>14</v>
      </c>
      <c r="D317" s="16" t="s">
        <v>29</v>
      </c>
      <c r="E317" s="16" t="s">
        <v>22</v>
      </c>
      <c r="F317" s="16" t="s">
        <v>17</v>
      </c>
      <c r="G317" s="16" t="s">
        <v>18</v>
      </c>
      <c r="H317" s="17">
        <v>45240.0</v>
      </c>
      <c r="I317" s="18">
        <v>255.9029411764706</v>
      </c>
      <c r="J317" s="19">
        <v>192.35</v>
      </c>
      <c r="K317" s="19">
        <v>227.09</v>
      </c>
      <c r="L317" s="19">
        <v>49222.93073529412</v>
      </c>
      <c r="M317" s="19">
        <v>58112.998911764706</v>
      </c>
      <c r="N317" s="19">
        <v>-8890.068176470588</v>
      </c>
      <c r="O317" s="20">
        <v>-0.18060826618144007</v>
      </c>
    </row>
    <row r="318" ht="15.75" customHeight="1">
      <c r="B318" s="16" t="s">
        <v>347</v>
      </c>
      <c r="C318" s="16" t="s">
        <v>14</v>
      </c>
      <c r="D318" s="16" t="s">
        <v>29</v>
      </c>
      <c r="E318" s="16" t="s">
        <v>16</v>
      </c>
      <c r="F318" s="16" t="s">
        <v>17</v>
      </c>
      <c r="G318" s="16" t="s">
        <v>18</v>
      </c>
      <c r="H318" s="17">
        <v>45241.0</v>
      </c>
      <c r="I318" s="18">
        <v>11.0</v>
      </c>
      <c r="J318" s="19">
        <v>184.66</v>
      </c>
      <c r="K318" s="19">
        <v>391.9</v>
      </c>
      <c r="L318" s="19">
        <v>2031.26</v>
      </c>
      <c r="M318" s="19">
        <v>4310.9</v>
      </c>
      <c r="N318" s="19">
        <v>-2279.6399999999994</v>
      </c>
      <c r="O318" s="20">
        <v>-1.1222787826275313</v>
      </c>
    </row>
    <row r="319" ht="15.75" customHeight="1">
      <c r="B319" s="16" t="s">
        <v>348</v>
      </c>
      <c r="C319" s="16" t="s">
        <v>20</v>
      </c>
      <c r="D319" s="16" t="s">
        <v>29</v>
      </c>
      <c r="E319" s="16" t="s">
        <v>26</v>
      </c>
      <c r="F319" s="16" t="s">
        <v>17</v>
      </c>
      <c r="G319" s="16" t="s">
        <v>31</v>
      </c>
      <c r="H319" s="17">
        <v>45242.0</v>
      </c>
      <c r="I319" s="18">
        <v>234.0</v>
      </c>
      <c r="J319" s="19">
        <v>497.76</v>
      </c>
      <c r="K319" s="19">
        <v>67.79</v>
      </c>
      <c r="L319" s="19">
        <v>116475.84</v>
      </c>
      <c r="M319" s="19">
        <v>15862.86</v>
      </c>
      <c r="N319" s="19">
        <v>100612.98</v>
      </c>
      <c r="O319" s="20">
        <v>0.863809868209579</v>
      </c>
    </row>
    <row r="320" ht="15.75" customHeight="1">
      <c r="B320" s="16" t="s">
        <v>349</v>
      </c>
      <c r="C320" s="16" t="s">
        <v>14</v>
      </c>
      <c r="D320" s="16" t="s">
        <v>54</v>
      </c>
      <c r="E320" s="16" t="s">
        <v>26</v>
      </c>
      <c r="F320" s="16" t="s">
        <v>17</v>
      </c>
      <c r="G320" s="16" t="s">
        <v>23</v>
      </c>
      <c r="H320" s="17">
        <v>45243.0</v>
      </c>
      <c r="I320" s="18">
        <v>255.9029411764706</v>
      </c>
      <c r="J320" s="19">
        <v>225.94</v>
      </c>
      <c r="K320" s="19">
        <v>280.7</v>
      </c>
      <c r="L320" s="19">
        <v>57818.710529411765</v>
      </c>
      <c r="M320" s="19">
        <v>71831.95558823529</v>
      </c>
      <c r="N320" s="19">
        <v>-14013.245058823522</v>
      </c>
      <c r="O320" s="20">
        <v>-0.24236522970700175</v>
      </c>
    </row>
    <row r="321" ht="15.75" customHeight="1">
      <c r="B321" s="16" t="s">
        <v>350</v>
      </c>
      <c r="C321" s="16" t="s">
        <v>25</v>
      </c>
      <c r="D321" s="16" t="s">
        <v>34</v>
      </c>
      <c r="E321" s="16" t="s">
        <v>46</v>
      </c>
      <c r="F321" s="16" t="s">
        <v>17</v>
      </c>
      <c r="G321" s="16" t="s">
        <v>23</v>
      </c>
      <c r="H321" s="17">
        <v>45244.0</v>
      </c>
      <c r="I321" s="18">
        <v>242.0</v>
      </c>
      <c r="J321" s="19">
        <v>170.12</v>
      </c>
      <c r="K321" s="19">
        <v>235.15</v>
      </c>
      <c r="L321" s="19">
        <v>41169.04</v>
      </c>
      <c r="M321" s="19">
        <v>56906.3</v>
      </c>
      <c r="N321" s="19">
        <v>-15737.260000000002</v>
      </c>
      <c r="O321" s="20">
        <v>-0.38225958147190225</v>
      </c>
    </row>
    <row r="322" ht="15.75" customHeight="1">
      <c r="B322" s="16" t="s">
        <v>351</v>
      </c>
      <c r="C322" s="16" t="s">
        <v>14</v>
      </c>
      <c r="D322" s="16" t="s">
        <v>54</v>
      </c>
      <c r="E322" s="16" t="s">
        <v>30</v>
      </c>
      <c r="F322" s="16" t="s">
        <v>17</v>
      </c>
      <c r="G322" s="16" t="s">
        <v>18</v>
      </c>
      <c r="H322" s="17">
        <v>45245.0</v>
      </c>
      <c r="I322" s="18">
        <v>470.0</v>
      </c>
      <c r="J322" s="19">
        <v>292.34</v>
      </c>
      <c r="K322" s="19">
        <v>235.42</v>
      </c>
      <c r="L322" s="19">
        <v>137399.8</v>
      </c>
      <c r="M322" s="19">
        <v>110647.4</v>
      </c>
      <c r="N322" s="19">
        <v>26752.399999999994</v>
      </c>
      <c r="O322" s="20">
        <v>0.1947047957857289</v>
      </c>
    </row>
    <row r="323" ht="15.75" customHeight="1">
      <c r="B323" s="16" t="s">
        <v>352</v>
      </c>
      <c r="C323" s="16" t="s">
        <v>52</v>
      </c>
      <c r="D323" s="16" t="s">
        <v>34</v>
      </c>
      <c r="E323" s="16" t="s">
        <v>30</v>
      </c>
      <c r="F323" s="16" t="s">
        <v>27</v>
      </c>
      <c r="G323" s="16" t="s">
        <v>18</v>
      </c>
      <c r="H323" s="17">
        <v>45246.0</v>
      </c>
      <c r="I323" s="18">
        <v>423.0</v>
      </c>
      <c r="J323" s="19">
        <v>48.94</v>
      </c>
      <c r="K323" s="19">
        <v>279.67</v>
      </c>
      <c r="L323" s="19">
        <v>20701.62</v>
      </c>
      <c r="M323" s="19">
        <v>118300.41</v>
      </c>
      <c r="N323" s="19">
        <v>-97598.79000000001</v>
      </c>
      <c r="O323" s="20">
        <v>-4.714548426644872</v>
      </c>
    </row>
    <row r="324" ht="15.75" customHeight="1">
      <c r="B324" s="16" t="s">
        <v>353</v>
      </c>
      <c r="C324" s="16" t="s">
        <v>20</v>
      </c>
      <c r="D324" s="16" t="s">
        <v>34</v>
      </c>
      <c r="E324" s="16" t="s">
        <v>16</v>
      </c>
      <c r="F324" s="16" t="s">
        <v>17</v>
      </c>
      <c r="G324" s="16" t="s">
        <v>23</v>
      </c>
      <c r="H324" s="17">
        <v>45247.0</v>
      </c>
      <c r="I324" s="18">
        <v>426.0</v>
      </c>
      <c r="J324" s="19">
        <v>481.02</v>
      </c>
      <c r="K324" s="19">
        <v>371.99</v>
      </c>
      <c r="L324" s="19">
        <v>204914.52</v>
      </c>
      <c r="M324" s="19">
        <v>158467.74</v>
      </c>
      <c r="N324" s="19">
        <v>46446.78</v>
      </c>
      <c r="O324" s="20">
        <v>0.22666417196790156</v>
      </c>
    </row>
    <row r="325" ht="15.75" customHeight="1">
      <c r="B325" s="16" t="s">
        <v>354</v>
      </c>
      <c r="C325" s="16" t="s">
        <v>25</v>
      </c>
      <c r="D325" s="16" t="s">
        <v>29</v>
      </c>
      <c r="E325" s="16" t="s">
        <v>30</v>
      </c>
      <c r="F325" s="16" t="s">
        <v>27</v>
      </c>
      <c r="G325" s="16" t="s">
        <v>31</v>
      </c>
      <c r="H325" s="17">
        <v>45248.0</v>
      </c>
      <c r="I325" s="18">
        <v>86.0</v>
      </c>
      <c r="J325" s="19">
        <v>319.31</v>
      </c>
      <c r="K325" s="19">
        <v>313.47</v>
      </c>
      <c r="L325" s="19">
        <v>27460.66</v>
      </c>
      <c r="M325" s="19">
        <v>26958.420000000002</v>
      </c>
      <c r="N325" s="19">
        <v>502.23999999999796</v>
      </c>
      <c r="O325" s="20">
        <v>0.01828943659766364</v>
      </c>
    </row>
    <row r="326" ht="15.75" customHeight="1">
      <c r="B326" s="16" t="s">
        <v>355</v>
      </c>
      <c r="C326" s="16" t="s">
        <v>20</v>
      </c>
      <c r="D326" s="16" t="s">
        <v>15</v>
      </c>
      <c r="E326" s="16" t="s">
        <v>22</v>
      </c>
      <c r="F326" s="16" t="s">
        <v>27</v>
      </c>
      <c r="G326" s="16" t="s">
        <v>18</v>
      </c>
      <c r="H326" s="17">
        <v>45249.0</v>
      </c>
      <c r="I326" s="18">
        <v>125.0</v>
      </c>
      <c r="J326" s="19">
        <v>378.64</v>
      </c>
      <c r="K326" s="19">
        <v>24.34</v>
      </c>
      <c r="L326" s="19">
        <v>47330.0</v>
      </c>
      <c r="M326" s="19">
        <v>3042.5</v>
      </c>
      <c r="N326" s="19">
        <v>44287.5</v>
      </c>
      <c r="O326" s="20">
        <v>0.9357173040354955</v>
      </c>
    </row>
    <row r="327" ht="15.75" customHeight="1">
      <c r="B327" s="16" t="s">
        <v>356</v>
      </c>
      <c r="C327" s="16" t="s">
        <v>52</v>
      </c>
      <c r="D327" s="16" t="s">
        <v>21</v>
      </c>
      <c r="E327" s="16" t="s">
        <v>39</v>
      </c>
      <c r="F327" s="16" t="s">
        <v>17</v>
      </c>
      <c r="G327" s="16" t="s">
        <v>18</v>
      </c>
      <c r="H327" s="17">
        <v>45250.0</v>
      </c>
      <c r="I327" s="18">
        <v>163.0</v>
      </c>
      <c r="J327" s="19">
        <v>89.39</v>
      </c>
      <c r="K327" s="19">
        <v>341.39</v>
      </c>
      <c r="L327" s="19">
        <v>14570.57</v>
      </c>
      <c r="M327" s="19">
        <v>55646.57</v>
      </c>
      <c r="N327" s="19">
        <v>-41076.0</v>
      </c>
      <c r="O327" s="20">
        <v>-2.8191072826938135</v>
      </c>
    </row>
    <row r="328" ht="15.75" customHeight="1">
      <c r="B328" s="16" t="s">
        <v>357</v>
      </c>
      <c r="C328" s="16" t="s">
        <v>52</v>
      </c>
      <c r="D328" s="16" t="s">
        <v>29</v>
      </c>
      <c r="E328" s="16" t="s">
        <v>16</v>
      </c>
      <c r="F328" s="16" t="s">
        <v>27</v>
      </c>
      <c r="G328" s="16" t="s">
        <v>23</v>
      </c>
      <c r="H328" s="17">
        <v>45251.0</v>
      </c>
      <c r="I328" s="18">
        <v>415.0</v>
      </c>
      <c r="J328" s="19">
        <v>207.69</v>
      </c>
      <c r="K328" s="19">
        <v>91.77</v>
      </c>
      <c r="L328" s="19">
        <v>86191.35</v>
      </c>
      <c r="M328" s="19">
        <v>38084.549999999996</v>
      </c>
      <c r="N328" s="19">
        <v>48106.80000000001</v>
      </c>
      <c r="O328" s="20">
        <v>0.558139534883721</v>
      </c>
    </row>
    <row r="329" ht="15.75" customHeight="1">
      <c r="B329" s="16" t="s">
        <v>358</v>
      </c>
      <c r="C329" s="16" t="s">
        <v>52</v>
      </c>
      <c r="D329" s="16" t="s">
        <v>29</v>
      </c>
      <c r="E329" s="16" t="s">
        <v>30</v>
      </c>
      <c r="F329" s="16" t="s">
        <v>27</v>
      </c>
      <c r="G329" s="16" t="s">
        <v>31</v>
      </c>
      <c r="H329" s="17">
        <v>45252.0</v>
      </c>
      <c r="I329" s="18">
        <v>112.0</v>
      </c>
      <c r="J329" s="19">
        <v>214.23</v>
      </c>
      <c r="K329" s="19">
        <v>152.01</v>
      </c>
      <c r="L329" s="19">
        <v>23993.76</v>
      </c>
      <c r="M329" s="19">
        <v>17025.12</v>
      </c>
      <c r="N329" s="19">
        <v>6968.639999999999</v>
      </c>
      <c r="O329" s="20">
        <v>0.2904355132334407</v>
      </c>
    </row>
    <row r="330" ht="15.75" customHeight="1">
      <c r="B330" s="16" t="s">
        <v>359</v>
      </c>
      <c r="C330" s="16" t="s">
        <v>14</v>
      </c>
      <c r="D330" s="16" t="s">
        <v>15</v>
      </c>
      <c r="E330" s="16" t="s">
        <v>22</v>
      </c>
      <c r="F330" s="16" t="s">
        <v>27</v>
      </c>
      <c r="G330" s="16" t="s">
        <v>23</v>
      </c>
      <c r="H330" s="17">
        <v>45253.0</v>
      </c>
      <c r="I330" s="18">
        <v>203.0</v>
      </c>
      <c r="J330" s="19">
        <v>411.79</v>
      </c>
      <c r="K330" s="19">
        <v>185.77</v>
      </c>
      <c r="L330" s="19">
        <v>83593.37000000001</v>
      </c>
      <c r="M330" s="19">
        <v>37711.310000000005</v>
      </c>
      <c r="N330" s="19">
        <v>45882.060000000005</v>
      </c>
      <c r="O330" s="20">
        <v>0.5488719978629885</v>
      </c>
    </row>
    <row r="331" ht="15.75" customHeight="1">
      <c r="B331" s="16" t="s">
        <v>360</v>
      </c>
      <c r="C331" s="16" t="s">
        <v>14</v>
      </c>
      <c r="D331" s="16" t="s">
        <v>21</v>
      </c>
      <c r="E331" s="16" t="s">
        <v>46</v>
      </c>
      <c r="F331" s="16" t="s">
        <v>27</v>
      </c>
      <c r="G331" s="16" t="s">
        <v>31</v>
      </c>
      <c r="H331" s="17">
        <v>45254.0</v>
      </c>
      <c r="I331" s="18">
        <v>255.9029411764706</v>
      </c>
      <c r="J331" s="19">
        <v>5.61</v>
      </c>
      <c r="K331" s="19">
        <v>193.4</v>
      </c>
      <c r="L331" s="19">
        <v>1435.6155</v>
      </c>
      <c r="M331" s="19">
        <v>49491.62882352941</v>
      </c>
      <c r="N331" s="19">
        <v>-48056.01332352941</v>
      </c>
      <c r="O331" s="20">
        <v>-33.474153297682705</v>
      </c>
    </row>
    <row r="332" ht="15.75" customHeight="1">
      <c r="B332" s="16" t="s">
        <v>361</v>
      </c>
      <c r="C332" s="16" t="s">
        <v>20</v>
      </c>
      <c r="D332" s="16" t="s">
        <v>54</v>
      </c>
      <c r="E332" s="16" t="s">
        <v>16</v>
      </c>
      <c r="F332" s="16" t="s">
        <v>27</v>
      </c>
      <c r="G332" s="16" t="s">
        <v>31</v>
      </c>
      <c r="H332" s="17">
        <v>45255.0</v>
      </c>
      <c r="I332" s="18">
        <v>368.0</v>
      </c>
      <c r="J332" s="19">
        <v>153.92</v>
      </c>
      <c r="K332" s="19">
        <v>175.2</v>
      </c>
      <c r="L332" s="19">
        <v>56642.56</v>
      </c>
      <c r="M332" s="19">
        <v>64473.6</v>
      </c>
      <c r="N332" s="19">
        <v>-7831.040000000001</v>
      </c>
      <c r="O332" s="20">
        <v>-0.13825363825363826</v>
      </c>
    </row>
    <row r="333" ht="15.75" customHeight="1">
      <c r="B333" s="16" t="s">
        <v>362</v>
      </c>
      <c r="C333" s="16" t="s">
        <v>20</v>
      </c>
      <c r="D333" s="16" t="s">
        <v>54</v>
      </c>
      <c r="E333" s="16" t="s">
        <v>46</v>
      </c>
      <c r="F333" s="16" t="s">
        <v>27</v>
      </c>
      <c r="G333" s="16" t="s">
        <v>31</v>
      </c>
      <c r="H333" s="17">
        <v>45256.0</v>
      </c>
      <c r="I333" s="18">
        <v>99.0</v>
      </c>
      <c r="J333" s="19">
        <v>490.71</v>
      </c>
      <c r="K333" s="19">
        <v>375.07</v>
      </c>
      <c r="L333" s="19">
        <v>48580.29</v>
      </c>
      <c r="M333" s="19">
        <v>37131.93</v>
      </c>
      <c r="N333" s="19">
        <v>11448.36</v>
      </c>
      <c r="O333" s="20">
        <v>0.2356585355912861</v>
      </c>
    </row>
    <row r="334" ht="15.75" customHeight="1">
      <c r="B334" s="16" t="s">
        <v>363</v>
      </c>
      <c r="C334" s="16" t="s">
        <v>25</v>
      </c>
      <c r="D334" s="16" t="s">
        <v>29</v>
      </c>
      <c r="E334" s="16" t="s">
        <v>46</v>
      </c>
      <c r="F334" s="16" t="s">
        <v>17</v>
      </c>
      <c r="G334" s="16" t="s">
        <v>18</v>
      </c>
      <c r="H334" s="17">
        <v>45257.0</v>
      </c>
      <c r="I334" s="18">
        <v>183.0</v>
      </c>
      <c r="J334" s="19">
        <v>240.07</v>
      </c>
      <c r="K334" s="19">
        <v>283.0</v>
      </c>
      <c r="L334" s="19">
        <v>43932.81</v>
      </c>
      <c r="M334" s="19">
        <v>51789.0</v>
      </c>
      <c r="N334" s="19">
        <v>-7856.190000000002</v>
      </c>
      <c r="O334" s="20">
        <v>-0.17882284333736</v>
      </c>
    </row>
    <row r="335" ht="15.75" customHeight="1">
      <c r="B335" s="16" t="s">
        <v>364</v>
      </c>
      <c r="C335" s="16" t="s">
        <v>39</v>
      </c>
      <c r="D335" s="16" t="s">
        <v>21</v>
      </c>
      <c r="E335" s="16" t="s">
        <v>46</v>
      </c>
      <c r="F335" s="16" t="s">
        <v>27</v>
      </c>
      <c r="G335" s="16" t="s">
        <v>23</v>
      </c>
      <c r="H335" s="17">
        <v>45258.0</v>
      </c>
      <c r="I335" s="18">
        <v>131.0</v>
      </c>
      <c r="J335" s="19">
        <v>194.35</v>
      </c>
      <c r="K335" s="19">
        <v>253.21</v>
      </c>
      <c r="L335" s="19">
        <v>25459.85</v>
      </c>
      <c r="M335" s="19">
        <v>33170.51</v>
      </c>
      <c r="N335" s="19">
        <v>-7710.6600000000035</v>
      </c>
      <c r="O335" s="20">
        <v>-0.3028556727553385</v>
      </c>
    </row>
    <row r="336" ht="15.75" customHeight="1">
      <c r="B336" s="16" t="s">
        <v>365</v>
      </c>
      <c r="C336" s="16" t="s">
        <v>20</v>
      </c>
      <c r="D336" s="16" t="s">
        <v>29</v>
      </c>
      <c r="E336" s="16" t="s">
        <v>26</v>
      </c>
      <c r="F336" s="16" t="s">
        <v>27</v>
      </c>
      <c r="G336" s="16" t="s">
        <v>23</v>
      </c>
      <c r="H336" s="17">
        <v>45259.0</v>
      </c>
      <c r="I336" s="18">
        <v>152.0</v>
      </c>
      <c r="J336" s="19">
        <v>64.32</v>
      </c>
      <c r="K336" s="19">
        <v>21.84</v>
      </c>
      <c r="L336" s="19">
        <v>9776.64</v>
      </c>
      <c r="M336" s="19">
        <v>3319.68</v>
      </c>
      <c r="N336" s="19">
        <v>6456.959999999999</v>
      </c>
      <c r="O336" s="20">
        <v>0.6604477611940298</v>
      </c>
    </row>
    <row r="337" ht="15.75" customHeight="1">
      <c r="B337" s="16" t="s">
        <v>366</v>
      </c>
      <c r="C337" s="16" t="s">
        <v>14</v>
      </c>
      <c r="D337" s="16" t="s">
        <v>34</v>
      </c>
      <c r="E337" s="16" t="s">
        <v>26</v>
      </c>
      <c r="F337" s="16" t="s">
        <v>27</v>
      </c>
      <c r="G337" s="16" t="s">
        <v>31</v>
      </c>
      <c r="H337" s="17">
        <v>45260.0</v>
      </c>
      <c r="I337" s="18">
        <v>491.0</v>
      </c>
      <c r="J337" s="19">
        <v>487.21</v>
      </c>
      <c r="K337" s="19">
        <v>361.76</v>
      </c>
      <c r="L337" s="19">
        <v>239220.11</v>
      </c>
      <c r="M337" s="19">
        <v>177624.16</v>
      </c>
      <c r="N337" s="19">
        <v>61595.94999999998</v>
      </c>
      <c r="O337" s="20">
        <v>0.2574865047925945</v>
      </c>
    </row>
    <row r="338" ht="15.75" customHeight="1">
      <c r="B338" s="16" t="s">
        <v>367</v>
      </c>
      <c r="C338" s="16" t="s">
        <v>52</v>
      </c>
      <c r="D338" s="16" t="s">
        <v>29</v>
      </c>
      <c r="E338" s="16" t="s">
        <v>46</v>
      </c>
      <c r="F338" s="16" t="s">
        <v>17</v>
      </c>
      <c r="G338" s="16" t="s">
        <v>18</v>
      </c>
      <c r="H338" s="17">
        <v>45261.0</v>
      </c>
      <c r="I338" s="18">
        <v>115.0</v>
      </c>
      <c r="J338" s="19">
        <v>14.91</v>
      </c>
      <c r="K338" s="19">
        <v>363.94</v>
      </c>
      <c r="L338" s="19">
        <v>1714.65</v>
      </c>
      <c r="M338" s="19">
        <v>41853.1</v>
      </c>
      <c r="N338" s="19">
        <v>-40138.45</v>
      </c>
      <c r="O338" s="20">
        <v>-23.409121395036884</v>
      </c>
    </row>
    <row r="339" ht="15.75" customHeight="1">
      <c r="B339" s="16" t="s">
        <v>368</v>
      </c>
      <c r="C339" s="16" t="s">
        <v>20</v>
      </c>
      <c r="D339" s="16" t="s">
        <v>29</v>
      </c>
      <c r="E339" s="16" t="s">
        <v>16</v>
      </c>
      <c r="F339" s="16" t="s">
        <v>27</v>
      </c>
      <c r="G339" s="16" t="s">
        <v>18</v>
      </c>
      <c r="H339" s="17">
        <v>45262.0</v>
      </c>
      <c r="I339" s="18">
        <v>384.0</v>
      </c>
      <c r="J339" s="19">
        <v>369.9</v>
      </c>
      <c r="K339" s="19">
        <v>312.52</v>
      </c>
      <c r="L339" s="19">
        <v>142041.59999999998</v>
      </c>
      <c r="M339" s="19">
        <v>120007.68</v>
      </c>
      <c r="N339" s="19">
        <v>22033.919999999984</v>
      </c>
      <c r="O339" s="20">
        <v>0.15512300621789665</v>
      </c>
    </row>
    <row r="340" ht="15.75" customHeight="1">
      <c r="B340" s="16" t="s">
        <v>369</v>
      </c>
      <c r="C340" s="16" t="s">
        <v>25</v>
      </c>
      <c r="D340" s="16" t="s">
        <v>54</v>
      </c>
      <c r="E340" s="16" t="s">
        <v>22</v>
      </c>
      <c r="F340" s="16" t="s">
        <v>17</v>
      </c>
      <c r="G340" s="16" t="s">
        <v>23</v>
      </c>
      <c r="H340" s="17">
        <v>45263.0</v>
      </c>
      <c r="I340" s="18">
        <v>437.0</v>
      </c>
      <c r="J340" s="19">
        <v>385.46</v>
      </c>
      <c r="K340" s="19">
        <v>4.8</v>
      </c>
      <c r="L340" s="19">
        <v>168446.02</v>
      </c>
      <c r="M340" s="19">
        <v>2097.6</v>
      </c>
      <c r="N340" s="19">
        <v>166348.41999999998</v>
      </c>
      <c r="O340" s="20">
        <v>0.9875473460281222</v>
      </c>
    </row>
    <row r="341" ht="15.75" customHeight="1">
      <c r="B341" s="16" t="s">
        <v>370</v>
      </c>
      <c r="C341" s="16" t="s">
        <v>14</v>
      </c>
      <c r="D341" s="16" t="s">
        <v>54</v>
      </c>
      <c r="E341" s="16" t="s">
        <v>22</v>
      </c>
      <c r="F341" s="16" t="s">
        <v>27</v>
      </c>
      <c r="G341" s="16" t="s">
        <v>18</v>
      </c>
      <c r="H341" s="17">
        <v>45264.0</v>
      </c>
      <c r="I341" s="18">
        <v>314.0</v>
      </c>
      <c r="J341" s="19">
        <v>125.61</v>
      </c>
      <c r="K341" s="19">
        <v>24.8</v>
      </c>
      <c r="L341" s="19">
        <v>39441.54</v>
      </c>
      <c r="M341" s="19">
        <v>7787.2</v>
      </c>
      <c r="N341" s="19">
        <v>31654.34</v>
      </c>
      <c r="O341" s="20">
        <v>0.8025634901679802</v>
      </c>
    </row>
    <row r="342" ht="15.75" customHeight="1">
      <c r="B342" s="16" t="s">
        <v>371</v>
      </c>
      <c r="C342" s="16" t="s">
        <v>20</v>
      </c>
      <c r="D342" s="16" t="s">
        <v>54</v>
      </c>
      <c r="E342" s="16" t="s">
        <v>30</v>
      </c>
      <c r="F342" s="16" t="s">
        <v>17</v>
      </c>
      <c r="G342" s="16" t="s">
        <v>18</v>
      </c>
      <c r="H342" s="17">
        <v>45265.0</v>
      </c>
      <c r="I342" s="18">
        <v>369.0</v>
      </c>
      <c r="J342" s="19">
        <v>337.42</v>
      </c>
      <c r="K342" s="19">
        <v>91.64</v>
      </c>
      <c r="L342" s="19">
        <v>124507.98000000001</v>
      </c>
      <c r="M342" s="19">
        <v>33815.16</v>
      </c>
      <c r="N342" s="19">
        <v>90692.82</v>
      </c>
      <c r="O342" s="20">
        <v>0.7284096971133899</v>
      </c>
    </row>
    <row r="343" ht="15.75" customHeight="1">
      <c r="B343" s="16" t="s">
        <v>372</v>
      </c>
      <c r="C343" s="16" t="s">
        <v>20</v>
      </c>
      <c r="D343" s="16" t="s">
        <v>34</v>
      </c>
      <c r="E343" s="16" t="s">
        <v>16</v>
      </c>
      <c r="F343" s="16" t="s">
        <v>17</v>
      </c>
      <c r="G343" s="16" t="s">
        <v>31</v>
      </c>
      <c r="H343" s="17">
        <v>45266.0</v>
      </c>
      <c r="I343" s="18">
        <v>468.0</v>
      </c>
      <c r="J343" s="19">
        <v>51.0</v>
      </c>
      <c r="K343" s="19">
        <v>54.28</v>
      </c>
      <c r="L343" s="19">
        <v>23868.0</v>
      </c>
      <c r="M343" s="19">
        <v>25403.04</v>
      </c>
      <c r="N343" s="19">
        <v>-1535.0400000000009</v>
      </c>
      <c r="O343" s="20">
        <v>-0.06431372549019612</v>
      </c>
    </row>
    <row r="344" ht="15.75" customHeight="1">
      <c r="B344" s="16" t="s">
        <v>373</v>
      </c>
      <c r="C344" s="16" t="s">
        <v>14</v>
      </c>
      <c r="D344" s="16" t="s">
        <v>54</v>
      </c>
      <c r="E344" s="16" t="s">
        <v>26</v>
      </c>
      <c r="F344" s="16" t="s">
        <v>27</v>
      </c>
      <c r="G344" s="16" t="s">
        <v>18</v>
      </c>
      <c r="H344" s="17">
        <v>45267.0</v>
      </c>
      <c r="I344" s="18">
        <v>326.0</v>
      </c>
      <c r="J344" s="19">
        <v>132.24</v>
      </c>
      <c r="K344" s="19">
        <v>160.74</v>
      </c>
      <c r="L344" s="19">
        <v>43110.240000000005</v>
      </c>
      <c r="M344" s="19">
        <v>52401.240000000005</v>
      </c>
      <c r="N344" s="19">
        <v>-9291.0</v>
      </c>
      <c r="O344" s="20">
        <v>-0.21551724137931033</v>
      </c>
    </row>
    <row r="345" ht="15.75" customHeight="1">
      <c r="B345" s="16" t="s">
        <v>374</v>
      </c>
      <c r="C345" s="16" t="s">
        <v>20</v>
      </c>
      <c r="D345" s="16" t="s">
        <v>21</v>
      </c>
      <c r="E345" s="16" t="s">
        <v>46</v>
      </c>
      <c r="F345" s="16" t="s">
        <v>27</v>
      </c>
      <c r="G345" s="16" t="s">
        <v>31</v>
      </c>
      <c r="H345" s="17">
        <v>45268.0</v>
      </c>
      <c r="I345" s="18">
        <v>460.0</v>
      </c>
      <c r="J345" s="19">
        <v>395.01</v>
      </c>
      <c r="K345" s="19">
        <v>369.2</v>
      </c>
      <c r="L345" s="19">
        <v>181704.6</v>
      </c>
      <c r="M345" s="19">
        <v>169832.0</v>
      </c>
      <c r="N345" s="19">
        <v>11872.600000000006</v>
      </c>
      <c r="O345" s="20">
        <v>0.06534011797169695</v>
      </c>
    </row>
    <row r="346" ht="15.75" customHeight="1">
      <c r="B346" s="16" t="s">
        <v>375</v>
      </c>
      <c r="C346" s="16" t="s">
        <v>14</v>
      </c>
      <c r="D346" s="16" t="s">
        <v>15</v>
      </c>
      <c r="E346" s="16" t="s">
        <v>30</v>
      </c>
      <c r="F346" s="16" t="s">
        <v>17</v>
      </c>
      <c r="G346" s="16" t="s">
        <v>23</v>
      </c>
      <c r="H346" s="17">
        <v>45269.0</v>
      </c>
      <c r="I346" s="18">
        <v>132.0</v>
      </c>
      <c r="J346" s="19">
        <v>433.02</v>
      </c>
      <c r="K346" s="19">
        <v>189.88</v>
      </c>
      <c r="L346" s="19">
        <v>57158.64</v>
      </c>
      <c r="M346" s="19">
        <v>25064.16</v>
      </c>
      <c r="N346" s="19">
        <v>32094.48</v>
      </c>
      <c r="O346" s="20">
        <v>0.5614983141656275</v>
      </c>
    </row>
    <row r="347" ht="15.75" customHeight="1">
      <c r="B347" s="16" t="s">
        <v>376</v>
      </c>
      <c r="C347" s="16" t="s">
        <v>52</v>
      </c>
      <c r="D347" s="16" t="s">
        <v>21</v>
      </c>
      <c r="E347" s="16" t="s">
        <v>22</v>
      </c>
      <c r="F347" s="16" t="s">
        <v>27</v>
      </c>
      <c r="G347" s="16" t="s">
        <v>18</v>
      </c>
      <c r="H347" s="17">
        <v>45270.0</v>
      </c>
      <c r="I347" s="18">
        <v>399.0</v>
      </c>
      <c r="J347" s="19">
        <v>306.2</v>
      </c>
      <c r="K347" s="19">
        <v>7.33</v>
      </c>
      <c r="L347" s="19">
        <v>122173.79999999999</v>
      </c>
      <c r="M347" s="19">
        <v>2924.67</v>
      </c>
      <c r="N347" s="19">
        <v>119249.12999999999</v>
      </c>
      <c r="O347" s="20">
        <v>0.9760613977792293</v>
      </c>
    </row>
    <row r="348" ht="15.75" customHeight="1">
      <c r="B348" s="16" t="s">
        <v>377</v>
      </c>
      <c r="C348" s="16" t="s">
        <v>14</v>
      </c>
      <c r="D348" s="16" t="s">
        <v>21</v>
      </c>
      <c r="E348" s="16" t="s">
        <v>26</v>
      </c>
      <c r="F348" s="16" t="s">
        <v>17</v>
      </c>
      <c r="G348" s="16" t="s">
        <v>23</v>
      </c>
      <c r="H348" s="17">
        <v>45271.0</v>
      </c>
      <c r="I348" s="18">
        <v>18.0</v>
      </c>
      <c r="J348" s="19">
        <v>255.89</v>
      </c>
      <c r="K348" s="19">
        <v>114.53</v>
      </c>
      <c r="L348" s="19">
        <v>4606.0199999999995</v>
      </c>
      <c r="M348" s="19">
        <v>2061.54</v>
      </c>
      <c r="N348" s="19">
        <v>2544.4799999999996</v>
      </c>
      <c r="O348" s="20">
        <v>0.5524248700613544</v>
      </c>
    </row>
    <row r="349" ht="15.75" customHeight="1">
      <c r="B349" s="16" t="s">
        <v>378</v>
      </c>
      <c r="C349" s="16" t="s">
        <v>14</v>
      </c>
      <c r="D349" s="16" t="s">
        <v>54</v>
      </c>
      <c r="E349" s="16" t="s">
        <v>26</v>
      </c>
      <c r="F349" s="16" t="s">
        <v>17</v>
      </c>
      <c r="G349" s="16" t="s">
        <v>23</v>
      </c>
      <c r="H349" s="17">
        <v>45272.0</v>
      </c>
      <c r="I349" s="18">
        <v>271.0</v>
      </c>
      <c r="J349" s="19">
        <v>83.86</v>
      </c>
      <c r="K349" s="19">
        <v>19.75</v>
      </c>
      <c r="L349" s="19">
        <v>22726.06</v>
      </c>
      <c r="M349" s="19">
        <v>5352.25</v>
      </c>
      <c r="N349" s="19">
        <v>17373.81</v>
      </c>
      <c r="O349" s="20">
        <v>0.7644884331027904</v>
      </c>
    </row>
    <row r="350" ht="15.75" customHeight="1">
      <c r="B350" s="16" t="s">
        <v>379</v>
      </c>
      <c r="C350" s="16" t="s">
        <v>39</v>
      </c>
      <c r="D350" s="16" t="s">
        <v>15</v>
      </c>
      <c r="E350" s="16" t="s">
        <v>46</v>
      </c>
      <c r="F350" s="16" t="s">
        <v>17</v>
      </c>
      <c r="G350" s="16" t="s">
        <v>18</v>
      </c>
      <c r="H350" s="17">
        <v>45273.0</v>
      </c>
      <c r="I350" s="18">
        <v>82.0</v>
      </c>
      <c r="J350" s="19">
        <v>36.24</v>
      </c>
      <c r="K350" s="19">
        <v>16.44</v>
      </c>
      <c r="L350" s="19">
        <v>2971.6800000000003</v>
      </c>
      <c r="M350" s="19">
        <v>1348.0800000000002</v>
      </c>
      <c r="N350" s="19">
        <v>1623.6000000000001</v>
      </c>
      <c r="O350" s="20">
        <v>0.5463576158940397</v>
      </c>
    </row>
    <row r="351" ht="15.75" customHeight="1">
      <c r="B351" s="16" t="s">
        <v>380</v>
      </c>
      <c r="C351" s="16" t="s">
        <v>20</v>
      </c>
      <c r="D351" s="16" t="s">
        <v>15</v>
      </c>
      <c r="E351" s="16" t="s">
        <v>22</v>
      </c>
      <c r="F351" s="16" t="s">
        <v>17</v>
      </c>
      <c r="G351" s="16" t="s">
        <v>18</v>
      </c>
      <c r="H351" s="17">
        <v>45274.0</v>
      </c>
      <c r="I351" s="18">
        <v>368.0</v>
      </c>
      <c r="J351" s="19">
        <v>63.24</v>
      </c>
      <c r="K351" s="19">
        <v>111.74</v>
      </c>
      <c r="L351" s="19">
        <v>23272.32</v>
      </c>
      <c r="M351" s="19">
        <v>41120.32</v>
      </c>
      <c r="N351" s="19">
        <v>-17848.0</v>
      </c>
      <c r="O351" s="20">
        <v>-0.7669196710942442</v>
      </c>
    </row>
    <row r="352" ht="15.75" customHeight="1">
      <c r="B352" s="16" t="s">
        <v>381</v>
      </c>
      <c r="C352" s="16" t="s">
        <v>20</v>
      </c>
      <c r="D352" s="16" t="s">
        <v>15</v>
      </c>
      <c r="E352" s="16" t="s">
        <v>16</v>
      </c>
      <c r="F352" s="16" t="s">
        <v>17</v>
      </c>
      <c r="G352" s="16" t="s">
        <v>23</v>
      </c>
      <c r="H352" s="17">
        <v>45275.0</v>
      </c>
      <c r="I352" s="18">
        <v>232.0</v>
      </c>
      <c r="J352" s="19">
        <v>117.54</v>
      </c>
      <c r="K352" s="19">
        <v>111.69</v>
      </c>
      <c r="L352" s="19">
        <v>27269.280000000002</v>
      </c>
      <c r="M352" s="19">
        <v>25912.079999999998</v>
      </c>
      <c r="N352" s="19">
        <v>1357.2000000000044</v>
      </c>
      <c r="O352" s="20">
        <v>0.049770290964778106</v>
      </c>
    </row>
    <row r="353" ht="15.75" customHeight="1">
      <c r="B353" s="16" t="s">
        <v>382</v>
      </c>
      <c r="C353" s="16" t="s">
        <v>14</v>
      </c>
      <c r="D353" s="16" t="s">
        <v>34</v>
      </c>
      <c r="E353" s="16" t="s">
        <v>26</v>
      </c>
      <c r="F353" s="16" t="s">
        <v>27</v>
      </c>
      <c r="G353" s="16" t="s">
        <v>18</v>
      </c>
      <c r="H353" s="17">
        <v>45276.0</v>
      </c>
      <c r="I353" s="18">
        <v>425.0</v>
      </c>
      <c r="J353" s="19">
        <v>174.13</v>
      </c>
      <c r="K353" s="19">
        <v>315.28</v>
      </c>
      <c r="L353" s="19">
        <v>74005.25</v>
      </c>
      <c r="M353" s="19">
        <v>133994.0</v>
      </c>
      <c r="N353" s="19">
        <v>-59988.75</v>
      </c>
      <c r="O353" s="20">
        <v>-0.8106012749095504</v>
      </c>
    </row>
    <row r="354" ht="15.75" customHeight="1">
      <c r="J354" s="12"/>
      <c r="K354" s="12"/>
      <c r="L354" s="12"/>
      <c r="M354" s="12"/>
      <c r="N354" s="12"/>
    </row>
    <row r="355" ht="15.75" customHeight="1">
      <c r="J355" s="12"/>
      <c r="K355" s="12"/>
      <c r="L355" s="12"/>
      <c r="M355" s="12"/>
      <c r="N355" s="12"/>
    </row>
    <row r="356" ht="15.75" customHeight="1">
      <c r="J356" s="12"/>
      <c r="K356" s="12"/>
      <c r="L356" s="12"/>
      <c r="M356" s="12"/>
      <c r="N356" s="12"/>
    </row>
    <row r="357" ht="15.75" customHeight="1">
      <c r="J357" s="12"/>
      <c r="K357" s="12"/>
      <c r="L357" s="12"/>
      <c r="M357" s="12"/>
      <c r="N357" s="12"/>
    </row>
    <row r="358" ht="15.75" customHeight="1">
      <c r="J358" s="12"/>
      <c r="K358" s="12"/>
      <c r="L358" s="12"/>
      <c r="M358" s="12"/>
      <c r="N358" s="12"/>
    </row>
    <row r="359" ht="15.75" customHeight="1">
      <c r="J359" s="12"/>
      <c r="K359" s="12"/>
      <c r="L359" s="12"/>
      <c r="M359" s="12"/>
      <c r="N359" s="12"/>
    </row>
    <row r="360" ht="15.75" customHeight="1">
      <c r="J360" s="12"/>
      <c r="K360" s="12"/>
      <c r="L360" s="12"/>
      <c r="M360" s="12"/>
      <c r="N360" s="12"/>
    </row>
    <row r="361" ht="15.75" customHeight="1">
      <c r="J361" s="12"/>
      <c r="K361" s="12"/>
      <c r="L361" s="12"/>
      <c r="M361" s="12"/>
      <c r="N361" s="12"/>
    </row>
    <row r="362" ht="15.75" customHeight="1">
      <c r="J362" s="12"/>
      <c r="K362" s="12"/>
      <c r="L362" s="12"/>
      <c r="M362" s="12"/>
      <c r="N362" s="12"/>
    </row>
    <row r="363" ht="15.75" customHeight="1">
      <c r="J363" s="12"/>
      <c r="K363" s="12"/>
      <c r="L363" s="12"/>
      <c r="M363" s="12"/>
      <c r="N363" s="12"/>
    </row>
    <row r="364" ht="15.75" customHeight="1">
      <c r="J364" s="12"/>
      <c r="K364" s="12"/>
      <c r="L364" s="12"/>
      <c r="M364" s="12"/>
      <c r="N364" s="12"/>
    </row>
    <row r="365" ht="15.75" customHeight="1">
      <c r="J365" s="12"/>
      <c r="K365" s="12"/>
      <c r="L365" s="12"/>
      <c r="M365" s="12"/>
      <c r="N365" s="12"/>
    </row>
    <row r="366" ht="15.75" customHeight="1">
      <c r="J366" s="12"/>
      <c r="K366" s="12"/>
      <c r="L366" s="12"/>
      <c r="M366" s="12"/>
      <c r="N366" s="12"/>
    </row>
    <row r="367" ht="15.75" customHeight="1">
      <c r="J367" s="12"/>
      <c r="K367" s="12"/>
      <c r="L367" s="12"/>
      <c r="M367" s="12"/>
      <c r="N367" s="12"/>
    </row>
    <row r="368" ht="15.75" customHeight="1">
      <c r="J368" s="12"/>
      <c r="K368" s="12"/>
      <c r="L368" s="12"/>
      <c r="M368" s="12"/>
      <c r="N368" s="12"/>
    </row>
    <row r="369" ht="15.75" customHeight="1">
      <c r="J369" s="12"/>
      <c r="K369" s="12"/>
      <c r="L369" s="12"/>
      <c r="M369" s="12"/>
      <c r="N369" s="12"/>
    </row>
    <row r="370" ht="15.75" customHeight="1">
      <c r="J370" s="12"/>
      <c r="K370" s="12"/>
      <c r="L370" s="12"/>
      <c r="M370" s="12"/>
      <c r="N370" s="12"/>
    </row>
    <row r="371" ht="15.75" customHeight="1">
      <c r="J371" s="12"/>
      <c r="K371" s="12"/>
      <c r="L371" s="12"/>
      <c r="M371" s="12"/>
      <c r="N371" s="12"/>
    </row>
    <row r="372" ht="15.75" customHeight="1">
      <c r="J372" s="12"/>
      <c r="K372" s="12"/>
      <c r="L372" s="12"/>
      <c r="M372" s="12"/>
      <c r="N372" s="12"/>
    </row>
    <row r="373" ht="15.75" customHeight="1">
      <c r="J373" s="12"/>
      <c r="K373" s="12"/>
      <c r="L373" s="12"/>
      <c r="M373" s="12"/>
      <c r="N373" s="12"/>
    </row>
    <row r="374" ht="15.75" customHeight="1">
      <c r="J374" s="12"/>
      <c r="K374" s="12"/>
      <c r="L374" s="12"/>
      <c r="M374" s="12"/>
      <c r="N374" s="12"/>
    </row>
    <row r="375" ht="15.75" customHeight="1">
      <c r="J375" s="12"/>
      <c r="K375" s="12"/>
      <c r="L375" s="12"/>
      <c r="M375" s="12"/>
      <c r="N375" s="12"/>
    </row>
    <row r="376" ht="15.75" customHeight="1">
      <c r="J376" s="12"/>
      <c r="K376" s="12"/>
      <c r="L376" s="12"/>
      <c r="M376" s="12"/>
      <c r="N376" s="12"/>
    </row>
    <row r="377" ht="15.75" customHeight="1">
      <c r="J377" s="12"/>
      <c r="K377" s="12"/>
      <c r="L377" s="12"/>
      <c r="M377" s="12"/>
      <c r="N377" s="12"/>
    </row>
    <row r="378" ht="15.75" customHeight="1">
      <c r="J378" s="12"/>
      <c r="K378" s="12"/>
      <c r="L378" s="12"/>
      <c r="M378" s="12"/>
      <c r="N378" s="12"/>
    </row>
    <row r="379" ht="15.75" customHeight="1">
      <c r="J379" s="12"/>
      <c r="K379" s="12"/>
      <c r="L379" s="12"/>
      <c r="M379" s="12"/>
      <c r="N379" s="12"/>
    </row>
    <row r="380" ht="15.75" customHeight="1">
      <c r="J380" s="12"/>
      <c r="K380" s="12"/>
      <c r="L380" s="12"/>
      <c r="M380" s="12"/>
      <c r="N380" s="12"/>
    </row>
    <row r="381" ht="15.75" customHeight="1">
      <c r="J381" s="12"/>
      <c r="K381" s="12"/>
      <c r="L381" s="12"/>
      <c r="M381" s="12"/>
      <c r="N381" s="12"/>
    </row>
    <row r="382" ht="15.75" customHeight="1">
      <c r="J382" s="12"/>
      <c r="K382" s="12"/>
      <c r="L382" s="12"/>
      <c r="M382" s="12"/>
      <c r="N382" s="12"/>
    </row>
    <row r="383" ht="15.75" customHeight="1">
      <c r="J383" s="12"/>
      <c r="K383" s="12"/>
      <c r="L383" s="12"/>
      <c r="M383" s="12"/>
      <c r="N383" s="12"/>
    </row>
    <row r="384" ht="15.75" customHeight="1">
      <c r="J384" s="12"/>
      <c r="K384" s="12"/>
      <c r="L384" s="12"/>
      <c r="M384" s="12"/>
      <c r="N384" s="12"/>
    </row>
    <row r="385" ht="15.75" customHeight="1">
      <c r="J385" s="12"/>
      <c r="K385" s="12"/>
      <c r="L385" s="12"/>
      <c r="M385" s="12"/>
      <c r="N385" s="12"/>
    </row>
    <row r="386" ht="15.75" customHeight="1">
      <c r="J386" s="12"/>
      <c r="K386" s="12"/>
      <c r="L386" s="12"/>
      <c r="M386" s="12"/>
      <c r="N386" s="12"/>
    </row>
    <row r="387" ht="15.75" customHeight="1">
      <c r="J387" s="12"/>
      <c r="K387" s="12"/>
      <c r="L387" s="12"/>
      <c r="M387" s="12"/>
      <c r="N387" s="12"/>
    </row>
    <row r="388" ht="15.75" customHeight="1">
      <c r="J388" s="12"/>
      <c r="K388" s="12"/>
      <c r="L388" s="12"/>
      <c r="M388" s="12"/>
      <c r="N388" s="12"/>
    </row>
    <row r="389" ht="15.75" customHeight="1">
      <c r="J389" s="12"/>
      <c r="K389" s="12"/>
      <c r="L389" s="12"/>
      <c r="M389" s="12"/>
      <c r="N389" s="12"/>
    </row>
    <row r="390" ht="15.75" customHeight="1">
      <c r="J390" s="12"/>
      <c r="K390" s="12"/>
      <c r="L390" s="12"/>
      <c r="M390" s="12"/>
      <c r="N390" s="12"/>
    </row>
    <row r="391" ht="15.75" customHeight="1">
      <c r="J391" s="12"/>
      <c r="K391" s="12"/>
      <c r="L391" s="12"/>
      <c r="M391" s="12"/>
      <c r="N391" s="12"/>
    </row>
    <row r="392" ht="15.75" customHeight="1">
      <c r="J392" s="12"/>
      <c r="K392" s="12"/>
      <c r="L392" s="12"/>
      <c r="M392" s="12"/>
      <c r="N392" s="12"/>
    </row>
    <row r="393" ht="15.75" customHeight="1">
      <c r="J393" s="12"/>
      <c r="K393" s="12"/>
      <c r="L393" s="12"/>
      <c r="M393" s="12"/>
      <c r="N393" s="12"/>
    </row>
    <row r="394" ht="15.75" customHeight="1">
      <c r="J394" s="12"/>
      <c r="K394" s="12"/>
      <c r="L394" s="12"/>
      <c r="M394" s="12"/>
      <c r="N394" s="12"/>
    </row>
    <row r="395" ht="15.75" customHeight="1">
      <c r="J395" s="12"/>
      <c r="K395" s="12"/>
      <c r="L395" s="12"/>
      <c r="M395" s="12"/>
      <c r="N395" s="12"/>
    </row>
    <row r="396" ht="15.75" customHeight="1">
      <c r="J396" s="12"/>
      <c r="K396" s="12"/>
      <c r="L396" s="12"/>
      <c r="M396" s="12"/>
      <c r="N396" s="12"/>
    </row>
    <row r="397" ht="15.75" customHeight="1">
      <c r="J397" s="12"/>
      <c r="K397" s="12"/>
      <c r="L397" s="12"/>
      <c r="M397" s="12"/>
      <c r="N397" s="12"/>
    </row>
    <row r="398" ht="15.75" customHeight="1">
      <c r="J398" s="12"/>
      <c r="K398" s="12"/>
      <c r="L398" s="12"/>
      <c r="M398" s="12"/>
      <c r="N398" s="12"/>
    </row>
    <row r="399" ht="15.75" customHeight="1">
      <c r="J399" s="12"/>
      <c r="K399" s="12"/>
      <c r="L399" s="12"/>
      <c r="M399" s="12"/>
      <c r="N399" s="12"/>
    </row>
    <row r="400" ht="15.75" customHeight="1">
      <c r="J400" s="12"/>
      <c r="K400" s="12"/>
      <c r="L400" s="12"/>
      <c r="M400" s="12"/>
      <c r="N400" s="12"/>
    </row>
    <row r="401" ht="15.75" customHeight="1">
      <c r="J401" s="12"/>
      <c r="K401" s="12"/>
      <c r="L401" s="12"/>
      <c r="M401" s="12"/>
      <c r="N401" s="12"/>
    </row>
    <row r="402" ht="15.75" customHeight="1">
      <c r="J402" s="12"/>
      <c r="K402" s="12"/>
      <c r="L402" s="12"/>
      <c r="M402" s="12"/>
      <c r="N402" s="12"/>
    </row>
    <row r="403" ht="15.75" customHeight="1">
      <c r="J403" s="12"/>
      <c r="K403" s="12"/>
      <c r="L403" s="12"/>
      <c r="M403" s="12"/>
      <c r="N403" s="12"/>
    </row>
    <row r="404" ht="15.75" customHeight="1">
      <c r="J404" s="12"/>
      <c r="K404" s="12"/>
      <c r="L404" s="12"/>
      <c r="M404" s="12"/>
      <c r="N404" s="12"/>
    </row>
    <row r="405" ht="15.75" customHeight="1">
      <c r="J405" s="12"/>
      <c r="K405" s="12"/>
      <c r="L405" s="12"/>
      <c r="M405" s="12"/>
      <c r="N405" s="12"/>
    </row>
    <row r="406" ht="15.75" customHeight="1">
      <c r="J406" s="12"/>
      <c r="K406" s="12"/>
      <c r="L406" s="12"/>
      <c r="M406" s="12"/>
      <c r="N406" s="12"/>
    </row>
    <row r="407" ht="15.75" customHeight="1">
      <c r="J407" s="12"/>
      <c r="K407" s="12"/>
      <c r="L407" s="12"/>
      <c r="M407" s="12"/>
      <c r="N407" s="12"/>
    </row>
    <row r="408" ht="15.75" customHeight="1">
      <c r="J408" s="12"/>
      <c r="K408" s="12"/>
      <c r="L408" s="12"/>
      <c r="M408" s="12"/>
      <c r="N408" s="12"/>
    </row>
    <row r="409" ht="15.75" customHeight="1">
      <c r="J409" s="12"/>
      <c r="K409" s="12"/>
      <c r="L409" s="12"/>
      <c r="M409" s="12"/>
      <c r="N409" s="12"/>
    </row>
    <row r="410" ht="15.75" customHeight="1">
      <c r="J410" s="12"/>
      <c r="K410" s="12"/>
      <c r="L410" s="12"/>
      <c r="M410" s="12"/>
      <c r="N410" s="12"/>
    </row>
    <row r="411" ht="15.75" customHeight="1">
      <c r="J411" s="12"/>
      <c r="K411" s="12"/>
      <c r="L411" s="12"/>
      <c r="M411" s="12"/>
      <c r="N411" s="12"/>
    </row>
    <row r="412" ht="15.75" customHeight="1">
      <c r="J412" s="12"/>
      <c r="K412" s="12"/>
      <c r="L412" s="12"/>
      <c r="M412" s="12"/>
      <c r="N412" s="12"/>
    </row>
    <row r="413" ht="15.75" customHeight="1">
      <c r="J413" s="12"/>
      <c r="K413" s="12"/>
      <c r="L413" s="12"/>
      <c r="M413" s="12"/>
      <c r="N413" s="12"/>
    </row>
    <row r="414" ht="15.75" customHeight="1">
      <c r="J414" s="12"/>
      <c r="K414" s="12"/>
      <c r="L414" s="12"/>
      <c r="M414" s="12"/>
      <c r="N414" s="12"/>
    </row>
    <row r="415" ht="15.75" customHeight="1">
      <c r="J415" s="12"/>
      <c r="K415" s="12"/>
      <c r="L415" s="12"/>
      <c r="M415" s="12"/>
      <c r="N415" s="12"/>
    </row>
    <row r="416" ht="15.75" customHeight="1">
      <c r="J416" s="12"/>
      <c r="K416" s="12"/>
      <c r="L416" s="12"/>
      <c r="M416" s="12"/>
      <c r="N416" s="12"/>
    </row>
    <row r="417" ht="15.75" customHeight="1">
      <c r="J417" s="12"/>
      <c r="K417" s="12"/>
      <c r="L417" s="12"/>
      <c r="M417" s="12"/>
      <c r="N417" s="12"/>
    </row>
    <row r="418" ht="15.75" customHeight="1">
      <c r="J418" s="12"/>
      <c r="K418" s="12"/>
      <c r="L418" s="12"/>
      <c r="M418" s="12"/>
      <c r="N418" s="12"/>
    </row>
    <row r="419" ht="15.75" customHeight="1">
      <c r="J419" s="12"/>
      <c r="K419" s="12"/>
      <c r="L419" s="12"/>
      <c r="M419" s="12"/>
      <c r="N419" s="12"/>
    </row>
    <row r="420" ht="15.75" customHeight="1">
      <c r="J420" s="12"/>
      <c r="K420" s="12"/>
      <c r="L420" s="12"/>
      <c r="M420" s="12"/>
      <c r="N420" s="12"/>
    </row>
    <row r="421" ht="15.75" customHeight="1">
      <c r="J421" s="12"/>
      <c r="K421" s="12"/>
      <c r="L421" s="12"/>
      <c r="M421" s="12"/>
      <c r="N421" s="12"/>
    </row>
    <row r="422" ht="15.75" customHeight="1">
      <c r="J422" s="12"/>
      <c r="K422" s="12"/>
      <c r="L422" s="12"/>
      <c r="M422" s="12"/>
      <c r="N422" s="12"/>
    </row>
    <row r="423" ht="15.75" customHeight="1">
      <c r="J423" s="12"/>
      <c r="K423" s="12"/>
      <c r="L423" s="12"/>
      <c r="M423" s="12"/>
      <c r="N423" s="12"/>
    </row>
    <row r="424" ht="15.75" customHeight="1">
      <c r="J424" s="12"/>
      <c r="K424" s="12"/>
      <c r="L424" s="12"/>
      <c r="M424" s="12"/>
      <c r="N424" s="12"/>
    </row>
    <row r="425" ht="15.75" customHeight="1">
      <c r="J425" s="12"/>
      <c r="K425" s="12"/>
      <c r="L425" s="12"/>
      <c r="M425" s="12"/>
      <c r="N425" s="12"/>
    </row>
    <row r="426" ht="15.75" customHeight="1">
      <c r="J426" s="12"/>
      <c r="K426" s="12"/>
      <c r="L426" s="12"/>
      <c r="M426" s="12"/>
      <c r="N426" s="12"/>
    </row>
    <row r="427" ht="15.75" customHeight="1">
      <c r="J427" s="12"/>
      <c r="K427" s="12"/>
      <c r="L427" s="12"/>
      <c r="M427" s="12"/>
      <c r="N427" s="12"/>
    </row>
    <row r="428" ht="15.75" customHeight="1">
      <c r="J428" s="12"/>
      <c r="K428" s="12"/>
      <c r="L428" s="12"/>
      <c r="M428" s="12"/>
      <c r="N428" s="12"/>
    </row>
    <row r="429" ht="15.75" customHeight="1">
      <c r="J429" s="12"/>
      <c r="K429" s="12"/>
      <c r="L429" s="12"/>
      <c r="M429" s="12"/>
      <c r="N429" s="12"/>
    </row>
    <row r="430" ht="15.75" customHeight="1">
      <c r="J430" s="12"/>
      <c r="K430" s="12"/>
      <c r="L430" s="12"/>
      <c r="M430" s="12"/>
      <c r="N430" s="12"/>
    </row>
    <row r="431" ht="15.75" customHeight="1">
      <c r="J431" s="12"/>
      <c r="K431" s="12"/>
      <c r="L431" s="12"/>
      <c r="M431" s="12"/>
      <c r="N431" s="12"/>
    </row>
    <row r="432" ht="15.75" customHeight="1">
      <c r="J432" s="12"/>
      <c r="K432" s="12"/>
      <c r="L432" s="12"/>
      <c r="M432" s="12"/>
      <c r="N432" s="12"/>
    </row>
    <row r="433" ht="15.75" customHeight="1">
      <c r="J433" s="12"/>
      <c r="K433" s="12"/>
      <c r="L433" s="12"/>
      <c r="M433" s="12"/>
      <c r="N433" s="12"/>
    </row>
    <row r="434" ht="15.75" customHeight="1">
      <c r="J434" s="12"/>
      <c r="K434" s="12"/>
      <c r="L434" s="12"/>
      <c r="M434" s="12"/>
      <c r="N434" s="12"/>
    </row>
    <row r="435" ht="15.75" customHeight="1">
      <c r="J435" s="12"/>
      <c r="K435" s="12"/>
      <c r="L435" s="12"/>
      <c r="M435" s="12"/>
      <c r="N435" s="12"/>
    </row>
    <row r="436" ht="15.75" customHeight="1">
      <c r="J436" s="12"/>
      <c r="K436" s="12"/>
      <c r="L436" s="12"/>
      <c r="M436" s="12"/>
      <c r="N436" s="12"/>
    </row>
    <row r="437" ht="15.75" customHeight="1">
      <c r="J437" s="12"/>
      <c r="K437" s="12"/>
      <c r="L437" s="12"/>
      <c r="M437" s="12"/>
      <c r="N437" s="12"/>
    </row>
    <row r="438" ht="15.75" customHeight="1">
      <c r="J438" s="12"/>
      <c r="K438" s="12"/>
      <c r="L438" s="12"/>
      <c r="M438" s="12"/>
      <c r="N438" s="12"/>
    </row>
    <row r="439" ht="15.75" customHeight="1">
      <c r="J439" s="12"/>
      <c r="K439" s="12"/>
      <c r="L439" s="12"/>
      <c r="M439" s="12"/>
      <c r="N439" s="12"/>
    </row>
    <row r="440" ht="15.75" customHeight="1">
      <c r="J440" s="12"/>
      <c r="K440" s="12"/>
      <c r="L440" s="12"/>
      <c r="M440" s="12"/>
      <c r="N440" s="12"/>
    </row>
    <row r="441" ht="15.75" customHeight="1">
      <c r="J441" s="12"/>
      <c r="K441" s="12"/>
      <c r="L441" s="12"/>
      <c r="M441" s="12"/>
      <c r="N441" s="12"/>
    </row>
    <row r="442" ht="15.75" customHeight="1">
      <c r="J442" s="12"/>
      <c r="K442" s="12"/>
      <c r="L442" s="12"/>
      <c r="M442" s="12"/>
      <c r="N442" s="12"/>
    </row>
    <row r="443" ht="15.75" customHeight="1">
      <c r="J443" s="12"/>
      <c r="K443" s="12"/>
      <c r="L443" s="12"/>
      <c r="M443" s="12"/>
      <c r="N443" s="12"/>
    </row>
    <row r="444" ht="15.75" customHeight="1">
      <c r="J444" s="12"/>
      <c r="K444" s="12"/>
      <c r="L444" s="12"/>
      <c r="M444" s="12"/>
      <c r="N444" s="12"/>
    </row>
    <row r="445" ht="15.75" customHeight="1">
      <c r="J445" s="12"/>
      <c r="K445" s="12"/>
      <c r="L445" s="12"/>
      <c r="M445" s="12"/>
      <c r="N445" s="12"/>
    </row>
    <row r="446" ht="15.75" customHeight="1">
      <c r="J446" s="12"/>
      <c r="K446" s="12"/>
      <c r="L446" s="12"/>
      <c r="M446" s="12"/>
      <c r="N446" s="12"/>
    </row>
    <row r="447" ht="15.75" customHeight="1">
      <c r="J447" s="12"/>
      <c r="K447" s="12"/>
      <c r="L447" s="12"/>
      <c r="M447" s="12"/>
      <c r="N447" s="12"/>
    </row>
    <row r="448" ht="15.75" customHeight="1">
      <c r="J448" s="12"/>
      <c r="K448" s="12"/>
      <c r="L448" s="12"/>
      <c r="M448" s="12"/>
      <c r="N448" s="12"/>
    </row>
    <row r="449" ht="15.75" customHeight="1">
      <c r="J449" s="12"/>
      <c r="K449" s="12"/>
      <c r="L449" s="12"/>
      <c r="M449" s="12"/>
      <c r="N449" s="12"/>
    </row>
    <row r="450" ht="15.75" customHeight="1">
      <c r="J450" s="12"/>
      <c r="K450" s="12"/>
      <c r="L450" s="12"/>
      <c r="M450" s="12"/>
      <c r="N450" s="12"/>
    </row>
    <row r="451" ht="15.75" customHeight="1">
      <c r="J451" s="12"/>
      <c r="K451" s="12"/>
      <c r="L451" s="12"/>
      <c r="M451" s="12"/>
      <c r="N451" s="12"/>
    </row>
    <row r="452" ht="15.75" customHeight="1">
      <c r="J452" s="12"/>
      <c r="K452" s="12"/>
      <c r="L452" s="12"/>
      <c r="M452" s="12"/>
      <c r="N452" s="12"/>
    </row>
    <row r="453" ht="15.75" customHeight="1">
      <c r="J453" s="12"/>
      <c r="K453" s="12"/>
      <c r="L453" s="12"/>
      <c r="M453" s="12"/>
      <c r="N453" s="12"/>
    </row>
    <row r="454" ht="15.75" customHeight="1">
      <c r="J454" s="12"/>
      <c r="K454" s="12"/>
      <c r="L454" s="12"/>
      <c r="M454" s="12"/>
      <c r="N454" s="12"/>
    </row>
    <row r="455" ht="15.75" customHeight="1">
      <c r="J455" s="12"/>
      <c r="K455" s="12"/>
      <c r="L455" s="12"/>
      <c r="M455" s="12"/>
      <c r="N455" s="12"/>
    </row>
    <row r="456" ht="15.75" customHeight="1">
      <c r="J456" s="12"/>
      <c r="K456" s="12"/>
      <c r="L456" s="12"/>
      <c r="M456" s="12"/>
      <c r="N456" s="12"/>
    </row>
    <row r="457" ht="15.75" customHeight="1">
      <c r="J457" s="12"/>
      <c r="K457" s="12"/>
      <c r="L457" s="12"/>
      <c r="M457" s="12"/>
      <c r="N457" s="12"/>
    </row>
    <row r="458" ht="15.75" customHeight="1">
      <c r="J458" s="12"/>
      <c r="K458" s="12"/>
      <c r="L458" s="12"/>
      <c r="M458" s="12"/>
      <c r="N458" s="12"/>
    </row>
    <row r="459" ht="15.75" customHeight="1">
      <c r="J459" s="12"/>
      <c r="K459" s="12"/>
      <c r="L459" s="12"/>
      <c r="M459" s="12"/>
      <c r="N459" s="12"/>
    </row>
    <row r="460" ht="15.75" customHeight="1">
      <c r="J460" s="12"/>
      <c r="K460" s="12"/>
      <c r="L460" s="12"/>
      <c r="M460" s="12"/>
      <c r="N460" s="12"/>
    </row>
    <row r="461" ht="15.75" customHeight="1">
      <c r="J461" s="12"/>
      <c r="K461" s="12"/>
      <c r="L461" s="12"/>
      <c r="M461" s="12"/>
      <c r="N461" s="12"/>
    </row>
    <row r="462" ht="15.75" customHeight="1">
      <c r="J462" s="12"/>
      <c r="K462" s="12"/>
      <c r="L462" s="12"/>
      <c r="M462" s="12"/>
      <c r="N462" s="12"/>
    </row>
    <row r="463" ht="15.75" customHeight="1">
      <c r="J463" s="12"/>
      <c r="K463" s="12"/>
      <c r="L463" s="12"/>
      <c r="M463" s="12"/>
      <c r="N463" s="12"/>
    </row>
    <row r="464" ht="15.75" customHeight="1">
      <c r="J464" s="12"/>
      <c r="K464" s="12"/>
      <c r="L464" s="12"/>
      <c r="M464" s="12"/>
      <c r="N464" s="12"/>
    </row>
    <row r="465" ht="15.75" customHeight="1">
      <c r="J465" s="12"/>
      <c r="K465" s="12"/>
      <c r="L465" s="12"/>
      <c r="M465" s="12"/>
      <c r="N465" s="12"/>
    </row>
    <row r="466" ht="15.75" customHeight="1">
      <c r="J466" s="12"/>
      <c r="K466" s="12"/>
      <c r="L466" s="12"/>
      <c r="M466" s="12"/>
      <c r="N466" s="12"/>
    </row>
    <row r="467" ht="15.75" customHeight="1">
      <c r="J467" s="12"/>
      <c r="K467" s="12"/>
      <c r="L467" s="12"/>
      <c r="M467" s="12"/>
      <c r="N467" s="12"/>
    </row>
    <row r="468" ht="15.75" customHeight="1">
      <c r="J468" s="12"/>
      <c r="K468" s="12"/>
      <c r="L468" s="12"/>
      <c r="M468" s="12"/>
      <c r="N468" s="12"/>
    </row>
    <row r="469" ht="15.75" customHeight="1">
      <c r="J469" s="12"/>
      <c r="K469" s="12"/>
      <c r="L469" s="12"/>
      <c r="M469" s="12"/>
      <c r="N469" s="12"/>
    </row>
    <row r="470" ht="15.75" customHeight="1">
      <c r="J470" s="12"/>
      <c r="K470" s="12"/>
      <c r="L470" s="12"/>
      <c r="M470" s="12"/>
      <c r="N470" s="12"/>
    </row>
    <row r="471" ht="15.75" customHeight="1">
      <c r="J471" s="12"/>
      <c r="K471" s="12"/>
      <c r="L471" s="12"/>
      <c r="M471" s="12"/>
      <c r="N471" s="12"/>
    </row>
    <row r="472" ht="15.75" customHeight="1">
      <c r="J472" s="12"/>
      <c r="K472" s="12"/>
      <c r="L472" s="12"/>
      <c r="M472" s="12"/>
      <c r="N472" s="12"/>
    </row>
    <row r="473" ht="15.75" customHeight="1">
      <c r="J473" s="12"/>
      <c r="K473" s="12"/>
      <c r="L473" s="12"/>
      <c r="M473" s="12"/>
      <c r="N473" s="12"/>
    </row>
    <row r="474" ht="15.75" customHeight="1">
      <c r="J474" s="12"/>
      <c r="K474" s="12"/>
      <c r="L474" s="12"/>
      <c r="M474" s="12"/>
      <c r="N474" s="12"/>
    </row>
    <row r="475" ht="15.75" customHeight="1">
      <c r="J475" s="12"/>
      <c r="K475" s="12"/>
      <c r="L475" s="12"/>
      <c r="M475" s="12"/>
      <c r="N475" s="12"/>
    </row>
    <row r="476" ht="15.75" customHeight="1">
      <c r="J476" s="12"/>
      <c r="K476" s="12"/>
      <c r="L476" s="12"/>
      <c r="M476" s="12"/>
      <c r="N476" s="12"/>
    </row>
    <row r="477" ht="15.75" customHeight="1">
      <c r="J477" s="12"/>
      <c r="K477" s="12"/>
      <c r="L477" s="12"/>
      <c r="M477" s="12"/>
      <c r="N477" s="12"/>
    </row>
    <row r="478" ht="15.75" customHeight="1">
      <c r="J478" s="12"/>
      <c r="K478" s="12"/>
      <c r="L478" s="12"/>
      <c r="M478" s="12"/>
      <c r="N478" s="12"/>
    </row>
    <row r="479" ht="15.75" customHeight="1">
      <c r="J479" s="12"/>
      <c r="K479" s="12"/>
      <c r="L479" s="12"/>
      <c r="M479" s="12"/>
      <c r="N479" s="12"/>
    </row>
    <row r="480" ht="15.75" customHeight="1">
      <c r="J480" s="12"/>
      <c r="K480" s="12"/>
      <c r="L480" s="12"/>
      <c r="M480" s="12"/>
      <c r="N480" s="12"/>
    </row>
    <row r="481" ht="15.75" customHeight="1">
      <c r="J481" s="12"/>
      <c r="K481" s="12"/>
      <c r="L481" s="12"/>
      <c r="M481" s="12"/>
      <c r="N481" s="12"/>
    </row>
    <row r="482" ht="15.75" customHeight="1">
      <c r="J482" s="12"/>
      <c r="K482" s="12"/>
      <c r="L482" s="12"/>
      <c r="M482" s="12"/>
      <c r="N482" s="12"/>
    </row>
    <row r="483" ht="15.75" customHeight="1">
      <c r="J483" s="12"/>
      <c r="K483" s="12"/>
      <c r="L483" s="12"/>
      <c r="M483" s="12"/>
      <c r="N483" s="12"/>
    </row>
    <row r="484" ht="15.75" customHeight="1">
      <c r="J484" s="12"/>
      <c r="K484" s="12"/>
      <c r="L484" s="12"/>
      <c r="M484" s="12"/>
      <c r="N484" s="12"/>
    </row>
    <row r="485" ht="15.75" customHeight="1">
      <c r="J485" s="12"/>
      <c r="K485" s="12"/>
      <c r="L485" s="12"/>
      <c r="M485" s="12"/>
      <c r="N485" s="12"/>
    </row>
    <row r="486" ht="15.75" customHeight="1">
      <c r="J486" s="12"/>
      <c r="K486" s="12"/>
      <c r="L486" s="12"/>
      <c r="M486" s="12"/>
      <c r="N486" s="12"/>
    </row>
    <row r="487" ht="15.75" customHeight="1">
      <c r="J487" s="12"/>
      <c r="K487" s="12"/>
      <c r="L487" s="12"/>
      <c r="M487" s="12"/>
      <c r="N487" s="12"/>
    </row>
    <row r="488" ht="15.75" customHeight="1">
      <c r="J488" s="12"/>
      <c r="K488" s="12"/>
      <c r="L488" s="12"/>
      <c r="M488" s="12"/>
      <c r="N488" s="12"/>
    </row>
    <row r="489" ht="15.75" customHeight="1">
      <c r="J489" s="12"/>
      <c r="K489" s="12"/>
      <c r="L489" s="12"/>
      <c r="M489" s="12"/>
      <c r="N489" s="12"/>
    </row>
    <row r="490" ht="15.75" customHeight="1">
      <c r="J490" s="12"/>
      <c r="K490" s="12"/>
      <c r="L490" s="12"/>
      <c r="M490" s="12"/>
      <c r="N490" s="12"/>
    </row>
    <row r="491" ht="15.75" customHeight="1">
      <c r="J491" s="12"/>
      <c r="K491" s="12"/>
      <c r="L491" s="12"/>
      <c r="M491" s="12"/>
      <c r="N491" s="12"/>
    </row>
    <row r="492" ht="15.75" customHeight="1">
      <c r="J492" s="12"/>
      <c r="K492" s="12"/>
      <c r="L492" s="12"/>
      <c r="M492" s="12"/>
      <c r="N492" s="12"/>
    </row>
    <row r="493" ht="15.75" customHeight="1">
      <c r="J493" s="12"/>
      <c r="K493" s="12"/>
      <c r="L493" s="12"/>
      <c r="M493" s="12"/>
      <c r="N493" s="12"/>
    </row>
    <row r="494" ht="15.75" customHeight="1">
      <c r="J494" s="12"/>
      <c r="K494" s="12"/>
      <c r="L494" s="12"/>
      <c r="M494" s="12"/>
      <c r="N494" s="12"/>
    </row>
    <row r="495" ht="15.75" customHeight="1">
      <c r="J495" s="12"/>
      <c r="K495" s="12"/>
      <c r="L495" s="12"/>
      <c r="M495" s="12"/>
      <c r="N495" s="12"/>
    </row>
    <row r="496" ht="15.75" customHeight="1">
      <c r="J496" s="12"/>
      <c r="K496" s="12"/>
      <c r="L496" s="12"/>
      <c r="M496" s="12"/>
      <c r="N496" s="12"/>
    </row>
    <row r="497" ht="15.75" customHeight="1">
      <c r="J497" s="12"/>
      <c r="K497" s="12"/>
      <c r="L497" s="12"/>
      <c r="M497" s="12"/>
      <c r="N497" s="12"/>
    </row>
    <row r="498" ht="15.75" customHeight="1">
      <c r="J498" s="12"/>
      <c r="K498" s="12"/>
      <c r="L498" s="12"/>
      <c r="M498" s="12"/>
      <c r="N498" s="12"/>
    </row>
    <row r="499" ht="15.75" customHeight="1">
      <c r="J499" s="12"/>
      <c r="K499" s="12"/>
      <c r="L499" s="12"/>
      <c r="M499" s="12"/>
      <c r="N499" s="12"/>
    </row>
    <row r="500" ht="15.75" customHeight="1">
      <c r="J500" s="12"/>
      <c r="K500" s="12"/>
      <c r="L500" s="12"/>
      <c r="M500" s="12"/>
      <c r="N500" s="12"/>
    </row>
    <row r="501" ht="15.75" customHeight="1">
      <c r="J501" s="12"/>
      <c r="K501" s="12"/>
      <c r="L501" s="12"/>
      <c r="M501" s="12"/>
      <c r="N501" s="12"/>
    </row>
    <row r="502" ht="15.75" customHeight="1">
      <c r="J502" s="12"/>
      <c r="K502" s="12"/>
      <c r="L502" s="12"/>
      <c r="M502" s="12"/>
      <c r="N502" s="12"/>
    </row>
    <row r="503" ht="15.75" customHeight="1">
      <c r="J503" s="12"/>
      <c r="K503" s="12"/>
      <c r="L503" s="12"/>
      <c r="M503" s="12"/>
      <c r="N503" s="12"/>
    </row>
    <row r="504" ht="15.75" customHeight="1">
      <c r="J504" s="12"/>
      <c r="K504" s="12"/>
      <c r="L504" s="12"/>
      <c r="M504" s="12"/>
      <c r="N504" s="12"/>
    </row>
    <row r="505" ht="15.75" customHeight="1">
      <c r="J505" s="12"/>
      <c r="K505" s="12"/>
      <c r="L505" s="12"/>
      <c r="M505" s="12"/>
      <c r="N505" s="12"/>
    </row>
    <row r="506" ht="15.75" customHeight="1">
      <c r="J506" s="12"/>
      <c r="K506" s="12"/>
      <c r="L506" s="12"/>
      <c r="M506" s="12"/>
      <c r="N506" s="12"/>
    </row>
    <row r="507" ht="15.75" customHeight="1">
      <c r="J507" s="12"/>
      <c r="K507" s="12"/>
      <c r="L507" s="12"/>
      <c r="M507" s="12"/>
      <c r="N507" s="12"/>
    </row>
    <row r="508" ht="15.75" customHeight="1">
      <c r="J508" s="12"/>
      <c r="K508" s="12"/>
      <c r="L508" s="12"/>
      <c r="M508" s="12"/>
      <c r="N508" s="12"/>
    </row>
    <row r="509" ht="15.75" customHeight="1">
      <c r="J509" s="12"/>
      <c r="K509" s="12"/>
      <c r="L509" s="12"/>
      <c r="M509" s="12"/>
      <c r="N509" s="12"/>
    </row>
    <row r="510" ht="15.75" customHeight="1">
      <c r="J510" s="12"/>
      <c r="K510" s="12"/>
      <c r="L510" s="12"/>
      <c r="M510" s="12"/>
      <c r="N510" s="12"/>
    </row>
    <row r="511" ht="15.75" customHeight="1">
      <c r="J511" s="12"/>
      <c r="K511" s="12"/>
      <c r="L511" s="12"/>
      <c r="M511" s="12"/>
      <c r="N511" s="12"/>
    </row>
    <row r="512" ht="15.75" customHeight="1">
      <c r="J512" s="12"/>
      <c r="K512" s="12"/>
      <c r="L512" s="12"/>
      <c r="M512" s="12"/>
      <c r="N512" s="12"/>
    </row>
    <row r="513" ht="15.75" customHeight="1">
      <c r="J513" s="12"/>
      <c r="K513" s="12"/>
      <c r="L513" s="12"/>
      <c r="M513" s="12"/>
      <c r="N513" s="12"/>
    </row>
    <row r="514" ht="15.75" customHeight="1">
      <c r="J514" s="12"/>
      <c r="K514" s="12"/>
      <c r="L514" s="12"/>
      <c r="M514" s="12"/>
      <c r="N514" s="12"/>
    </row>
    <row r="515" ht="15.75" customHeight="1">
      <c r="J515" s="12"/>
      <c r="K515" s="12"/>
      <c r="L515" s="12"/>
      <c r="M515" s="12"/>
      <c r="N515" s="12"/>
    </row>
    <row r="516" ht="15.75" customHeight="1">
      <c r="J516" s="12"/>
      <c r="K516" s="12"/>
      <c r="L516" s="12"/>
      <c r="M516" s="12"/>
      <c r="N516" s="12"/>
    </row>
    <row r="517" ht="15.75" customHeight="1">
      <c r="J517" s="12"/>
      <c r="K517" s="12"/>
      <c r="L517" s="12"/>
      <c r="M517" s="12"/>
      <c r="N517" s="12"/>
    </row>
    <row r="518" ht="15.75" customHeight="1">
      <c r="J518" s="12"/>
      <c r="K518" s="12"/>
      <c r="L518" s="12"/>
      <c r="M518" s="12"/>
      <c r="N518" s="12"/>
    </row>
    <row r="519" ht="15.75" customHeight="1">
      <c r="J519" s="12"/>
      <c r="K519" s="12"/>
      <c r="L519" s="12"/>
      <c r="M519" s="12"/>
      <c r="N519" s="12"/>
    </row>
    <row r="520" ht="15.75" customHeight="1">
      <c r="J520" s="12"/>
      <c r="K520" s="12"/>
      <c r="L520" s="12"/>
      <c r="M520" s="12"/>
      <c r="N520" s="12"/>
    </row>
    <row r="521" ht="15.75" customHeight="1">
      <c r="J521" s="12"/>
      <c r="K521" s="12"/>
      <c r="L521" s="12"/>
      <c r="M521" s="12"/>
      <c r="N521" s="12"/>
    </row>
    <row r="522" ht="15.75" customHeight="1">
      <c r="J522" s="12"/>
      <c r="K522" s="12"/>
      <c r="L522" s="12"/>
      <c r="M522" s="12"/>
      <c r="N522" s="12"/>
    </row>
    <row r="523" ht="15.75" customHeight="1">
      <c r="J523" s="12"/>
      <c r="K523" s="12"/>
      <c r="L523" s="12"/>
      <c r="M523" s="12"/>
      <c r="N523" s="12"/>
    </row>
    <row r="524" ht="15.75" customHeight="1">
      <c r="J524" s="12"/>
      <c r="K524" s="12"/>
      <c r="L524" s="12"/>
      <c r="M524" s="12"/>
      <c r="N524" s="12"/>
    </row>
    <row r="525" ht="15.75" customHeight="1">
      <c r="J525" s="12"/>
      <c r="K525" s="12"/>
      <c r="L525" s="12"/>
      <c r="M525" s="12"/>
      <c r="N525" s="12"/>
    </row>
    <row r="526" ht="15.75" customHeight="1">
      <c r="J526" s="12"/>
      <c r="K526" s="12"/>
      <c r="L526" s="12"/>
      <c r="M526" s="12"/>
      <c r="N526" s="12"/>
    </row>
    <row r="527" ht="15.75" customHeight="1">
      <c r="J527" s="12"/>
      <c r="K527" s="12"/>
      <c r="L527" s="12"/>
      <c r="M527" s="12"/>
      <c r="N527" s="12"/>
    </row>
    <row r="528" ht="15.75" customHeight="1">
      <c r="J528" s="12"/>
      <c r="K528" s="12"/>
      <c r="L528" s="12"/>
      <c r="M528" s="12"/>
      <c r="N528" s="12"/>
    </row>
    <row r="529" ht="15.75" customHeight="1">
      <c r="J529" s="12"/>
      <c r="K529" s="12"/>
      <c r="L529" s="12"/>
      <c r="M529" s="12"/>
      <c r="N529" s="12"/>
    </row>
    <row r="530" ht="15.75" customHeight="1">
      <c r="J530" s="12"/>
      <c r="K530" s="12"/>
      <c r="L530" s="12"/>
      <c r="M530" s="12"/>
      <c r="N530" s="12"/>
    </row>
    <row r="531" ht="15.75" customHeight="1">
      <c r="J531" s="12"/>
      <c r="K531" s="12"/>
      <c r="L531" s="12"/>
      <c r="M531" s="12"/>
      <c r="N531" s="12"/>
    </row>
    <row r="532" ht="15.75" customHeight="1">
      <c r="J532" s="12"/>
      <c r="K532" s="12"/>
      <c r="L532" s="12"/>
      <c r="M532" s="12"/>
      <c r="N532" s="12"/>
    </row>
    <row r="533" ht="15.75" customHeight="1">
      <c r="J533" s="12"/>
      <c r="K533" s="12"/>
      <c r="L533" s="12"/>
      <c r="M533" s="12"/>
      <c r="N533" s="12"/>
    </row>
    <row r="534" ht="15.75" customHeight="1">
      <c r="J534" s="12"/>
      <c r="K534" s="12"/>
      <c r="L534" s="12"/>
      <c r="M534" s="12"/>
      <c r="N534" s="12"/>
    </row>
    <row r="535" ht="15.75" customHeight="1">
      <c r="J535" s="12"/>
      <c r="K535" s="12"/>
      <c r="L535" s="12"/>
      <c r="M535" s="12"/>
      <c r="N535" s="12"/>
    </row>
    <row r="536" ht="15.75" customHeight="1">
      <c r="J536" s="12"/>
      <c r="K536" s="12"/>
      <c r="L536" s="12"/>
      <c r="M536" s="12"/>
      <c r="N536" s="12"/>
    </row>
    <row r="537" ht="15.75" customHeight="1">
      <c r="J537" s="12"/>
      <c r="K537" s="12"/>
      <c r="L537" s="12"/>
      <c r="M537" s="12"/>
      <c r="N537" s="12"/>
    </row>
    <row r="538" ht="15.75" customHeight="1">
      <c r="J538" s="12"/>
      <c r="K538" s="12"/>
      <c r="L538" s="12"/>
      <c r="M538" s="12"/>
      <c r="N538" s="12"/>
    </row>
    <row r="539" ht="15.75" customHeight="1">
      <c r="J539" s="12"/>
      <c r="K539" s="12"/>
      <c r="L539" s="12"/>
      <c r="M539" s="12"/>
      <c r="N539" s="12"/>
    </row>
    <row r="540" ht="15.75" customHeight="1">
      <c r="J540" s="12"/>
      <c r="K540" s="12"/>
      <c r="L540" s="12"/>
      <c r="M540" s="12"/>
      <c r="N540" s="12"/>
    </row>
    <row r="541" ht="15.75" customHeight="1">
      <c r="J541" s="12"/>
      <c r="K541" s="12"/>
      <c r="L541" s="12"/>
      <c r="M541" s="12"/>
      <c r="N541" s="12"/>
    </row>
    <row r="542" ht="15.75" customHeight="1">
      <c r="J542" s="12"/>
      <c r="K542" s="12"/>
      <c r="L542" s="12"/>
      <c r="M542" s="12"/>
      <c r="N542" s="12"/>
    </row>
    <row r="543" ht="15.75" customHeight="1">
      <c r="J543" s="12"/>
      <c r="K543" s="12"/>
      <c r="L543" s="12"/>
      <c r="M543" s="12"/>
      <c r="N543" s="12"/>
    </row>
    <row r="544" ht="15.75" customHeight="1">
      <c r="J544" s="12"/>
      <c r="K544" s="12"/>
      <c r="L544" s="12"/>
      <c r="M544" s="12"/>
      <c r="N544" s="12"/>
    </row>
    <row r="545" ht="15.75" customHeight="1">
      <c r="J545" s="12"/>
      <c r="K545" s="12"/>
      <c r="L545" s="12"/>
      <c r="M545" s="12"/>
      <c r="N545" s="12"/>
    </row>
    <row r="546" ht="15.75" customHeight="1">
      <c r="J546" s="12"/>
      <c r="K546" s="12"/>
      <c r="L546" s="12"/>
      <c r="M546" s="12"/>
      <c r="N546" s="12"/>
    </row>
    <row r="547" ht="15.75" customHeight="1">
      <c r="J547" s="12"/>
      <c r="K547" s="12"/>
      <c r="L547" s="12"/>
      <c r="M547" s="12"/>
      <c r="N547" s="12"/>
    </row>
    <row r="548" ht="15.75" customHeight="1">
      <c r="J548" s="12"/>
      <c r="K548" s="12"/>
      <c r="L548" s="12"/>
      <c r="M548" s="12"/>
      <c r="N548" s="12"/>
    </row>
    <row r="549" ht="15.75" customHeight="1">
      <c r="J549" s="12"/>
      <c r="K549" s="12"/>
      <c r="L549" s="12"/>
      <c r="M549" s="12"/>
      <c r="N549" s="12"/>
    </row>
    <row r="550" ht="15.75" customHeight="1">
      <c r="J550" s="12"/>
      <c r="K550" s="12"/>
      <c r="L550" s="12"/>
      <c r="M550" s="12"/>
      <c r="N550" s="12"/>
    </row>
    <row r="551" ht="15.75" customHeight="1">
      <c r="J551" s="12"/>
      <c r="K551" s="12"/>
      <c r="L551" s="12"/>
      <c r="M551" s="12"/>
      <c r="N551" s="12"/>
    </row>
    <row r="552" ht="15.75" customHeight="1">
      <c r="J552" s="12"/>
      <c r="K552" s="12"/>
      <c r="L552" s="12"/>
      <c r="M552" s="12"/>
      <c r="N552" s="12"/>
    </row>
    <row r="553" ht="15.75" customHeight="1">
      <c r="J553" s="12"/>
      <c r="K553" s="12"/>
      <c r="L553" s="12"/>
      <c r="M553" s="12"/>
      <c r="N553" s="12"/>
    </row>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F4:F353">
      <formula1>"Online,Offline"</formula1>
    </dataValidation>
    <dataValidation type="list" allowBlank="1" showDropDown="1" showErrorMessage="1" sqref="C4:C353">
      <formula1>"East,West,North,Unknown,South"</formula1>
    </dataValidation>
    <dataValidation type="list" allowBlank="1" showDropDown="1" showErrorMessage="1" sqref="D4:D353">
      <formula1>"Germany,India,USA,UK,Australia"</formula1>
    </dataValidation>
    <dataValidation type="custom" allowBlank="1" showDropDown="1" sqref="H4:H353">
      <formula1>OR(NOT(ISERROR(DATEVALUE(H4))), AND(ISNUMBER(H4), LEFT(CELL("format", H4))="D"))</formula1>
    </dataValidation>
    <dataValidation type="list" allowBlank="1" showDropDown="1" showErrorMessage="1" sqref="B4:B353">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DropDown="1" showErrorMessage="1" sqref="E4:E353">
      <formula1>"Beverages,Food,Clothing,Furniture,Electronics,Unknown"</formula1>
    </dataValidation>
    <dataValidation type="custom" allowBlank="1" showDropDown="1" sqref="I4:O353">
      <formula1>AND(ISNUMBER(I4),(NOT(OR(NOT(ISERROR(DATEVALUE(I4))), AND(ISNUMBER(I4), LEFT(CELL("format", I4))="D")))))</formula1>
    </dataValidation>
    <dataValidation type="list" allowBlank="1" showDropDown="1" showErrorMessage="1" sqref="G4:G353">
      <formula1>"High,Low,Medium"</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0"/>
    <col customWidth="1" min="3" max="6" width="12.63"/>
  </cols>
  <sheetData>
    <row r="1"/>
    <row r="2"/>
    <row r="3"/>
    <row r="4"/>
    <row r="5"/>
    <row r="6"/>
    <row r="7"/>
    <row r="8">
      <c r="B8" s="23"/>
    </row>
    <row r="9">
      <c r="B9" s="23"/>
    </row>
    <row r="10">
      <c r="B10" s="23"/>
    </row>
    <row r="11">
      <c r="B11" s="23"/>
    </row>
    <row r="12">
      <c r="B12" s="23"/>
    </row>
    <row r="13">
      <c r="B13" s="23"/>
    </row>
    <row r="14">
      <c r="B14" s="23"/>
    </row>
    <row r="15">
      <c r="B15" s="23"/>
    </row>
    <row r="16">
      <c r="B16" s="23"/>
    </row>
    <row r="17">
      <c r="B17" s="23"/>
    </row>
    <row r="18">
      <c r="B18" s="23"/>
    </row>
    <row r="19">
      <c r="B19" s="23"/>
    </row>
    <row r="20">
      <c r="B20" s="23"/>
    </row>
    <row r="21" ht="15.75" customHeight="1">
      <c r="B21" s="23"/>
    </row>
    <row r="22" ht="15.75" customHeight="1">
      <c r="B22" s="23"/>
    </row>
    <row r="23" ht="15.75" customHeight="1">
      <c r="B23" s="23"/>
    </row>
    <row r="24" ht="15.75" customHeight="1">
      <c r="B24" s="23"/>
    </row>
    <row r="25" ht="15.75" customHeight="1">
      <c r="B25" s="23"/>
    </row>
    <row r="26" ht="15.75" customHeight="1">
      <c r="B26" s="23"/>
    </row>
    <row r="27" ht="15.75" customHeight="1">
      <c r="B27" s="23"/>
    </row>
    <row r="28" ht="15.75" customHeight="1">
      <c r="B28" s="23"/>
    </row>
    <row r="29" ht="15.75" customHeight="1">
      <c r="B29" s="23"/>
    </row>
    <row r="30" ht="15.75" customHeight="1">
      <c r="B30" s="23"/>
    </row>
    <row r="31" ht="15.75" customHeight="1">
      <c r="B31" s="23"/>
    </row>
    <row r="32" ht="15.75" customHeight="1">
      <c r="B32" s="23"/>
    </row>
    <row r="33" ht="15.75" customHeight="1">
      <c r="B33" s="23"/>
    </row>
    <row r="34" ht="15.75" customHeight="1">
      <c r="B34" s="23"/>
    </row>
    <row r="35" ht="15.75" customHeight="1">
      <c r="B35" s="23"/>
    </row>
    <row r="36" ht="15.75" customHeight="1">
      <c r="B36" s="23"/>
    </row>
    <row r="37" ht="15.75" customHeight="1">
      <c r="B37" s="23"/>
    </row>
    <row r="38" ht="15.75" customHeight="1">
      <c r="B38" s="23"/>
    </row>
    <row r="39" ht="15.75" customHeight="1">
      <c r="B39" s="23"/>
    </row>
    <row r="40" ht="15.75" customHeight="1">
      <c r="B40" s="23"/>
    </row>
    <row r="41" ht="15.75" customHeight="1">
      <c r="B41" s="23"/>
    </row>
    <row r="42" ht="15.75" customHeight="1">
      <c r="B42" s="23"/>
    </row>
    <row r="43" ht="15.75" customHeight="1">
      <c r="B43" s="23"/>
    </row>
    <row r="44" ht="15.75" customHeight="1">
      <c r="B44" s="23"/>
    </row>
    <row r="45" ht="15.75" customHeight="1">
      <c r="B45" s="23"/>
    </row>
    <row r="46" ht="15.75" customHeight="1">
      <c r="B46" s="23"/>
    </row>
    <row r="47" ht="15.75" customHeight="1">
      <c r="B47" s="23"/>
    </row>
    <row r="48" ht="15.75" customHeight="1">
      <c r="B48" s="23"/>
    </row>
    <row r="49" ht="15.75" customHeight="1">
      <c r="B49" s="23"/>
    </row>
    <row r="50" ht="15.75" customHeight="1">
      <c r="B50" s="23"/>
    </row>
    <row r="51" ht="15.75" customHeight="1">
      <c r="B51" s="23"/>
    </row>
    <row r="52" ht="15.75" customHeight="1">
      <c r="B52" s="23"/>
    </row>
    <row r="53" ht="15.75" customHeight="1">
      <c r="B53" s="23"/>
    </row>
    <row r="54" ht="15.75" customHeight="1">
      <c r="B54" s="23"/>
    </row>
    <row r="55" ht="15.75" customHeight="1">
      <c r="B55" s="23"/>
    </row>
    <row r="56" ht="15.75" customHeight="1">
      <c r="B56" s="23"/>
    </row>
    <row r="57" ht="15.75" customHeight="1">
      <c r="B57" s="23"/>
    </row>
    <row r="58" ht="15.75" customHeight="1">
      <c r="B58" s="23"/>
    </row>
    <row r="59" ht="15.75" customHeight="1">
      <c r="B59" s="23"/>
    </row>
    <row r="60" ht="15.75" customHeight="1">
      <c r="B60" s="23"/>
    </row>
    <row r="61" ht="15.75" customHeight="1">
      <c r="B61" s="23"/>
    </row>
    <row r="62" ht="15.75" customHeight="1">
      <c r="B62" s="23"/>
    </row>
    <row r="63" ht="15.75" customHeight="1">
      <c r="B63" s="23"/>
    </row>
    <row r="64" ht="15.75" customHeight="1">
      <c r="B64" s="23"/>
    </row>
    <row r="65" ht="15.75" customHeight="1">
      <c r="B65" s="23"/>
    </row>
    <row r="66" ht="15.75" customHeight="1">
      <c r="B66" s="23"/>
    </row>
    <row r="67" ht="15.75" customHeight="1">
      <c r="B67" s="23"/>
    </row>
    <row r="68" ht="15.75" customHeight="1">
      <c r="B68" s="23"/>
    </row>
    <row r="69" ht="15.75" customHeight="1">
      <c r="B69" s="23"/>
    </row>
    <row r="70" ht="15.75" customHeight="1">
      <c r="B70" s="23"/>
    </row>
    <row r="71" ht="15.75" customHeight="1">
      <c r="B71" s="23"/>
    </row>
    <row r="72" ht="15.75" customHeight="1">
      <c r="B72" s="23"/>
    </row>
    <row r="73" ht="15.75" customHeight="1">
      <c r="B73" s="23"/>
    </row>
    <row r="74" ht="15.75" customHeight="1">
      <c r="B74" s="23"/>
    </row>
    <row r="75" ht="15.75" customHeight="1">
      <c r="B75" s="23"/>
    </row>
    <row r="76" ht="15.75" customHeight="1">
      <c r="B76" s="23"/>
    </row>
    <row r="77" ht="15.75" customHeight="1">
      <c r="B77" s="23"/>
    </row>
    <row r="78" ht="15.75" customHeight="1">
      <c r="B78" s="23"/>
    </row>
    <row r="79" ht="15.75" customHeight="1">
      <c r="B79" s="23"/>
    </row>
    <row r="80" ht="15.75" customHeight="1">
      <c r="B80" s="23"/>
    </row>
    <row r="81" ht="15.75" customHeight="1">
      <c r="B81" s="23"/>
    </row>
    <row r="82" ht="15.75" customHeight="1">
      <c r="B82" s="23"/>
    </row>
    <row r="83" ht="15.75" customHeight="1">
      <c r="B83" s="23"/>
    </row>
    <row r="84" ht="15.75" customHeight="1">
      <c r="B84" s="23"/>
    </row>
    <row r="85" ht="15.75" customHeight="1">
      <c r="B85" s="23"/>
    </row>
    <row r="86" ht="15.75" customHeight="1">
      <c r="B86" s="23"/>
    </row>
    <row r="87" ht="15.75" customHeight="1">
      <c r="B87" s="23"/>
    </row>
    <row r="88" ht="15.75" customHeight="1">
      <c r="B88" s="23"/>
    </row>
    <row r="89" ht="15.75" customHeight="1">
      <c r="B89" s="23"/>
    </row>
    <row r="90" ht="15.75" customHeight="1">
      <c r="B90" s="23"/>
    </row>
    <row r="91" ht="15.75" customHeight="1">
      <c r="B91" s="23"/>
    </row>
    <row r="92" ht="15.75" customHeight="1">
      <c r="B92" s="23"/>
    </row>
    <row r="93" ht="15.75" customHeight="1">
      <c r="B93" s="23"/>
    </row>
    <row r="94" ht="15.75" customHeight="1">
      <c r="B94" s="23"/>
    </row>
    <row r="95" ht="15.75" customHeight="1">
      <c r="B95" s="23"/>
    </row>
    <row r="96" ht="15.75" customHeight="1">
      <c r="B96" s="23"/>
    </row>
    <row r="97" ht="15.75" customHeight="1">
      <c r="B97" s="23"/>
    </row>
    <row r="98" ht="15.75" customHeight="1">
      <c r="B98" s="23"/>
    </row>
    <row r="99" ht="15.75" customHeight="1">
      <c r="B99" s="23"/>
    </row>
    <row r="100" ht="15.75" customHeight="1">
      <c r="B100" s="23"/>
    </row>
    <row r="101" ht="15.75" customHeight="1">
      <c r="B101" s="23"/>
    </row>
    <row r="102" ht="15.75" customHeight="1">
      <c r="B102" s="23"/>
    </row>
    <row r="103" ht="15.75" customHeight="1">
      <c r="B103" s="23"/>
    </row>
    <row r="104" ht="15.75" customHeight="1">
      <c r="B104" s="23"/>
    </row>
    <row r="105" ht="15.75" customHeight="1">
      <c r="B105" s="23"/>
    </row>
    <row r="106" ht="15.75" customHeight="1">
      <c r="B106" s="23"/>
    </row>
    <row r="107" ht="15.75" customHeight="1">
      <c r="B107" s="23"/>
    </row>
    <row r="108" ht="15.75" customHeight="1">
      <c r="B108" s="23"/>
    </row>
    <row r="109" ht="15.75" customHeight="1">
      <c r="B109" s="23"/>
    </row>
    <row r="110" ht="15.75" customHeight="1">
      <c r="B110" s="23"/>
    </row>
    <row r="111" ht="15.75" customHeight="1">
      <c r="B111" s="23"/>
    </row>
    <row r="112" ht="15.75" customHeight="1">
      <c r="B112" s="23"/>
    </row>
    <row r="113" ht="15.75" customHeight="1">
      <c r="B113" s="23"/>
    </row>
    <row r="114" ht="15.75" customHeight="1">
      <c r="B114" s="23"/>
    </row>
    <row r="115" ht="15.75" customHeight="1">
      <c r="B115" s="23"/>
    </row>
    <row r="116" ht="15.75" customHeight="1">
      <c r="B116" s="23"/>
    </row>
    <row r="117" ht="15.75" customHeight="1">
      <c r="B117" s="23"/>
    </row>
    <row r="118" ht="15.75" customHeight="1">
      <c r="B118" s="23"/>
    </row>
    <row r="119" ht="15.75" customHeight="1">
      <c r="B119" s="23"/>
    </row>
    <row r="120" ht="15.75" customHeight="1">
      <c r="B120" s="23"/>
    </row>
    <row r="121" ht="15.75" customHeight="1">
      <c r="B121" s="23"/>
    </row>
    <row r="122" ht="15.75" customHeight="1">
      <c r="B122" s="23"/>
    </row>
    <row r="123" ht="15.75" customHeight="1">
      <c r="B123" s="23"/>
    </row>
    <row r="124" ht="15.75" customHeight="1">
      <c r="B124" s="23"/>
    </row>
    <row r="125" ht="15.75" customHeight="1">
      <c r="B125" s="23"/>
    </row>
    <row r="126" ht="15.75" customHeight="1">
      <c r="B126" s="23"/>
    </row>
    <row r="127" ht="15.75" customHeight="1">
      <c r="B127" s="23"/>
    </row>
    <row r="128" ht="15.75" customHeight="1">
      <c r="B128" s="23"/>
    </row>
    <row r="129" ht="15.75" customHeight="1">
      <c r="B129" s="23"/>
    </row>
    <row r="130" ht="15.75" customHeight="1">
      <c r="B130" s="23"/>
    </row>
    <row r="131" ht="15.75" customHeight="1">
      <c r="B131" s="23"/>
    </row>
    <row r="132" ht="15.75" customHeight="1">
      <c r="B132" s="23"/>
    </row>
    <row r="133" ht="15.75" customHeight="1">
      <c r="B133" s="23"/>
    </row>
    <row r="134" ht="15.75" customHeight="1">
      <c r="B134" s="23"/>
    </row>
    <row r="135" ht="15.75" customHeight="1">
      <c r="B135" s="23"/>
    </row>
    <row r="136" ht="15.75" customHeight="1">
      <c r="B136" s="23"/>
    </row>
    <row r="137" ht="15.75" customHeight="1">
      <c r="B137" s="23"/>
    </row>
    <row r="138" ht="15.75" customHeight="1">
      <c r="B138" s="23"/>
    </row>
    <row r="139" ht="15.75" customHeight="1">
      <c r="B139" s="23"/>
    </row>
    <row r="140" ht="15.75" customHeight="1">
      <c r="B140" s="23"/>
    </row>
    <row r="141" ht="15.75" customHeight="1">
      <c r="B141" s="23"/>
    </row>
    <row r="142" ht="15.75" customHeight="1">
      <c r="B142" s="23"/>
    </row>
    <row r="143" ht="15.75" customHeight="1">
      <c r="B143" s="23"/>
    </row>
    <row r="144" ht="15.75" customHeight="1">
      <c r="B144" s="23"/>
    </row>
    <row r="145" ht="15.75" customHeight="1">
      <c r="B145" s="23"/>
    </row>
    <row r="146" ht="15.75" customHeight="1">
      <c r="B146" s="23"/>
    </row>
    <row r="147" ht="15.75" customHeight="1">
      <c r="B147" s="23"/>
    </row>
    <row r="148" ht="15.75" customHeight="1">
      <c r="B148" s="23"/>
    </row>
    <row r="149" ht="15.75" customHeight="1">
      <c r="B149" s="23"/>
    </row>
    <row r="150" ht="15.75" customHeight="1">
      <c r="B150" s="23"/>
    </row>
    <row r="151" ht="15.75" customHeight="1">
      <c r="B151" s="23"/>
    </row>
    <row r="152" ht="15.75" customHeight="1">
      <c r="B152" s="23"/>
    </row>
    <row r="153" ht="15.75" customHeight="1">
      <c r="B153" s="23"/>
    </row>
    <row r="154" ht="15.75" customHeight="1">
      <c r="B154" s="23"/>
    </row>
    <row r="155" ht="15.75" customHeight="1">
      <c r="B155" s="23"/>
    </row>
    <row r="156" ht="15.75" customHeight="1">
      <c r="B156" s="23"/>
    </row>
    <row r="157" ht="15.75" customHeight="1">
      <c r="B157" s="23"/>
    </row>
    <row r="158" ht="15.75" customHeight="1">
      <c r="B158" s="23"/>
    </row>
    <row r="159" ht="15.75" customHeight="1">
      <c r="B159" s="23"/>
    </row>
    <row r="160" ht="15.75" customHeight="1">
      <c r="B160" s="23"/>
    </row>
    <row r="161" ht="15.75" customHeight="1">
      <c r="B161" s="23"/>
    </row>
    <row r="162" ht="15.75" customHeight="1">
      <c r="B162" s="23"/>
    </row>
    <row r="163" ht="15.75" customHeight="1">
      <c r="B163" s="23"/>
    </row>
    <row r="164" ht="15.75" customHeight="1">
      <c r="B164" s="23"/>
    </row>
    <row r="165" ht="15.75" customHeight="1">
      <c r="B165" s="23"/>
    </row>
    <row r="166" ht="15.75" customHeight="1">
      <c r="B166" s="23"/>
    </row>
    <row r="167" ht="15.75" customHeight="1">
      <c r="B167" s="23"/>
    </row>
    <row r="168" ht="15.75" customHeight="1">
      <c r="B168" s="23"/>
    </row>
    <row r="169" ht="15.75" customHeight="1">
      <c r="B169" s="23"/>
    </row>
    <row r="170" ht="15.75" customHeight="1">
      <c r="B170" s="23"/>
    </row>
    <row r="171" ht="15.75" customHeight="1">
      <c r="B171" s="23"/>
    </row>
    <row r="172" ht="15.75" customHeight="1">
      <c r="B172" s="23"/>
    </row>
    <row r="173" ht="15.75" customHeight="1">
      <c r="B173" s="23"/>
    </row>
    <row r="174" ht="15.75" customHeight="1">
      <c r="B174" s="23"/>
    </row>
    <row r="175" ht="15.75" customHeight="1">
      <c r="B175" s="23"/>
    </row>
    <row r="176" ht="15.75" customHeight="1">
      <c r="B176" s="23"/>
    </row>
    <row r="177" ht="15.75" customHeight="1">
      <c r="B177" s="23"/>
    </row>
    <row r="178" ht="15.75" customHeight="1">
      <c r="B178" s="23"/>
    </row>
    <row r="179" ht="15.75" customHeight="1">
      <c r="B179" s="23"/>
    </row>
    <row r="180" ht="15.75" customHeight="1">
      <c r="B180" s="23"/>
    </row>
    <row r="181" ht="15.75" customHeight="1">
      <c r="B181" s="23"/>
    </row>
    <row r="182" ht="15.75" customHeight="1">
      <c r="B182" s="23"/>
    </row>
    <row r="183" ht="15.75" customHeight="1">
      <c r="B183" s="23"/>
    </row>
    <row r="184" ht="15.75" customHeight="1">
      <c r="B184" s="23"/>
    </row>
    <row r="185" ht="15.75" customHeight="1">
      <c r="B185" s="23"/>
    </row>
    <row r="186" ht="15.75" customHeight="1">
      <c r="B186" s="23"/>
    </row>
    <row r="187" ht="15.75" customHeight="1">
      <c r="B187" s="23"/>
    </row>
    <row r="188" ht="15.75" customHeight="1">
      <c r="B188" s="23"/>
    </row>
    <row r="189" ht="15.75" customHeight="1">
      <c r="B189" s="23"/>
    </row>
    <row r="190" ht="15.75" customHeight="1">
      <c r="B190" s="23"/>
    </row>
    <row r="191" ht="15.75" customHeight="1">
      <c r="B191" s="23"/>
    </row>
    <row r="192" ht="15.75" customHeight="1">
      <c r="B192" s="23"/>
    </row>
    <row r="193" ht="15.75" customHeight="1">
      <c r="B193" s="23"/>
    </row>
    <row r="194" ht="15.75" customHeight="1">
      <c r="B194" s="23"/>
    </row>
    <row r="195" ht="15.75" customHeight="1">
      <c r="B195" s="23"/>
    </row>
    <row r="196" ht="15.75" customHeight="1">
      <c r="B196" s="23"/>
    </row>
    <row r="197" ht="15.75" customHeight="1">
      <c r="B197" s="23"/>
    </row>
    <row r="198" ht="15.75" customHeight="1">
      <c r="B198" s="23"/>
    </row>
    <row r="199" ht="15.75" customHeight="1">
      <c r="B199" s="23"/>
    </row>
    <row r="200" ht="15.75" customHeight="1">
      <c r="B200" s="23"/>
    </row>
    <row r="201" ht="15.75" customHeight="1">
      <c r="B201" s="23"/>
    </row>
    <row r="202" ht="15.75" customHeight="1">
      <c r="B202" s="23"/>
    </row>
    <row r="203" ht="15.75" customHeight="1">
      <c r="B203" s="23"/>
    </row>
    <row r="204" ht="15.75" customHeight="1">
      <c r="B204" s="23"/>
    </row>
    <row r="205" ht="15.75" customHeight="1">
      <c r="B205" s="23"/>
    </row>
    <row r="206" ht="15.75" customHeight="1">
      <c r="B206" s="23"/>
    </row>
    <row r="207" ht="15.75" customHeight="1">
      <c r="B207" s="23"/>
    </row>
    <row r="208" ht="15.75" customHeight="1">
      <c r="B208" s="23"/>
    </row>
    <row r="209" ht="15.75" customHeight="1">
      <c r="B209" s="23"/>
    </row>
    <row r="210" ht="15.75" customHeight="1">
      <c r="B210" s="23"/>
    </row>
    <row r="211" ht="15.75" customHeight="1">
      <c r="B211" s="23"/>
    </row>
    <row r="212" ht="15.75" customHeight="1">
      <c r="B212" s="23"/>
    </row>
    <row r="213" ht="15.75" customHeight="1">
      <c r="B213" s="23"/>
    </row>
    <row r="214" ht="15.75" customHeight="1">
      <c r="B214" s="23"/>
    </row>
    <row r="215" ht="15.75" customHeight="1">
      <c r="B215" s="23"/>
    </row>
    <row r="216" ht="15.75" customHeight="1">
      <c r="B216" s="23"/>
    </row>
    <row r="217" ht="15.75" customHeight="1">
      <c r="B217" s="23"/>
    </row>
    <row r="218" ht="15.75" customHeight="1">
      <c r="B218" s="23"/>
    </row>
    <row r="219" ht="15.75" customHeight="1">
      <c r="B219" s="23"/>
    </row>
    <row r="220" ht="15.75" customHeight="1">
      <c r="B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3">
      <c r="B3" s="24" t="s">
        <v>386</v>
      </c>
      <c r="I3" s="25" t="s">
        <v>387</v>
      </c>
      <c r="J3" s="26"/>
      <c r="K3" s="26"/>
      <c r="L3" s="26"/>
    </row>
    <row r="4">
      <c r="I4" s="27"/>
      <c r="J4" s="26"/>
      <c r="K4" s="26"/>
      <c r="L4" s="26"/>
    </row>
    <row r="5">
      <c r="A5" s="28" t="s">
        <v>388</v>
      </c>
      <c r="I5" s="27" t="s">
        <v>389</v>
      </c>
      <c r="J5" s="26"/>
      <c r="K5" s="26"/>
      <c r="L5" s="26"/>
    </row>
    <row r="6">
      <c r="A6" s="29"/>
      <c r="I6" s="27"/>
      <c r="J6" s="26"/>
      <c r="K6" s="26"/>
      <c r="L6" s="26"/>
    </row>
    <row r="7">
      <c r="A7" s="29" t="s">
        <v>390</v>
      </c>
      <c r="I7" s="27" t="s">
        <v>391</v>
      </c>
      <c r="J7" s="26"/>
      <c r="K7" s="26"/>
      <c r="L7" s="26"/>
    </row>
    <row r="8">
      <c r="A8" s="29"/>
      <c r="I8" s="27"/>
      <c r="J8" s="26"/>
      <c r="K8" s="26"/>
      <c r="L8" s="26"/>
    </row>
    <row r="9">
      <c r="A9" s="29" t="s">
        <v>0</v>
      </c>
      <c r="I9" s="27" t="s">
        <v>392</v>
      </c>
      <c r="J9" s="26"/>
      <c r="K9" s="26"/>
      <c r="L9" s="26"/>
    </row>
    <row r="10">
      <c r="A10" s="29" t="s">
        <v>1</v>
      </c>
      <c r="I10" s="27" t="s">
        <v>393</v>
      </c>
      <c r="J10" s="26"/>
      <c r="K10" s="26"/>
      <c r="L10" s="26"/>
    </row>
    <row r="11">
      <c r="A11" s="29" t="s">
        <v>2</v>
      </c>
      <c r="I11" s="27" t="s">
        <v>394</v>
      </c>
      <c r="J11" s="26"/>
      <c r="K11" s="26"/>
      <c r="L11" s="26"/>
    </row>
    <row r="12">
      <c r="A12" s="29" t="s">
        <v>3</v>
      </c>
      <c r="I12" s="27" t="s">
        <v>395</v>
      </c>
      <c r="J12" s="26"/>
      <c r="K12" s="26"/>
      <c r="L12" s="26"/>
    </row>
    <row r="13">
      <c r="A13" s="29" t="s">
        <v>4</v>
      </c>
      <c r="I13" s="27" t="s">
        <v>396</v>
      </c>
      <c r="J13" s="26"/>
      <c r="K13" s="26"/>
      <c r="L13" s="26"/>
    </row>
    <row r="14">
      <c r="A14" s="29" t="s">
        <v>5</v>
      </c>
      <c r="I14" s="27" t="s">
        <v>397</v>
      </c>
      <c r="J14" s="26"/>
      <c r="K14" s="26"/>
      <c r="L14" s="26"/>
    </row>
    <row r="15">
      <c r="A15" s="29" t="s">
        <v>6</v>
      </c>
      <c r="I15" s="27" t="s">
        <v>398</v>
      </c>
      <c r="J15" s="26"/>
      <c r="K15" s="26"/>
      <c r="L15" s="26"/>
    </row>
    <row r="16">
      <c r="A16" s="29" t="s">
        <v>7</v>
      </c>
      <c r="I16" s="27" t="s">
        <v>399</v>
      </c>
      <c r="J16" s="26"/>
      <c r="K16" s="26"/>
      <c r="L16" s="26"/>
    </row>
    <row r="17">
      <c r="A17" s="29" t="s">
        <v>8</v>
      </c>
      <c r="I17" s="27" t="s">
        <v>400</v>
      </c>
      <c r="J17" s="26"/>
      <c r="K17" s="26"/>
      <c r="L17" s="26"/>
    </row>
    <row r="18">
      <c r="A18" s="29" t="s">
        <v>9</v>
      </c>
      <c r="I18" s="27" t="s">
        <v>401</v>
      </c>
      <c r="J18" s="26"/>
      <c r="K18" s="26"/>
      <c r="L18" s="26"/>
    </row>
    <row r="19">
      <c r="A19" s="29"/>
      <c r="I19" s="27" t="s">
        <v>402</v>
      </c>
      <c r="J19" s="26"/>
      <c r="K19" s="26"/>
      <c r="L19" s="26"/>
    </row>
    <row r="20">
      <c r="A20" s="29" t="s">
        <v>403</v>
      </c>
      <c r="I20" s="27" t="s">
        <v>404</v>
      </c>
      <c r="J20" s="26"/>
      <c r="K20" s="26"/>
      <c r="L20" s="26"/>
    </row>
    <row r="21" ht="15.75" customHeight="1">
      <c r="I21" s="27" t="s">
        <v>405</v>
      </c>
      <c r="J21" s="26"/>
      <c r="K21" s="26"/>
      <c r="L21" s="26"/>
    </row>
    <row r="22" ht="15.75" customHeight="1">
      <c r="A22" s="30" t="s">
        <v>406</v>
      </c>
      <c r="I22" s="27" t="s">
        <v>407</v>
      </c>
      <c r="J22" s="26"/>
      <c r="K22" s="26"/>
      <c r="L22" s="26"/>
    </row>
    <row r="23" ht="15.75" customHeight="1">
      <c r="I23" s="27" t="s">
        <v>408</v>
      </c>
      <c r="J23" s="26"/>
      <c r="K23" s="26"/>
      <c r="L23" s="26"/>
    </row>
    <row r="24" ht="15.75" customHeight="1">
      <c r="A24" s="31" t="s">
        <v>409</v>
      </c>
      <c r="I24" s="27" t="s">
        <v>410</v>
      </c>
      <c r="J24" s="26"/>
      <c r="K24" s="26"/>
      <c r="L24" s="26"/>
    </row>
    <row r="25" ht="15.75" customHeight="1">
      <c r="A25" s="31" t="s">
        <v>411</v>
      </c>
      <c r="I25" s="26"/>
      <c r="J25" s="26"/>
      <c r="K25" s="26"/>
      <c r="L25" s="26"/>
    </row>
    <row r="26" ht="15.75" customHeight="1">
      <c r="A26" s="31" t="s">
        <v>412</v>
      </c>
    </row>
    <row r="27" ht="15.75" customHeight="1">
      <c r="A27" s="31" t="s">
        <v>413</v>
      </c>
    </row>
    <row r="28" ht="15.75" customHeight="1">
      <c r="A28" s="31" t="s">
        <v>414</v>
      </c>
    </row>
    <row r="29" ht="15.75" customHeight="1"/>
    <row r="30" ht="15.75" customHeight="1"/>
    <row r="31" ht="15.75" customHeight="1">
      <c r="A31" s="30" t="s">
        <v>415</v>
      </c>
    </row>
    <row r="32" ht="15.75" customHeight="1"/>
    <row r="33" ht="15.75" customHeight="1">
      <c r="A33" s="32" t="s">
        <v>416</v>
      </c>
    </row>
    <row r="34" ht="15.75" customHeight="1">
      <c r="A34" s="32" t="s">
        <v>417</v>
      </c>
    </row>
    <row r="35" ht="15.75" customHeight="1"/>
    <row r="36" ht="15.75" customHeight="1">
      <c r="A36" s="33" t="s">
        <v>418</v>
      </c>
    </row>
    <row r="37" ht="15.75" customHeight="1"/>
    <row r="38" ht="15.75" customHeight="1">
      <c r="A38" s="34" t="s">
        <v>419</v>
      </c>
    </row>
    <row r="39" ht="15.75" customHeight="1"/>
    <row r="40" ht="15.75" customHeight="1"/>
    <row r="41" ht="15.75" customHeight="1"/>
    <row r="42" ht="15.75" customHeight="1">
      <c r="A42" s="30" t="s">
        <v>420</v>
      </c>
    </row>
    <row r="43" ht="15.75" customHeight="1"/>
    <row r="44" ht="15.75" customHeight="1">
      <c r="A44" s="32" t="s">
        <v>421</v>
      </c>
    </row>
    <row r="45" ht="15.75" customHeight="1">
      <c r="A45" s="32" t="s">
        <v>422</v>
      </c>
    </row>
    <row r="46" ht="15.75" customHeight="1">
      <c r="A46" s="32" t="s">
        <v>423</v>
      </c>
    </row>
    <row r="47" ht="15.75" customHeight="1">
      <c r="A47" s="32" t="s">
        <v>424</v>
      </c>
    </row>
    <row r="48" ht="15.75" customHeight="1">
      <c r="A48" s="32" t="s">
        <v>425</v>
      </c>
    </row>
    <row r="49" ht="15.75" customHeight="1">
      <c r="A49" s="32" t="s">
        <v>426</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B3:E3"/>
    <mergeCell ref="A4:F4"/>
    <mergeCell ref="A5:F5"/>
    <mergeCell ref="A6:F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D22"/>
    <mergeCell ref="A23:D23"/>
    <mergeCell ref="A24:E24"/>
    <mergeCell ref="A25:E25"/>
    <mergeCell ref="A26:E26"/>
    <mergeCell ref="A27:E27"/>
    <mergeCell ref="A28:E28"/>
    <mergeCell ref="A31:I31"/>
    <mergeCell ref="A32:I32"/>
    <mergeCell ref="A42:F42"/>
    <mergeCell ref="A43:F43"/>
    <mergeCell ref="A44:F44"/>
    <mergeCell ref="A45:F45"/>
    <mergeCell ref="A46:F46"/>
    <mergeCell ref="A47:F47"/>
    <mergeCell ref="A48:F48"/>
    <mergeCell ref="A49:F49"/>
    <mergeCell ref="A33:I33"/>
    <mergeCell ref="A34:I34"/>
    <mergeCell ref="A35:I35"/>
    <mergeCell ref="A36:I36"/>
    <mergeCell ref="A37:I37"/>
    <mergeCell ref="A38:I38"/>
    <mergeCell ref="A39:I3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63"/>
    <col customWidth="1" min="5" max="5" width="8.75"/>
    <col customWidth="1" min="6" max="18" width="8.63"/>
  </cols>
  <sheetData>
    <row r="1" ht="14.25" customHeight="1"/>
    <row r="2" ht="14.25" customHeight="1">
      <c r="C2" s="35" t="s">
        <v>427</v>
      </c>
      <c r="D2" s="36"/>
      <c r="E2" s="36"/>
      <c r="F2" s="36"/>
      <c r="G2" s="36"/>
      <c r="H2" s="36"/>
      <c r="I2" s="36"/>
      <c r="J2" s="36"/>
      <c r="K2" s="36"/>
      <c r="L2" s="36"/>
    </row>
    <row r="3" ht="14.25" customHeight="1"/>
    <row r="4" ht="14.25" customHeight="1"/>
    <row r="5" ht="14.25" customHeight="1">
      <c r="C5" s="37" t="s">
        <v>428</v>
      </c>
      <c r="D5" s="36"/>
      <c r="E5" s="36"/>
      <c r="F5" s="36"/>
      <c r="G5" s="36"/>
      <c r="H5" s="36"/>
      <c r="I5" s="36"/>
      <c r="J5" s="36"/>
      <c r="K5" s="36"/>
      <c r="L5" s="36"/>
      <c r="M5" s="36"/>
      <c r="N5" s="36"/>
      <c r="O5" s="36"/>
      <c r="P5" s="36"/>
      <c r="Q5" s="36"/>
      <c r="R5" s="36"/>
    </row>
    <row r="6" ht="14.25" customHeight="1">
      <c r="C6" s="37" t="s">
        <v>429</v>
      </c>
      <c r="D6" s="36"/>
      <c r="E6" s="36"/>
      <c r="F6" s="36"/>
      <c r="G6" s="36"/>
      <c r="H6" s="36"/>
      <c r="I6" s="36"/>
      <c r="J6" s="36"/>
      <c r="K6" s="36"/>
      <c r="L6" s="36"/>
      <c r="M6" s="36"/>
      <c r="N6" s="36"/>
      <c r="O6" s="36"/>
      <c r="P6" s="36"/>
      <c r="Q6" s="36"/>
      <c r="R6" s="36"/>
    </row>
    <row r="7" ht="14.25" customHeight="1">
      <c r="C7" s="37" t="s">
        <v>430</v>
      </c>
      <c r="D7" s="36"/>
      <c r="E7" s="36"/>
      <c r="F7" s="36"/>
      <c r="G7" s="36"/>
      <c r="H7" s="36"/>
      <c r="I7" s="36"/>
      <c r="J7" s="36"/>
      <c r="K7" s="36"/>
      <c r="L7" s="36"/>
      <c r="M7" s="36"/>
      <c r="N7" s="36"/>
      <c r="O7" s="36"/>
      <c r="P7" s="36"/>
      <c r="Q7" s="36"/>
      <c r="R7" s="36"/>
    </row>
    <row r="8" ht="14.25" customHeight="1"/>
    <row r="9" ht="14.25" customHeight="1"/>
    <row r="10" ht="14.25" customHeight="1">
      <c r="C10" s="37" t="s">
        <v>431</v>
      </c>
      <c r="D10" s="36"/>
      <c r="E10" s="36"/>
      <c r="F10" s="36"/>
    </row>
    <row r="11" ht="14.25" customHeight="1"/>
    <row r="12" ht="14.25" customHeight="1">
      <c r="C12" s="37" t="s">
        <v>432</v>
      </c>
      <c r="D12" s="36"/>
      <c r="E12" s="36"/>
      <c r="F12" s="36"/>
      <c r="G12" s="36"/>
      <c r="H12" s="36"/>
      <c r="I12" s="36"/>
      <c r="J12" s="36"/>
      <c r="K12" s="36"/>
      <c r="L12" s="36"/>
      <c r="M12" s="36"/>
      <c r="N12" s="36"/>
      <c r="O12" s="36"/>
      <c r="P12" s="36"/>
    </row>
    <row r="13" ht="14.25" customHeight="1">
      <c r="C13" s="37" t="s">
        <v>433</v>
      </c>
      <c r="D13" s="36"/>
      <c r="E13" s="36"/>
      <c r="F13" s="36"/>
      <c r="G13" s="36"/>
      <c r="H13" s="36"/>
      <c r="I13" s="36"/>
      <c r="J13" s="36"/>
      <c r="K13" s="36"/>
      <c r="L13" s="36"/>
      <c r="M13" s="36"/>
      <c r="N13" s="36"/>
      <c r="O13" s="36"/>
      <c r="P13" s="36"/>
    </row>
    <row r="14" ht="14.25" customHeight="1">
      <c r="C14" s="37" t="s">
        <v>434</v>
      </c>
      <c r="D14" s="36"/>
      <c r="E14" s="36"/>
      <c r="F14" s="36"/>
      <c r="G14" s="36"/>
      <c r="H14" s="36"/>
      <c r="I14" s="36"/>
      <c r="J14" s="36"/>
      <c r="K14" s="36"/>
      <c r="L14" s="36"/>
      <c r="M14" s="36"/>
      <c r="N14" s="36"/>
      <c r="O14" s="36"/>
      <c r="P14" s="36"/>
    </row>
    <row r="15" ht="14.25" customHeight="1"/>
    <row r="16" ht="14.25" customHeight="1">
      <c r="C16" s="37" t="s">
        <v>435</v>
      </c>
      <c r="D16" s="36"/>
      <c r="E16" s="36"/>
      <c r="F16" s="36"/>
      <c r="G16" s="36"/>
      <c r="H16" s="36"/>
      <c r="I16" s="36"/>
      <c r="J16" s="36"/>
      <c r="K16" s="36"/>
      <c r="L16" s="36"/>
      <c r="M16" s="36"/>
      <c r="N16" s="36"/>
      <c r="O16" s="36"/>
    </row>
    <row r="17" ht="14.25" customHeight="1">
      <c r="C17" s="37" t="s">
        <v>436</v>
      </c>
      <c r="D17" s="36"/>
      <c r="E17" s="36"/>
      <c r="F17" s="36"/>
      <c r="G17" s="36"/>
      <c r="H17" s="36"/>
      <c r="I17" s="36"/>
      <c r="J17" s="36"/>
      <c r="K17" s="36"/>
      <c r="L17" s="36"/>
      <c r="M17" s="36"/>
      <c r="N17" s="36"/>
      <c r="O17" s="36"/>
    </row>
    <row r="18" ht="14.25" customHeight="1"/>
    <row r="19" ht="14.25" customHeight="1">
      <c r="C19" s="37" t="s">
        <v>437</v>
      </c>
      <c r="D19" s="36"/>
      <c r="E19" s="36"/>
    </row>
    <row r="20" ht="14.25" customHeight="1"/>
    <row r="21" ht="14.25" customHeight="1">
      <c r="C21" s="37" t="s">
        <v>438</v>
      </c>
      <c r="D21" s="36"/>
      <c r="E21" s="36"/>
      <c r="F21" s="36"/>
      <c r="G21" s="36"/>
      <c r="H21" s="36"/>
      <c r="I21" s="36"/>
      <c r="J21" s="36"/>
      <c r="K21" s="36"/>
      <c r="L21" s="36"/>
      <c r="M21" s="36"/>
      <c r="N21" s="36"/>
      <c r="O21" s="36"/>
      <c r="P21" s="36"/>
      <c r="Q21" s="36"/>
      <c r="R21" s="36"/>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C14:P14"/>
    <mergeCell ref="C16:O16"/>
    <mergeCell ref="C17:O17"/>
    <mergeCell ref="C19:E19"/>
    <mergeCell ref="C21:R21"/>
    <mergeCell ref="C2:L2"/>
    <mergeCell ref="C5:R5"/>
    <mergeCell ref="C6:R6"/>
    <mergeCell ref="C7:R7"/>
    <mergeCell ref="C10:F10"/>
    <mergeCell ref="C12:P12"/>
    <mergeCell ref="C13:P1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25"/>
    <col customWidth="1" min="3" max="3" width="14.0"/>
    <col customWidth="1" min="4" max="4" width="14.88"/>
    <col customWidth="1" min="5" max="5" width="15.5"/>
    <col customWidth="1" min="6" max="6" width="15.0"/>
    <col customWidth="1" min="7" max="7" width="14.38"/>
    <col customWidth="1" min="8" max="8" width="13.13"/>
    <col customWidth="1" min="9" max="9" width="12.75"/>
    <col customWidth="1" min="11" max="11" width="15.75"/>
  </cols>
  <sheetData>
    <row r="2">
      <c r="B2" s="30" t="s">
        <v>439</v>
      </c>
    </row>
    <row r="4" ht="22.5" customHeight="1">
      <c r="B4" s="38" t="s">
        <v>0</v>
      </c>
      <c r="C4" s="38" t="s">
        <v>1</v>
      </c>
      <c r="D4" s="38" t="s">
        <v>2</v>
      </c>
      <c r="E4" s="38" t="s">
        <v>3</v>
      </c>
      <c r="F4" s="38" t="s">
        <v>4</v>
      </c>
      <c r="G4" s="38" t="s">
        <v>5</v>
      </c>
      <c r="H4" s="38" t="s">
        <v>6</v>
      </c>
      <c r="I4" s="38" t="s">
        <v>7</v>
      </c>
      <c r="J4" s="39" t="s">
        <v>8</v>
      </c>
      <c r="K4" s="39" t="s">
        <v>9</v>
      </c>
      <c r="L4" s="39" t="s">
        <v>10</v>
      </c>
      <c r="M4" s="39" t="s">
        <v>11</v>
      </c>
      <c r="N4" s="39" t="s">
        <v>12</v>
      </c>
      <c r="O4" s="38" t="s">
        <v>383</v>
      </c>
    </row>
    <row r="5" ht="22.5" customHeight="1">
      <c r="B5" s="40" t="s">
        <v>13</v>
      </c>
      <c r="C5" s="41" t="s">
        <v>14</v>
      </c>
      <c r="D5" s="41" t="s">
        <v>15</v>
      </c>
      <c r="E5" s="41" t="s">
        <v>16</v>
      </c>
      <c r="F5" s="41" t="s">
        <v>17</v>
      </c>
      <c r="G5" s="41" t="s">
        <v>18</v>
      </c>
      <c r="H5" s="42">
        <v>44927.0</v>
      </c>
      <c r="I5" s="41">
        <v>235.0</v>
      </c>
      <c r="J5" s="43">
        <v>152.92</v>
      </c>
      <c r="K5" s="43">
        <v>153.6</v>
      </c>
      <c r="L5" s="43">
        <v>35936.2</v>
      </c>
      <c r="M5" s="43">
        <v>36096.0</v>
      </c>
      <c r="N5" s="43">
        <v>-159.8000000000029</v>
      </c>
      <c r="O5" s="44">
        <v>-0.00444676955270738</v>
      </c>
    </row>
    <row r="6" ht="22.5" customHeight="1">
      <c r="B6" s="41" t="s">
        <v>19</v>
      </c>
      <c r="C6" s="41" t="s">
        <v>20</v>
      </c>
      <c r="D6" s="41" t="s">
        <v>21</v>
      </c>
      <c r="E6" s="41" t="s">
        <v>22</v>
      </c>
      <c r="F6" s="41" t="s">
        <v>17</v>
      </c>
      <c r="G6" s="41" t="s">
        <v>23</v>
      </c>
      <c r="H6" s="42">
        <v>44928.0</v>
      </c>
      <c r="I6" s="41">
        <v>341.0</v>
      </c>
      <c r="J6" s="43">
        <v>467.92</v>
      </c>
      <c r="K6" s="43">
        <v>139.84</v>
      </c>
      <c r="L6" s="43">
        <v>159560.72</v>
      </c>
      <c r="M6" s="43">
        <v>47685.44</v>
      </c>
      <c r="N6" s="43">
        <v>111875.28</v>
      </c>
      <c r="O6" s="44">
        <v>0.7011454949564028</v>
      </c>
    </row>
    <row r="7" ht="22.5" customHeight="1">
      <c r="B7" s="41" t="s">
        <v>24</v>
      </c>
      <c r="C7" s="41" t="s">
        <v>25</v>
      </c>
      <c r="D7" s="41" t="s">
        <v>21</v>
      </c>
      <c r="E7" s="41" t="s">
        <v>26</v>
      </c>
      <c r="F7" s="41" t="s">
        <v>27</v>
      </c>
      <c r="G7" s="41" t="s">
        <v>18</v>
      </c>
      <c r="H7" s="42">
        <v>44929.0</v>
      </c>
      <c r="I7" s="41">
        <v>179.0</v>
      </c>
      <c r="J7" s="43">
        <v>473.94</v>
      </c>
      <c r="K7" s="43">
        <v>97.14</v>
      </c>
      <c r="L7" s="43">
        <v>84835.26</v>
      </c>
      <c r="M7" s="43">
        <v>17388.06</v>
      </c>
      <c r="N7" s="43">
        <v>67447.2</v>
      </c>
      <c r="O7" s="44">
        <v>0.7950373464995569</v>
      </c>
    </row>
    <row r="8" ht="22.5" customHeight="1">
      <c r="B8" s="41" t="s">
        <v>28</v>
      </c>
      <c r="C8" s="41" t="s">
        <v>14</v>
      </c>
      <c r="D8" s="41" t="s">
        <v>29</v>
      </c>
      <c r="E8" s="41" t="s">
        <v>30</v>
      </c>
      <c r="F8" s="41" t="s">
        <v>27</v>
      </c>
      <c r="G8" s="41" t="s">
        <v>31</v>
      </c>
      <c r="H8" s="42">
        <v>44930.0</v>
      </c>
      <c r="I8" s="41">
        <v>18.0</v>
      </c>
      <c r="J8" s="43">
        <v>314.53</v>
      </c>
      <c r="K8" s="43">
        <v>204.87</v>
      </c>
      <c r="L8" s="43">
        <v>5661.539999999999</v>
      </c>
      <c r="M8" s="43">
        <v>3687.66</v>
      </c>
      <c r="N8" s="43">
        <v>1973.8799999999992</v>
      </c>
      <c r="O8" s="44">
        <v>0.3486471878676119</v>
      </c>
    </row>
    <row r="9" ht="22.5" customHeight="1">
      <c r="B9" s="41" t="s">
        <v>32</v>
      </c>
      <c r="C9" s="41" t="s">
        <v>14</v>
      </c>
      <c r="D9" s="41" t="s">
        <v>21</v>
      </c>
      <c r="E9" s="41" t="s">
        <v>30</v>
      </c>
      <c r="F9" s="41" t="s">
        <v>27</v>
      </c>
      <c r="G9" s="41" t="s">
        <v>31</v>
      </c>
      <c r="H9" s="42">
        <v>44931.0</v>
      </c>
      <c r="I9" s="41">
        <v>472.0</v>
      </c>
      <c r="J9" s="43">
        <v>392.79</v>
      </c>
      <c r="K9" s="43">
        <v>330.46</v>
      </c>
      <c r="L9" s="43">
        <v>185396.88</v>
      </c>
      <c r="M9" s="43">
        <v>155977.12</v>
      </c>
      <c r="N9" s="43">
        <v>29419.76000000001</v>
      </c>
      <c r="O9" s="44">
        <v>0.15868530257898628</v>
      </c>
    </row>
    <row r="10" ht="22.5" customHeight="1">
      <c r="B10" s="41" t="s">
        <v>33</v>
      </c>
      <c r="C10" s="41" t="s">
        <v>20</v>
      </c>
      <c r="D10" s="41" t="s">
        <v>34</v>
      </c>
      <c r="E10" s="41" t="s">
        <v>26</v>
      </c>
      <c r="F10" s="41" t="s">
        <v>17</v>
      </c>
      <c r="G10" s="41" t="s">
        <v>18</v>
      </c>
      <c r="H10" s="42">
        <v>44932.0</v>
      </c>
      <c r="I10" s="41">
        <v>49.0</v>
      </c>
      <c r="J10" s="43">
        <v>308.07</v>
      </c>
      <c r="K10" s="43">
        <v>113.32</v>
      </c>
      <c r="L10" s="43">
        <v>15095.43</v>
      </c>
      <c r="M10" s="43">
        <v>5552.679999999999</v>
      </c>
      <c r="N10" s="43">
        <v>9542.75</v>
      </c>
      <c r="O10" s="44">
        <v>0.6321615217320739</v>
      </c>
    </row>
    <row r="11" ht="22.5" customHeight="1">
      <c r="B11" s="41" t="s">
        <v>35</v>
      </c>
      <c r="C11" s="41" t="s">
        <v>25</v>
      </c>
      <c r="D11" s="41" t="s">
        <v>15</v>
      </c>
      <c r="E11" s="41" t="s">
        <v>26</v>
      </c>
      <c r="F11" s="41" t="s">
        <v>17</v>
      </c>
      <c r="G11" s="41" t="s">
        <v>23</v>
      </c>
      <c r="H11" s="42">
        <v>44933.0</v>
      </c>
      <c r="I11" s="41">
        <v>34.0</v>
      </c>
      <c r="J11" s="43">
        <v>244.78</v>
      </c>
      <c r="K11" s="43">
        <v>377.07</v>
      </c>
      <c r="L11" s="43">
        <v>8322.52</v>
      </c>
      <c r="M11" s="43">
        <v>12820.38</v>
      </c>
      <c r="N11" s="43">
        <v>-4497.859999999999</v>
      </c>
      <c r="O11" s="44">
        <v>-0.5404444807582317</v>
      </c>
    </row>
    <row r="12" ht="22.5" customHeight="1">
      <c r="B12" s="41" t="s">
        <v>36</v>
      </c>
      <c r="C12" s="41" t="s">
        <v>25</v>
      </c>
      <c r="D12" s="41" t="s">
        <v>21</v>
      </c>
      <c r="E12" s="41" t="s">
        <v>16</v>
      </c>
      <c r="F12" s="41" t="s">
        <v>17</v>
      </c>
      <c r="G12" s="41" t="s">
        <v>18</v>
      </c>
      <c r="H12" s="42">
        <v>44934.0</v>
      </c>
      <c r="I12" s="41">
        <v>270.0</v>
      </c>
      <c r="J12" s="43">
        <v>332.11</v>
      </c>
      <c r="K12" s="43">
        <v>349.59</v>
      </c>
      <c r="L12" s="43">
        <v>89669.7</v>
      </c>
      <c r="M12" s="43">
        <v>94389.29999999999</v>
      </c>
      <c r="N12" s="43">
        <v>-4719.599999999991</v>
      </c>
      <c r="O12" s="44">
        <v>-0.05263316371081861</v>
      </c>
    </row>
    <row r="13" ht="22.5" customHeight="1">
      <c r="B13" s="41" t="s">
        <v>37</v>
      </c>
      <c r="C13" s="41" t="s">
        <v>14</v>
      </c>
      <c r="D13" s="41" t="s">
        <v>21</v>
      </c>
      <c r="E13" s="41" t="s">
        <v>16</v>
      </c>
      <c r="F13" s="41" t="s">
        <v>17</v>
      </c>
      <c r="G13" s="41" t="s">
        <v>23</v>
      </c>
      <c r="H13" s="42">
        <v>44935.0</v>
      </c>
      <c r="I13" s="41">
        <v>404.0</v>
      </c>
      <c r="J13" s="43">
        <v>278.74</v>
      </c>
      <c r="K13" s="43">
        <v>66.38</v>
      </c>
      <c r="L13" s="43">
        <v>112610.96</v>
      </c>
      <c r="M13" s="43">
        <v>26817.519999999997</v>
      </c>
      <c r="N13" s="43">
        <v>85793.44</v>
      </c>
      <c r="O13" s="44">
        <v>0.7618569276027839</v>
      </c>
    </row>
    <row r="14" ht="22.5" customHeight="1">
      <c r="B14" s="41" t="s">
        <v>38</v>
      </c>
      <c r="C14" s="41" t="s">
        <v>39</v>
      </c>
      <c r="D14" s="41" t="s">
        <v>29</v>
      </c>
      <c r="E14" s="41" t="s">
        <v>30</v>
      </c>
      <c r="F14" s="41" t="s">
        <v>17</v>
      </c>
      <c r="G14" s="41" t="s">
        <v>31</v>
      </c>
      <c r="H14" s="42">
        <v>44936.0</v>
      </c>
      <c r="I14" s="41">
        <v>452.0</v>
      </c>
      <c r="J14" s="43">
        <v>300.75</v>
      </c>
      <c r="K14" s="43">
        <v>314.94</v>
      </c>
      <c r="L14" s="43">
        <v>135939.0</v>
      </c>
      <c r="M14" s="43">
        <v>142352.88</v>
      </c>
      <c r="N14" s="43">
        <v>-6413.880000000005</v>
      </c>
      <c r="O14" s="44">
        <v>-0.047182044887780585</v>
      </c>
    </row>
    <row r="15" ht="22.5" customHeight="1">
      <c r="B15" s="41" t="s">
        <v>40</v>
      </c>
      <c r="C15" s="41" t="s">
        <v>14</v>
      </c>
      <c r="D15" s="41" t="s">
        <v>29</v>
      </c>
      <c r="E15" s="41" t="s">
        <v>22</v>
      </c>
      <c r="F15" s="41" t="s">
        <v>17</v>
      </c>
      <c r="G15" s="41" t="s">
        <v>23</v>
      </c>
      <c r="H15" s="42">
        <v>44937.0</v>
      </c>
      <c r="I15" s="41">
        <v>235.0</v>
      </c>
      <c r="J15" s="43">
        <v>393.0</v>
      </c>
      <c r="K15" s="43">
        <v>230.69</v>
      </c>
      <c r="L15" s="43">
        <v>92355.0</v>
      </c>
      <c r="M15" s="43">
        <v>54212.15</v>
      </c>
      <c r="N15" s="43">
        <v>38142.85</v>
      </c>
      <c r="O15" s="44">
        <v>0.41300254452926205</v>
      </c>
    </row>
    <row r="16" ht="22.5" customHeight="1">
      <c r="B16" s="41" t="s">
        <v>41</v>
      </c>
      <c r="C16" s="41" t="s">
        <v>14</v>
      </c>
      <c r="D16" s="41" t="s">
        <v>34</v>
      </c>
      <c r="E16" s="41" t="s">
        <v>30</v>
      </c>
      <c r="F16" s="41" t="s">
        <v>27</v>
      </c>
      <c r="G16" s="41" t="s">
        <v>31</v>
      </c>
      <c r="H16" s="42">
        <v>44938.0</v>
      </c>
      <c r="I16" s="41">
        <v>481.0</v>
      </c>
      <c r="J16" s="43">
        <v>243.05</v>
      </c>
      <c r="K16" s="43">
        <v>227.5</v>
      </c>
      <c r="L16" s="43">
        <v>116907.05</v>
      </c>
      <c r="M16" s="43">
        <v>109427.5</v>
      </c>
      <c r="N16" s="43">
        <v>7479.550000000003</v>
      </c>
      <c r="O16" s="44">
        <v>0.06397860522526232</v>
      </c>
    </row>
    <row r="17" ht="22.5" customHeight="1">
      <c r="B17" s="41" t="s">
        <v>42</v>
      </c>
      <c r="C17" s="41" t="s">
        <v>14</v>
      </c>
      <c r="D17" s="41" t="s">
        <v>15</v>
      </c>
      <c r="E17" s="41" t="s">
        <v>22</v>
      </c>
      <c r="F17" s="41" t="s">
        <v>27</v>
      </c>
      <c r="G17" s="41" t="s">
        <v>23</v>
      </c>
      <c r="H17" s="42">
        <v>44939.0</v>
      </c>
      <c r="I17" s="41">
        <v>133.0</v>
      </c>
      <c r="J17" s="43">
        <v>25.17</v>
      </c>
      <c r="K17" s="43">
        <v>157.64</v>
      </c>
      <c r="L17" s="43">
        <v>3347.61</v>
      </c>
      <c r="M17" s="43">
        <v>20966.12</v>
      </c>
      <c r="N17" s="43">
        <v>-17618.51</v>
      </c>
      <c r="O17" s="44">
        <v>-5.263011521652761</v>
      </c>
    </row>
    <row r="18" ht="22.5" customHeight="1">
      <c r="B18" s="41" t="s">
        <v>43</v>
      </c>
      <c r="C18" s="41" t="s">
        <v>14</v>
      </c>
      <c r="D18" s="41" t="s">
        <v>29</v>
      </c>
      <c r="E18" s="41" t="s">
        <v>22</v>
      </c>
      <c r="F18" s="41" t="s">
        <v>27</v>
      </c>
      <c r="G18" s="41" t="s">
        <v>23</v>
      </c>
      <c r="H18" s="42">
        <v>44940.0</v>
      </c>
      <c r="I18" s="41">
        <v>472.0</v>
      </c>
      <c r="J18" s="43">
        <v>86.18</v>
      </c>
      <c r="K18" s="43">
        <v>201.46</v>
      </c>
      <c r="L18" s="43">
        <v>40676.96000000001</v>
      </c>
      <c r="M18" s="43">
        <v>95089.12000000001</v>
      </c>
      <c r="N18" s="43">
        <v>-54412.16</v>
      </c>
      <c r="O18" s="44">
        <v>-1.337665351589696</v>
      </c>
    </row>
    <row r="19" ht="22.5" customHeight="1">
      <c r="B19" s="41" t="s">
        <v>44</v>
      </c>
      <c r="C19" s="41" t="s">
        <v>20</v>
      </c>
      <c r="D19" s="41" t="s">
        <v>21</v>
      </c>
      <c r="E19" s="41" t="s">
        <v>16</v>
      </c>
      <c r="F19" s="41" t="s">
        <v>27</v>
      </c>
      <c r="G19" s="41" t="s">
        <v>23</v>
      </c>
      <c r="H19" s="42">
        <v>44941.0</v>
      </c>
      <c r="I19" s="41">
        <v>47.0</v>
      </c>
      <c r="J19" s="43">
        <v>222.11</v>
      </c>
      <c r="K19" s="43">
        <v>160.08</v>
      </c>
      <c r="L19" s="43">
        <v>10439.17</v>
      </c>
      <c r="M19" s="43">
        <v>7523.76</v>
      </c>
      <c r="N19" s="43">
        <v>2915.41</v>
      </c>
      <c r="O19" s="44">
        <v>0.27927603439737064</v>
      </c>
    </row>
    <row r="20" ht="22.5" customHeight="1">
      <c r="B20" s="41" t="s">
        <v>45</v>
      </c>
      <c r="C20" s="41" t="s">
        <v>25</v>
      </c>
      <c r="D20" s="41" t="s">
        <v>15</v>
      </c>
      <c r="E20" s="41" t="s">
        <v>46</v>
      </c>
      <c r="F20" s="41" t="s">
        <v>17</v>
      </c>
      <c r="G20" s="41" t="s">
        <v>18</v>
      </c>
      <c r="H20" s="42">
        <v>44942.0</v>
      </c>
      <c r="I20" s="41">
        <v>337.0</v>
      </c>
      <c r="J20" s="43">
        <v>363.79</v>
      </c>
      <c r="K20" s="43">
        <v>216.81</v>
      </c>
      <c r="L20" s="43">
        <v>122597.23000000001</v>
      </c>
      <c r="M20" s="43">
        <v>73064.97</v>
      </c>
      <c r="N20" s="43">
        <v>49532.26000000001</v>
      </c>
      <c r="O20" s="44">
        <v>0.4040242997333627</v>
      </c>
    </row>
    <row r="21" ht="22.5" customHeight="1">
      <c r="B21" s="41" t="s">
        <v>47</v>
      </c>
      <c r="C21" s="41" t="s">
        <v>20</v>
      </c>
      <c r="D21" s="41" t="s">
        <v>15</v>
      </c>
      <c r="E21" s="41" t="s">
        <v>46</v>
      </c>
      <c r="F21" s="41" t="s">
        <v>17</v>
      </c>
      <c r="G21" s="41" t="s">
        <v>18</v>
      </c>
      <c r="H21" s="42">
        <v>44943.0</v>
      </c>
      <c r="I21" s="41">
        <v>260.0</v>
      </c>
      <c r="J21" s="43">
        <v>298.67</v>
      </c>
      <c r="K21" s="43">
        <v>251.92</v>
      </c>
      <c r="L21" s="43">
        <v>77654.2</v>
      </c>
      <c r="M21" s="43">
        <v>65499.2</v>
      </c>
      <c r="N21" s="43">
        <v>12155.0</v>
      </c>
      <c r="O21" s="44">
        <v>0.15652727090099441</v>
      </c>
    </row>
    <row r="22" ht="22.5" customHeight="1">
      <c r="B22" s="41" t="s">
        <v>48</v>
      </c>
      <c r="C22" s="41" t="s">
        <v>39</v>
      </c>
      <c r="D22" s="41" t="s">
        <v>21</v>
      </c>
      <c r="E22" s="41" t="s">
        <v>26</v>
      </c>
      <c r="F22" s="41" t="s">
        <v>27</v>
      </c>
      <c r="G22" s="41" t="s">
        <v>31</v>
      </c>
      <c r="H22" s="42">
        <v>44944.0</v>
      </c>
      <c r="I22" s="41">
        <v>398.0</v>
      </c>
      <c r="J22" s="43">
        <v>326.9</v>
      </c>
      <c r="K22" s="43">
        <v>270.37</v>
      </c>
      <c r="L22" s="43">
        <v>130106.2</v>
      </c>
      <c r="M22" s="43">
        <v>107607.26</v>
      </c>
      <c r="N22" s="43">
        <v>22498.940000000002</v>
      </c>
      <c r="O22" s="44">
        <v>0.17292750076475988</v>
      </c>
    </row>
    <row r="23" ht="22.5" customHeight="1">
      <c r="B23" s="41" t="s">
        <v>49</v>
      </c>
      <c r="C23" s="41" t="s">
        <v>20</v>
      </c>
      <c r="D23" s="41" t="s">
        <v>29</v>
      </c>
      <c r="E23" s="41" t="s">
        <v>16</v>
      </c>
      <c r="F23" s="41" t="s">
        <v>17</v>
      </c>
      <c r="G23" s="41" t="s">
        <v>31</v>
      </c>
      <c r="H23" s="42">
        <v>44945.0</v>
      </c>
      <c r="I23" s="41">
        <v>185.0</v>
      </c>
      <c r="J23" s="43">
        <v>242.24</v>
      </c>
      <c r="K23" s="43">
        <v>213.93</v>
      </c>
      <c r="L23" s="43">
        <v>44814.4</v>
      </c>
      <c r="M23" s="43">
        <v>39577.05</v>
      </c>
      <c r="N23" s="43">
        <v>5237.3499999999985</v>
      </c>
      <c r="O23" s="44">
        <v>0.11686756935270802</v>
      </c>
    </row>
    <row r="24" ht="22.5" customHeight="1">
      <c r="B24" s="41" t="s">
        <v>50</v>
      </c>
      <c r="C24" s="41" t="s">
        <v>14</v>
      </c>
      <c r="D24" s="41" t="s">
        <v>21</v>
      </c>
      <c r="E24" s="41" t="s">
        <v>22</v>
      </c>
      <c r="F24" s="41" t="s">
        <v>27</v>
      </c>
      <c r="G24" s="41" t="s">
        <v>18</v>
      </c>
      <c r="H24" s="42">
        <v>44946.0</v>
      </c>
      <c r="I24" s="41">
        <v>99.0</v>
      </c>
      <c r="J24" s="43">
        <v>309.79</v>
      </c>
      <c r="K24" s="43">
        <v>289.13</v>
      </c>
      <c r="L24" s="43">
        <v>30669.210000000003</v>
      </c>
      <c r="M24" s="43">
        <v>28623.87</v>
      </c>
      <c r="N24" s="43">
        <v>2045.3400000000038</v>
      </c>
      <c r="O24" s="44">
        <v>0.06669033861648226</v>
      </c>
    </row>
    <row r="25" ht="22.5" customHeight="1">
      <c r="B25" s="41" t="s">
        <v>51</v>
      </c>
      <c r="C25" s="41" t="s">
        <v>52</v>
      </c>
      <c r="D25" s="41" t="s">
        <v>15</v>
      </c>
      <c r="E25" s="41" t="s">
        <v>46</v>
      </c>
      <c r="F25" s="41" t="s">
        <v>27</v>
      </c>
      <c r="G25" s="41" t="s">
        <v>31</v>
      </c>
      <c r="H25" s="42">
        <v>44947.0</v>
      </c>
      <c r="I25" s="41">
        <v>411.0</v>
      </c>
      <c r="J25" s="43">
        <v>167.86</v>
      </c>
      <c r="K25" s="43">
        <v>58.23</v>
      </c>
      <c r="L25" s="43">
        <v>68990.46</v>
      </c>
      <c r="M25" s="43">
        <v>23932.53</v>
      </c>
      <c r="N25" s="43">
        <v>45057.93000000001</v>
      </c>
      <c r="O25" s="44">
        <v>0.6531037769569881</v>
      </c>
    </row>
    <row r="26" ht="22.5" customHeight="1">
      <c r="B26" s="41" t="s">
        <v>53</v>
      </c>
      <c r="C26" s="41" t="s">
        <v>25</v>
      </c>
      <c r="D26" s="41" t="s">
        <v>54</v>
      </c>
      <c r="E26" s="41" t="s">
        <v>22</v>
      </c>
      <c r="F26" s="41" t="s">
        <v>27</v>
      </c>
      <c r="G26" s="41" t="s">
        <v>18</v>
      </c>
      <c r="H26" s="42">
        <v>44948.0</v>
      </c>
      <c r="I26" s="41">
        <v>463.0</v>
      </c>
      <c r="J26" s="43">
        <v>237.74</v>
      </c>
      <c r="K26" s="43">
        <v>86.37</v>
      </c>
      <c r="L26" s="43">
        <v>110073.62000000001</v>
      </c>
      <c r="M26" s="43">
        <v>39989.310000000005</v>
      </c>
      <c r="N26" s="43">
        <v>70084.31</v>
      </c>
      <c r="O26" s="44">
        <v>0.6367039623117691</v>
      </c>
    </row>
    <row r="27" ht="22.5" customHeight="1">
      <c r="B27" s="41" t="s">
        <v>55</v>
      </c>
      <c r="C27" s="41" t="s">
        <v>52</v>
      </c>
      <c r="D27" s="41" t="s">
        <v>54</v>
      </c>
      <c r="E27" s="41" t="s">
        <v>46</v>
      </c>
      <c r="F27" s="41" t="s">
        <v>17</v>
      </c>
      <c r="G27" s="41" t="s">
        <v>23</v>
      </c>
      <c r="H27" s="42">
        <v>44949.0</v>
      </c>
      <c r="I27" s="41">
        <v>46.0</v>
      </c>
      <c r="J27" s="43">
        <v>373.42</v>
      </c>
      <c r="K27" s="43">
        <v>327.86</v>
      </c>
      <c r="L27" s="43">
        <v>17177.32</v>
      </c>
      <c r="M27" s="43">
        <v>15081.560000000001</v>
      </c>
      <c r="N27" s="43">
        <v>2095.7599999999984</v>
      </c>
      <c r="O27" s="44">
        <v>0.1220073911413421</v>
      </c>
    </row>
    <row r="28" ht="22.5" customHeight="1">
      <c r="B28" s="41" t="s">
        <v>56</v>
      </c>
      <c r="C28" s="41" t="s">
        <v>20</v>
      </c>
      <c r="D28" s="41" t="s">
        <v>34</v>
      </c>
      <c r="E28" s="41" t="s">
        <v>46</v>
      </c>
      <c r="F28" s="41" t="s">
        <v>27</v>
      </c>
      <c r="G28" s="41" t="s">
        <v>31</v>
      </c>
      <c r="H28" s="42">
        <v>44950.0</v>
      </c>
      <c r="I28" s="41">
        <v>325.0</v>
      </c>
      <c r="J28" s="43">
        <v>436.56</v>
      </c>
      <c r="K28" s="43">
        <v>130.37</v>
      </c>
      <c r="L28" s="43">
        <v>141882.0</v>
      </c>
      <c r="M28" s="43">
        <v>42370.25</v>
      </c>
      <c r="N28" s="43">
        <v>99511.75</v>
      </c>
      <c r="O28" s="44">
        <v>0.7013698002565513</v>
      </c>
    </row>
    <row r="29" ht="22.5" customHeight="1">
      <c r="B29" s="41" t="s">
        <v>57</v>
      </c>
      <c r="C29" s="41" t="s">
        <v>20</v>
      </c>
      <c r="D29" s="41" t="s">
        <v>21</v>
      </c>
      <c r="E29" s="41" t="s">
        <v>39</v>
      </c>
      <c r="F29" s="41" t="s">
        <v>27</v>
      </c>
      <c r="G29" s="41" t="s">
        <v>31</v>
      </c>
      <c r="H29" s="42">
        <v>44951.0</v>
      </c>
      <c r="I29" s="41">
        <v>185.0</v>
      </c>
      <c r="J29" s="43">
        <v>219.66</v>
      </c>
      <c r="K29" s="43">
        <v>11.11</v>
      </c>
      <c r="L29" s="43">
        <v>40637.1</v>
      </c>
      <c r="M29" s="43">
        <v>2055.35</v>
      </c>
      <c r="N29" s="43">
        <v>38581.75</v>
      </c>
      <c r="O29" s="44">
        <v>0.9494218337430574</v>
      </c>
    </row>
    <row r="30" ht="22.5" customHeight="1">
      <c r="B30" s="41" t="s">
        <v>58</v>
      </c>
      <c r="C30" s="41" t="s">
        <v>52</v>
      </c>
      <c r="D30" s="41" t="s">
        <v>21</v>
      </c>
      <c r="E30" s="41" t="s">
        <v>16</v>
      </c>
      <c r="F30" s="41" t="s">
        <v>27</v>
      </c>
      <c r="G30" s="41" t="s">
        <v>18</v>
      </c>
      <c r="H30" s="42">
        <v>44952.0</v>
      </c>
      <c r="I30" s="41">
        <v>470.0</v>
      </c>
      <c r="J30" s="43">
        <v>26.61</v>
      </c>
      <c r="K30" s="43">
        <v>63.21</v>
      </c>
      <c r="L30" s="43">
        <v>12506.699999999999</v>
      </c>
      <c r="M30" s="43">
        <v>29708.7</v>
      </c>
      <c r="N30" s="43">
        <v>-17202.0</v>
      </c>
      <c r="O30" s="44">
        <v>-1.3754227733934612</v>
      </c>
    </row>
    <row r="31" ht="22.5" customHeight="1">
      <c r="B31" s="41" t="s">
        <v>59</v>
      </c>
      <c r="C31" s="41" t="s">
        <v>52</v>
      </c>
      <c r="D31" s="41" t="s">
        <v>34</v>
      </c>
      <c r="E31" s="41" t="s">
        <v>30</v>
      </c>
      <c r="F31" s="41" t="s">
        <v>17</v>
      </c>
      <c r="G31" s="41" t="s">
        <v>31</v>
      </c>
      <c r="H31" s="42">
        <v>44953.0</v>
      </c>
      <c r="I31" s="41">
        <v>293.0</v>
      </c>
      <c r="J31" s="43">
        <v>85.03</v>
      </c>
      <c r="K31" s="43">
        <v>91.0</v>
      </c>
      <c r="L31" s="43">
        <v>24913.79</v>
      </c>
      <c r="M31" s="43">
        <v>26663.0</v>
      </c>
      <c r="N31" s="43">
        <v>-1749.2099999999991</v>
      </c>
      <c r="O31" s="44">
        <v>-0.07021051393625775</v>
      </c>
    </row>
    <row r="32" ht="22.5" customHeight="1">
      <c r="B32" s="41" t="s">
        <v>60</v>
      </c>
      <c r="C32" s="41" t="s">
        <v>52</v>
      </c>
      <c r="D32" s="41" t="s">
        <v>34</v>
      </c>
      <c r="E32" s="41" t="s">
        <v>22</v>
      </c>
      <c r="F32" s="41" t="s">
        <v>17</v>
      </c>
      <c r="G32" s="41" t="s">
        <v>31</v>
      </c>
      <c r="H32" s="42">
        <v>44954.0</v>
      </c>
      <c r="I32" s="41">
        <v>462.0</v>
      </c>
      <c r="J32" s="43">
        <v>249.64520588235297</v>
      </c>
      <c r="K32" s="43">
        <v>383.01</v>
      </c>
      <c r="L32" s="43">
        <v>115336.08511764708</v>
      </c>
      <c r="M32" s="43">
        <v>176950.62</v>
      </c>
      <c r="N32" s="43">
        <v>-61614.53488235292</v>
      </c>
      <c r="O32" s="44">
        <v>-0.5342173251285911</v>
      </c>
    </row>
    <row r="33" ht="22.5" customHeight="1">
      <c r="B33" s="41" t="s">
        <v>61</v>
      </c>
      <c r="C33" s="41" t="s">
        <v>20</v>
      </c>
      <c r="D33" s="41" t="s">
        <v>34</v>
      </c>
      <c r="E33" s="41" t="s">
        <v>16</v>
      </c>
      <c r="F33" s="41" t="s">
        <v>27</v>
      </c>
      <c r="G33" s="41" t="s">
        <v>23</v>
      </c>
      <c r="H33" s="42">
        <v>44955.0</v>
      </c>
      <c r="I33" s="41">
        <v>470.0</v>
      </c>
      <c r="J33" s="43">
        <v>328.37</v>
      </c>
      <c r="K33" s="43">
        <v>230.07</v>
      </c>
      <c r="L33" s="43">
        <v>154333.9</v>
      </c>
      <c r="M33" s="43">
        <v>108132.9</v>
      </c>
      <c r="N33" s="43">
        <v>46201.0</v>
      </c>
      <c r="O33" s="44">
        <v>0.29935743216493593</v>
      </c>
    </row>
    <row r="34" ht="22.5" customHeight="1">
      <c r="B34" s="41" t="s">
        <v>62</v>
      </c>
      <c r="C34" s="41" t="s">
        <v>20</v>
      </c>
      <c r="D34" s="41" t="s">
        <v>15</v>
      </c>
      <c r="E34" s="41" t="s">
        <v>16</v>
      </c>
      <c r="F34" s="41" t="s">
        <v>17</v>
      </c>
      <c r="G34" s="41" t="s">
        <v>31</v>
      </c>
      <c r="H34" s="42">
        <v>44956.0</v>
      </c>
      <c r="I34" s="41">
        <v>90.0</v>
      </c>
      <c r="J34" s="43">
        <v>169.5</v>
      </c>
      <c r="K34" s="43">
        <v>373.23</v>
      </c>
      <c r="L34" s="43">
        <v>15255.0</v>
      </c>
      <c r="M34" s="43">
        <v>33590.700000000004</v>
      </c>
      <c r="N34" s="43">
        <v>-18335.700000000004</v>
      </c>
      <c r="O34" s="44">
        <v>-1.2019469026548675</v>
      </c>
    </row>
    <row r="35" ht="22.5" customHeight="1">
      <c r="B35" s="41" t="s">
        <v>63</v>
      </c>
      <c r="C35" s="41" t="s">
        <v>39</v>
      </c>
      <c r="D35" s="41" t="s">
        <v>21</v>
      </c>
      <c r="E35" s="41" t="s">
        <v>16</v>
      </c>
      <c r="F35" s="41" t="s">
        <v>17</v>
      </c>
      <c r="G35" s="41" t="s">
        <v>23</v>
      </c>
      <c r="H35" s="42">
        <v>44957.0</v>
      </c>
      <c r="I35" s="41">
        <v>123.0</v>
      </c>
      <c r="J35" s="43">
        <v>273.53</v>
      </c>
      <c r="K35" s="43">
        <v>230.92</v>
      </c>
      <c r="L35" s="43">
        <v>33644.189999999995</v>
      </c>
      <c r="M35" s="43">
        <v>28403.16</v>
      </c>
      <c r="N35" s="43">
        <v>5241.029999999995</v>
      </c>
      <c r="O35" s="44">
        <v>0.15577815961686092</v>
      </c>
    </row>
    <row r="36" ht="22.5" customHeight="1">
      <c r="B36" s="41" t="s">
        <v>64</v>
      </c>
      <c r="C36" s="41" t="s">
        <v>25</v>
      </c>
      <c r="D36" s="41" t="s">
        <v>15</v>
      </c>
      <c r="E36" s="41" t="s">
        <v>16</v>
      </c>
      <c r="F36" s="41" t="s">
        <v>17</v>
      </c>
      <c r="G36" s="41" t="s">
        <v>18</v>
      </c>
      <c r="H36" s="42">
        <v>44958.0</v>
      </c>
      <c r="I36" s="41">
        <v>49.0</v>
      </c>
      <c r="J36" s="43">
        <v>249.17</v>
      </c>
      <c r="K36" s="43">
        <v>192.78</v>
      </c>
      <c r="L36" s="43">
        <v>12209.33</v>
      </c>
      <c r="M36" s="43">
        <v>9446.22</v>
      </c>
      <c r="N36" s="43">
        <v>2763.1100000000006</v>
      </c>
      <c r="O36" s="44">
        <v>0.226311353694265</v>
      </c>
    </row>
    <row r="37" ht="22.5" customHeight="1">
      <c r="B37" s="41" t="s">
        <v>65</v>
      </c>
      <c r="C37" s="41" t="s">
        <v>20</v>
      </c>
      <c r="D37" s="41" t="s">
        <v>34</v>
      </c>
      <c r="E37" s="41" t="s">
        <v>16</v>
      </c>
      <c r="F37" s="41" t="s">
        <v>17</v>
      </c>
      <c r="G37" s="41" t="s">
        <v>31</v>
      </c>
      <c r="H37" s="42">
        <v>44959.0</v>
      </c>
      <c r="I37" s="41">
        <v>310.0</v>
      </c>
      <c r="J37" s="43">
        <v>45.36</v>
      </c>
      <c r="K37" s="43">
        <v>126.86</v>
      </c>
      <c r="L37" s="43">
        <v>14061.6</v>
      </c>
      <c r="M37" s="43">
        <v>39326.6</v>
      </c>
      <c r="N37" s="43">
        <v>-25265.0</v>
      </c>
      <c r="O37" s="44">
        <v>-1.79673721340388</v>
      </c>
    </row>
    <row r="38" ht="22.5" customHeight="1">
      <c r="B38" s="41" t="s">
        <v>66</v>
      </c>
      <c r="C38" s="41" t="s">
        <v>52</v>
      </c>
      <c r="D38" s="41" t="s">
        <v>21</v>
      </c>
      <c r="E38" s="41" t="s">
        <v>26</v>
      </c>
      <c r="F38" s="41" t="s">
        <v>17</v>
      </c>
      <c r="G38" s="41" t="s">
        <v>23</v>
      </c>
      <c r="H38" s="42">
        <v>44960.0</v>
      </c>
      <c r="I38" s="41">
        <v>233.0</v>
      </c>
      <c r="J38" s="43">
        <v>204.61</v>
      </c>
      <c r="K38" s="43">
        <v>243.34</v>
      </c>
      <c r="L38" s="43">
        <v>47674.130000000005</v>
      </c>
      <c r="M38" s="43">
        <v>56698.22</v>
      </c>
      <c r="N38" s="43">
        <v>-9024.089999999997</v>
      </c>
      <c r="O38" s="44">
        <v>-0.18928693612237907</v>
      </c>
    </row>
    <row r="39" ht="22.5" customHeight="1">
      <c r="B39" s="41" t="s">
        <v>67</v>
      </c>
      <c r="C39" s="41" t="s">
        <v>52</v>
      </c>
      <c r="D39" s="41" t="s">
        <v>15</v>
      </c>
      <c r="E39" s="41" t="s">
        <v>22</v>
      </c>
      <c r="F39" s="41" t="s">
        <v>17</v>
      </c>
      <c r="G39" s="41" t="s">
        <v>18</v>
      </c>
      <c r="H39" s="42">
        <v>44961.0</v>
      </c>
      <c r="I39" s="41">
        <v>327.0</v>
      </c>
      <c r="J39" s="43">
        <v>114.18</v>
      </c>
      <c r="K39" s="43">
        <v>57.4</v>
      </c>
      <c r="L39" s="43">
        <v>37336.86</v>
      </c>
      <c r="M39" s="43">
        <v>18769.8</v>
      </c>
      <c r="N39" s="43">
        <v>18567.06</v>
      </c>
      <c r="O39" s="44">
        <v>0.4972849886144684</v>
      </c>
    </row>
    <row r="40" ht="22.5" customHeight="1">
      <c r="B40" s="41" t="s">
        <v>68</v>
      </c>
      <c r="C40" s="41" t="s">
        <v>25</v>
      </c>
      <c r="D40" s="41" t="s">
        <v>15</v>
      </c>
      <c r="E40" s="41" t="s">
        <v>16</v>
      </c>
      <c r="F40" s="41" t="s">
        <v>17</v>
      </c>
      <c r="G40" s="41" t="s">
        <v>31</v>
      </c>
      <c r="H40" s="42">
        <v>44962.0</v>
      </c>
      <c r="I40" s="41">
        <v>358.0</v>
      </c>
      <c r="J40" s="43">
        <v>212.11</v>
      </c>
      <c r="K40" s="43">
        <v>359.51</v>
      </c>
      <c r="L40" s="43">
        <v>75935.38</v>
      </c>
      <c r="M40" s="43">
        <v>128704.58</v>
      </c>
      <c r="N40" s="43">
        <v>-52769.2</v>
      </c>
      <c r="O40" s="44">
        <v>-0.6949224459007118</v>
      </c>
    </row>
    <row r="41" ht="22.5" customHeight="1">
      <c r="B41" s="41" t="s">
        <v>69</v>
      </c>
      <c r="C41" s="41" t="s">
        <v>20</v>
      </c>
      <c r="D41" s="41" t="s">
        <v>34</v>
      </c>
      <c r="E41" s="41" t="s">
        <v>22</v>
      </c>
      <c r="F41" s="41" t="s">
        <v>17</v>
      </c>
      <c r="G41" s="41" t="s">
        <v>18</v>
      </c>
      <c r="H41" s="42">
        <v>44963.0</v>
      </c>
      <c r="I41" s="41">
        <v>124.0</v>
      </c>
      <c r="J41" s="43">
        <v>249.64520588235297</v>
      </c>
      <c r="K41" s="43">
        <v>332.07</v>
      </c>
      <c r="L41" s="43">
        <v>30956.005529411766</v>
      </c>
      <c r="M41" s="43">
        <v>41176.68</v>
      </c>
      <c r="N41" s="43">
        <v>-10220.674470588234</v>
      </c>
      <c r="O41" s="44">
        <v>-0.3301677427624639</v>
      </c>
    </row>
    <row r="42" ht="22.5" customHeight="1">
      <c r="B42" s="41" t="s">
        <v>70</v>
      </c>
      <c r="C42" s="41" t="s">
        <v>25</v>
      </c>
      <c r="D42" s="41" t="s">
        <v>21</v>
      </c>
      <c r="E42" s="41" t="s">
        <v>26</v>
      </c>
      <c r="F42" s="41" t="s">
        <v>17</v>
      </c>
      <c r="G42" s="41" t="s">
        <v>31</v>
      </c>
      <c r="H42" s="42">
        <v>44964.0</v>
      </c>
      <c r="I42" s="41">
        <v>195.0</v>
      </c>
      <c r="J42" s="43">
        <v>421.02</v>
      </c>
      <c r="K42" s="43">
        <v>128.38</v>
      </c>
      <c r="L42" s="43">
        <v>82098.9</v>
      </c>
      <c r="M42" s="43">
        <v>25034.1</v>
      </c>
      <c r="N42" s="43">
        <v>57064.799999999996</v>
      </c>
      <c r="O42" s="44">
        <v>0.6950738682247875</v>
      </c>
    </row>
    <row r="43" ht="22.5" customHeight="1">
      <c r="B43" s="41" t="s">
        <v>71</v>
      </c>
      <c r="C43" s="41" t="s">
        <v>25</v>
      </c>
      <c r="D43" s="41" t="s">
        <v>34</v>
      </c>
      <c r="E43" s="41" t="s">
        <v>26</v>
      </c>
      <c r="F43" s="41" t="s">
        <v>17</v>
      </c>
      <c r="G43" s="41" t="s">
        <v>18</v>
      </c>
      <c r="H43" s="42">
        <v>44965.0</v>
      </c>
      <c r="I43" s="45">
        <v>255.9029411764706</v>
      </c>
      <c r="J43" s="43">
        <v>91.23</v>
      </c>
      <c r="K43" s="43">
        <v>381.21</v>
      </c>
      <c r="L43" s="43">
        <v>23346.02532352941</v>
      </c>
      <c r="M43" s="43">
        <v>97552.76020588235</v>
      </c>
      <c r="N43" s="43">
        <v>-74206.73488235295</v>
      </c>
      <c r="O43" s="44">
        <v>-3.1785596843143704</v>
      </c>
    </row>
    <row r="44" ht="22.5" customHeight="1">
      <c r="B44" s="41" t="s">
        <v>72</v>
      </c>
      <c r="C44" s="41" t="s">
        <v>14</v>
      </c>
      <c r="D44" s="41" t="s">
        <v>21</v>
      </c>
      <c r="E44" s="41" t="s">
        <v>22</v>
      </c>
      <c r="F44" s="41" t="s">
        <v>27</v>
      </c>
      <c r="G44" s="41" t="s">
        <v>18</v>
      </c>
      <c r="H44" s="42">
        <v>44966.0</v>
      </c>
      <c r="I44" s="41">
        <v>65.0</v>
      </c>
      <c r="J44" s="43">
        <v>480.59</v>
      </c>
      <c r="K44" s="43">
        <v>330.43</v>
      </c>
      <c r="L44" s="43">
        <v>31238.35</v>
      </c>
      <c r="M44" s="43">
        <v>21477.95</v>
      </c>
      <c r="N44" s="43">
        <v>9760.399999999998</v>
      </c>
      <c r="O44" s="44">
        <v>0.31244928109199105</v>
      </c>
    </row>
    <row r="45" ht="22.5" customHeight="1">
      <c r="B45" s="41" t="s">
        <v>73</v>
      </c>
      <c r="C45" s="41" t="s">
        <v>14</v>
      </c>
      <c r="D45" s="41" t="s">
        <v>54</v>
      </c>
      <c r="E45" s="41" t="s">
        <v>46</v>
      </c>
      <c r="F45" s="41" t="s">
        <v>27</v>
      </c>
      <c r="G45" s="41" t="s">
        <v>23</v>
      </c>
      <c r="H45" s="42">
        <v>44967.0</v>
      </c>
      <c r="I45" s="41">
        <v>49.0</v>
      </c>
      <c r="J45" s="43">
        <v>210.87</v>
      </c>
      <c r="K45" s="43">
        <v>267.19</v>
      </c>
      <c r="L45" s="43">
        <v>10332.630000000001</v>
      </c>
      <c r="M45" s="43">
        <v>13092.31</v>
      </c>
      <c r="N45" s="43">
        <v>-2759.6799999999985</v>
      </c>
      <c r="O45" s="44">
        <v>-0.26708398539384437</v>
      </c>
    </row>
    <row r="46" ht="22.5" customHeight="1">
      <c r="B46" s="41" t="s">
        <v>74</v>
      </c>
      <c r="C46" s="41" t="s">
        <v>14</v>
      </c>
      <c r="D46" s="41" t="s">
        <v>29</v>
      </c>
      <c r="E46" s="41" t="s">
        <v>30</v>
      </c>
      <c r="F46" s="41" t="s">
        <v>17</v>
      </c>
      <c r="G46" s="41" t="s">
        <v>18</v>
      </c>
      <c r="H46" s="42">
        <v>44968.0</v>
      </c>
      <c r="I46" s="41">
        <v>363.0</v>
      </c>
      <c r="J46" s="43">
        <v>423.89</v>
      </c>
      <c r="K46" s="43">
        <v>50.46</v>
      </c>
      <c r="L46" s="43">
        <v>153872.07</v>
      </c>
      <c r="M46" s="43">
        <v>18316.98</v>
      </c>
      <c r="N46" s="43">
        <v>135555.09</v>
      </c>
      <c r="O46" s="44">
        <v>0.8809596829366109</v>
      </c>
    </row>
    <row r="47" ht="22.5" customHeight="1">
      <c r="B47" s="41" t="s">
        <v>75</v>
      </c>
      <c r="C47" s="41" t="s">
        <v>52</v>
      </c>
      <c r="D47" s="41" t="s">
        <v>29</v>
      </c>
      <c r="E47" s="41" t="s">
        <v>46</v>
      </c>
      <c r="F47" s="41" t="s">
        <v>27</v>
      </c>
      <c r="G47" s="41" t="s">
        <v>31</v>
      </c>
      <c r="H47" s="42">
        <v>44969.0</v>
      </c>
      <c r="I47" s="41">
        <v>49.0</v>
      </c>
      <c r="J47" s="43">
        <v>316.24</v>
      </c>
      <c r="K47" s="43">
        <v>192.34</v>
      </c>
      <c r="L47" s="43">
        <v>15495.76</v>
      </c>
      <c r="M47" s="43">
        <v>9424.66</v>
      </c>
      <c r="N47" s="43">
        <v>6071.1</v>
      </c>
      <c r="O47" s="44">
        <v>0.3917910447761194</v>
      </c>
    </row>
    <row r="48" ht="22.5" customHeight="1">
      <c r="B48" s="41" t="s">
        <v>76</v>
      </c>
      <c r="C48" s="41" t="s">
        <v>20</v>
      </c>
      <c r="D48" s="41" t="s">
        <v>29</v>
      </c>
      <c r="E48" s="41" t="s">
        <v>46</v>
      </c>
      <c r="F48" s="41" t="s">
        <v>27</v>
      </c>
      <c r="G48" s="41" t="s">
        <v>31</v>
      </c>
      <c r="H48" s="42">
        <v>44970.0</v>
      </c>
      <c r="I48" s="41">
        <v>356.0</v>
      </c>
      <c r="J48" s="43">
        <v>369.0</v>
      </c>
      <c r="K48" s="43">
        <v>203.43</v>
      </c>
      <c r="L48" s="43">
        <v>131364.0</v>
      </c>
      <c r="M48" s="43">
        <v>72421.08</v>
      </c>
      <c r="N48" s="43">
        <v>58942.92</v>
      </c>
      <c r="O48" s="44">
        <v>0.4486991869918699</v>
      </c>
    </row>
    <row r="49" ht="22.5" customHeight="1">
      <c r="B49" s="41" t="s">
        <v>77</v>
      </c>
      <c r="C49" s="41" t="s">
        <v>20</v>
      </c>
      <c r="D49" s="41" t="s">
        <v>34</v>
      </c>
      <c r="E49" s="41" t="s">
        <v>46</v>
      </c>
      <c r="F49" s="41" t="s">
        <v>17</v>
      </c>
      <c r="G49" s="41" t="s">
        <v>23</v>
      </c>
      <c r="H49" s="42">
        <v>44971.0</v>
      </c>
      <c r="I49" s="41">
        <v>470.0</v>
      </c>
      <c r="J49" s="43">
        <v>249.64520588235297</v>
      </c>
      <c r="K49" s="43">
        <v>94.56</v>
      </c>
      <c r="L49" s="43">
        <v>117333.2467647059</v>
      </c>
      <c r="M49" s="43">
        <v>44443.200000000004</v>
      </c>
      <c r="N49" s="43">
        <v>72890.04676470588</v>
      </c>
      <c r="O49" s="44">
        <v>0.6212224478103454</v>
      </c>
    </row>
    <row r="50" ht="22.5" customHeight="1">
      <c r="B50" s="41" t="s">
        <v>78</v>
      </c>
      <c r="C50" s="41" t="s">
        <v>20</v>
      </c>
      <c r="D50" s="41" t="s">
        <v>54</v>
      </c>
      <c r="E50" s="41" t="s">
        <v>16</v>
      </c>
      <c r="F50" s="41" t="s">
        <v>17</v>
      </c>
      <c r="G50" s="41" t="s">
        <v>31</v>
      </c>
      <c r="H50" s="42">
        <v>44972.0</v>
      </c>
      <c r="I50" s="41">
        <v>246.0</v>
      </c>
      <c r="J50" s="43">
        <v>254.9</v>
      </c>
      <c r="K50" s="43">
        <v>33.83</v>
      </c>
      <c r="L50" s="43">
        <v>62705.4</v>
      </c>
      <c r="M50" s="43">
        <v>8322.18</v>
      </c>
      <c r="N50" s="43">
        <v>54383.22</v>
      </c>
      <c r="O50" s="44">
        <v>0.8672812867791291</v>
      </c>
    </row>
    <row r="51" ht="22.5" customHeight="1">
      <c r="B51" s="41" t="s">
        <v>79</v>
      </c>
      <c r="C51" s="41" t="s">
        <v>20</v>
      </c>
      <c r="D51" s="41" t="s">
        <v>21</v>
      </c>
      <c r="E51" s="41" t="s">
        <v>26</v>
      </c>
      <c r="F51" s="41" t="s">
        <v>17</v>
      </c>
      <c r="G51" s="41" t="s">
        <v>31</v>
      </c>
      <c r="H51" s="42">
        <v>44973.0</v>
      </c>
      <c r="I51" s="41">
        <v>298.0</v>
      </c>
      <c r="J51" s="43">
        <v>273.93</v>
      </c>
      <c r="K51" s="43">
        <v>311.14</v>
      </c>
      <c r="L51" s="43">
        <v>81631.14</v>
      </c>
      <c r="M51" s="43">
        <v>92719.72</v>
      </c>
      <c r="N51" s="43">
        <v>-11088.580000000002</v>
      </c>
      <c r="O51" s="44">
        <v>-0.1358376227503377</v>
      </c>
    </row>
    <row r="52" ht="22.5" customHeight="1">
      <c r="B52" s="41" t="s">
        <v>80</v>
      </c>
      <c r="C52" s="41" t="s">
        <v>14</v>
      </c>
      <c r="D52" s="41" t="s">
        <v>15</v>
      </c>
      <c r="E52" s="41" t="s">
        <v>46</v>
      </c>
      <c r="F52" s="41" t="s">
        <v>27</v>
      </c>
      <c r="G52" s="41" t="s">
        <v>31</v>
      </c>
      <c r="H52" s="42">
        <v>44974.0</v>
      </c>
      <c r="I52" s="41">
        <v>271.0</v>
      </c>
      <c r="J52" s="43">
        <v>259.43</v>
      </c>
      <c r="K52" s="43">
        <v>50.57</v>
      </c>
      <c r="L52" s="43">
        <v>70305.53</v>
      </c>
      <c r="M52" s="43">
        <v>13704.47</v>
      </c>
      <c r="N52" s="43">
        <v>56601.06</v>
      </c>
      <c r="O52" s="44">
        <v>0.8050726592915237</v>
      </c>
    </row>
    <row r="53" ht="22.5" customHeight="1">
      <c r="B53" s="41" t="s">
        <v>81</v>
      </c>
      <c r="C53" s="41" t="s">
        <v>52</v>
      </c>
      <c r="D53" s="41" t="s">
        <v>21</v>
      </c>
      <c r="E53" s="41" t="s">
        <v>26</v>
      </c>
      <c r="F53" s="41" t="s">
        <v>27</v>
      </c>
      <c r="G53" s="41" t="s">
        <v>18</v>
      </c>
      <c r="H53" s="42">
        <v>44975.0</v>
      </c>
      <c r="I53" s="41">
        <v>225.0</v>
      </c>
      <c r="J53" s="43">
        <v>296.09</v>
      </c>
      <c r="K53" s="43">
        <v>238.53</v>
      </c>
      <c r="L53" s="43">
        <v>66620.25</v>
      </c>
      <c r="M53" s="43">
        <v>53669.25</v>
      </c>
      <c r="N53" s="43">
        <v>12951.0</v>
      </c>
      <c r="O53" s="44">
        <v>0.19440035124455401</v>
      </c>
    </row>
    <row r="54" ht="22.5" customHeight="1">
      <c r="B54" s="41" t="s">
        <v>82</v>
      </c>
      <c r="C54" s="41" t="s">
        <v>39</v>
      </c>
      <c r="D54" s="41" t="s">
        <v>15</v>
      </c>
      <c r="E54" s="41" t="s">
        <v>22</v>
      </c>
      <c r="F54" s="41" t="s">
        <v>17</v>
      </c>
      <c r="G54" s="41" t="s">
        <v>18</v>
      </c>
      <c r="H54" s="42">
        <v>44976.0</v>
      </c>
      <c r="I54" s="41">
        <v>156.0</v>
      </c>
      <c r="J54" s="43">
        <v>19.55</v>
      </c>
      <c r="K54" s="43">
        <v>374.71</v>
      </c>
      <c r="L54" s="43">
        <v>3049.8</v>
      </c>
      <c r="M54" s="43">
        <v>58454.759999999995</v>
      </c>
      <c r="N54" s="43">
        <v>-55404.95999999999</v>
      </c>
      <c r="O54" s="44">
        <v>-18.166751918158564</v>
      </c>
    </row>
    <row r="55" ht="22.5" customHeight="1">
      <c r="B55" s="41" t="s">
        <v>83</v>
      </c>
      <c r="C55" s="41" t="s">
        <v>14</v>
      </c>
      <c r="D55" s="41" t="s">
        <v>21</v>
      </c>
      <c r="E55" s="41" t="s">
        <v>30</v>
      </c>
      <c r="F55" s="41" t="s">
        <v>17</v>
      </c>
      <c r="G55" s="41" t="s">
        <v>31</v>
      </c>
      <c r="H55" s="42">
        <v>44977.0</v>
      </c>
      <c r="I55" s="41">
        <v>345.0</v>
      </c>
      <c r="J55" s="43">
        <v>200.78</v>
      </c>
      <c r="K55" s="43">
        <v>350.69</v>
      </c>
      <c r="L55" s="43">
        <v>69269.1</v>
      </c>
      <c r="M55" s="43">
        <v>120988.05</v>
      </c>
      <c r="N55" s="43">
        <v>-51718.95</v>
      </c>
      <c r="O55" s="44">
        <v>-0.7466381113656738</v>
      </c>
    </row>
    <row r="56" ht="22.5" customHeight="1">
      <c r="B56" s="41" t="s">
        <v>84</v>
      </c>
      <c r="C56" s="41" t="s">
        <v>52</v>
      </c>
      <c r="D56" s="41" t="s">
        <v>54</v>
      </c>
      <c r="E56" s="41" t="s">
        <v>22</v>
      </c>
      <c r="F56" s="41" t="s">
        <v>17</v>
      </c>
      <c r="G56" s="41" t="s">
        <v>23</v>
      </c>
      <c r="H56" s="42">
        <v>44978.0</v>
      </c>
      <c r="I56" s="41">
        <v>177.0</v>
      </c>
      <c r="J56" s="43">
        <v>305.06</v>
      </c>
      <c r="K56" s="43">
        <v>112.55</v>
      </c>
      <c r="L56" s="43">
        <v>53995.62</v>
      </c>
      <c r="M56" s="43">
        <v>19921.35</v>
      </c>
      <c r="N56" s="43">
        <v>34074.270000000004</v>
      </c>
      <c r="O56" s="44">
        <v>0.6310561856683932</v>
      </c>
    </row>
    <row r="57" ht="22.5" customHeight="1">
      <c r="B57" s="41" t="s">
        <v>85</v>
      </c>
      <c r="C57" s="41" t="s">
        <v>14</v>
      </c>
      <c r="D57" s="41" t="s">
        <v>15</v>
      </c>
      <c r="E57" s="41" t="s">
        <v>22</v>
      </c>
      <c r="F57" s="41" t="s">
        <v>27</v>
      </c>
      <c r="G57" s="41" t="s">
        <v>18</v>
      </c>
      <c r="H57" s="42">
        <v>44979.0</v>
      </c>
      <c r="I57" s="41">
        <v>101.0</v>
      </c>
      <c r="J57" s="43">
        <v>300.87</v>
      </c>
      <c r="K57" s="43">
        <v>340.88</v>
      </c>
      <c r="L57" s="43">
        <v>30387.87</v>
      </c>
      <c r="M57" s="43">
        <v>34428.88</v>
      </c>
      <c r="N57" s="43">
        <v>-4041.0099999999984</v>
      </c>
      <c r="O57" s="44">
        <v>-0.1329810217037258</v>
      </c>
    </row>
    <row r="58" ht="22.5" customHeight="1">
      <c r="B58" s="41" t="s">
        <v>86</v>
      </c>
      <c r="C58" s="41" t="s">
        <v>20</v>
      </c>
      <c r="D58" s="41" t="s">
        <v>34</v>
      </c>
      <c r="E58" s="41" t="s">
        <v>16</v>
      </c>
      <c r="F58" s="41" t="s">
        <v>27</v>
      </c>
      <c r="G58" s="41" t="s">
        <v>23</v>
      </c>
      <c r="H58" s="42">
        <v>44980.0</v>
      </c>
      <c r="I58" s="41">
        <v>362.0</v>
      </c>
      <c r="J58" s="43">
        <v>397.51</v>
      </c>
      <c r="K58" s="43">
        <v>2.13</v>
      </c>
      <c r="L58" s="43">
        <v>143898.62</v>
      </c>
      <c r="M58" s="43">
        <v>771.06</v>
      </c>
      <c r="N58" s="43">
        <v>143127.56</v>
      </c>
      <c r="O58" s="44">
        <v>0.9946416442353652</v>
      </c>
    </row>
    <row r="59" ht="22.5" customHeight="1">
      <c r="B59" s="41" t="s">
        <v>87</v>
      </c>
      <c r="C59" s="41" t="s">
        <v>14</v>
      </c>
      <c r="D59" s="41" t="s">
        <v>21</v>
      </c>
      <c r="E59" s="41" t="s">
        <v>30</v>
      </c>
      <c r="F59" s="41" t="s">
        <v>27</v>
      </c>
      <c r="G59" s="41" t="s">
        <v>31</v>
      </c>
      <c r="H59" s="42">
        <v>44981.0</v>
      </c>
      <c r="I59" s="41">
        <v>68.0</v>
      </c>
      <c r="J59" s="43">
        <v>329.23</v>
      </c>
      <c r="K59" s="43">
        <v>9.04</v>
      </c>
      <c r="L59" s="43">
        <v>22387.64</v>
      </c>
      <c r="M59" s="43">
        <v>614.7199999999999</v>
      </c>
      <c r="N59" s="43">
        <v>21772.92</v>
      </c>
      <c r="O59" s="44">
        <v>0.9725419919205418</v>
      </c>
    </row>
    <row r="60" ht="22.5" customHeight="1">
      <c r="B60" s="41" t="s">
        <v>88</v>
      </c>
      <c r="C60" s="41" t="s">
        <v>20</v>
      </c>
      <c r="D60" s="41" t="s">
        <v>21</v>
      </c>
      <c r="E60" s="41" t="s">
        <v>22</v>
      </c>
      <c r="F60" s="41" t="s">
        <v>27</v>
      </c>
      <c r="G60" s="41" t="s">
        <v>31</v>
      </c>
      <c r="H60" s="42">
        <v>44982.0</v>
      </c>
      <c r="I60" s="41">
        <v>68.0</v>
      </c>
      <c r="J60" s="43">
        <v>496.11</v>
      </c>
      <c r="K60" s="43">
        <v>241.82</v>
      </c>
      <c r="L60" s="43">
        <v>33735.48</v>
      </c>
      <c r="M60" s="43">
        <v>16443.76</v>
      </c>
      <c r="N60" s="43">
        <v>17291.720000000005</v>
      </c>
      <c r="O60" s="44">
        <v>0.5125677773074521</v>
      </c>
    </row>
    <row r="61" ht="22.5" customHeight="1">
      <c r="B61" s="41" t="s">
        <v>89</v>
      </c>
      <c r="C61" s="41" t="s">
        <v>20</v>
      </c>
      <c r="D61" s="41" t="s">
        <v>15</v>
      </c>
      <c r="E61" s="41" t="s">
        <v>22</v>
      </c>
      <c r="F61" s="41" t="s">
        <v>17</v>
      </c>
      <c r="G61" s="41" t="s">
        <v>18</v>
      </c>
      <c r="H61" s="42">
        <v>44983.0</v>
      </c>
      <c r="I61" s="41">
        <v>313.0</v>
      </c>
      <c r="J61" s="43">
        <v>145.51</v>
      </c>
      <c r="K61" s="43">
        <v>147.19</v>
      </c>
      <c r="L61" s="43">
        <v>45544.63</v>
      </c>
      <c r="M61" s="43">
        <v>46070.47</v>
      </c>
      <c r="N61" s="43">
        <v>-525.8400000000038</v>
      </c>
      <c r="O61" s="44">
        <v>-0.011545598240670828</v>
      </c>
    </row>
    <row r="62" ht="22.5" customHeight="1">
      <c r="B62" s="41" t="s">
        <v>90</v>
      </c>
      <c r="C62" s="41" t="s">
        <v>25</v>
      </c>
      <c r="D62" s="41" t="s">
        <v>34</v>
      </c>
      <c r="E62" s="41" t="s">
        <v>30</v>
      </c>
      <c r="F62" s="41" t="s">
        <v>17</v>
      </c>
      <c r="G62" s="41" t="s">
        <v>31</v>
      </c>
      <c r="H62" s="42">
        <v>44984.0</v>
      </c>
      <c r="I62" s="41">
        <v>178.0</v>
      </c>
      <c r="J62" s="43">
        <v>182.78</v>
      </c>
      <c r="K62" s="43">
        <v>155.81</v>
      </c>
      <c r="L62" s="43">
        <v>32534.84</v>
      </c>
      <c r="M62" s="43">
        <v>27734.18</v>
      </c>
      <c r="N62" s="43">
        <v>4800.66</v>
      </c>
      <c r="O62" s="44">
        <v>0.14755443702812124</v>
      </c>
    </row>
    <row r="63" ht="22.5" customHeight="1">
      <c r="B63" s="41" t="s">
        <v>91</v>
      </c>
      <c r="C63" s="41" t="s">
        <v>14</v>
      </c>
      <c r="D63" s="41" t="s">
        <v>34</v>
      </c>
      <c r="E63" s="41" t="s">
        <v>30</v>
      </c>
      <c r="F63" s="41" t="s">
        <v>17</v>
      </c>
      <c r="G63" s="41" t="s">
        <v>18</v>
      </c>
      <c r="H63" s="42">
        <v>44985.0</v>
      </c>
      <c r="I63" s="41">
        <v>278.0</v>
      </c>
      <c r="J63" s="43">
        <v>195.0</v>
      </c>
      <c r="K63" s="43">
        <v>226.65</v>
      </c>
      <c r="L63" s="43">
        <v>54210.0</v>
      </c>
      <c r="M63" s="43">
        <v>63008.700000000004</v>
      </c>
      <c r="N63" s="43">
        <v>-8798.700000000004</v>
      </c>
      <c r="O63" s="44">
        <v>-0.16230769230769237</v>
      </c>
    </row>
    <row r="64" ht="22.5" customHeight="1">
      <c r="B64" s="41" t="s">
        <v>92</v>
      </c>
      <c r="C64" s="41" t="s">
        <v>25</v>
      </c>
      <c r="D64" s="41" t="s">
        <v>54</v>
      </c>
      <c r="E64" s="41" t="s">
        <v>22</v>
      </c>
      <c r="F64" s="41" t="s">
        <v>17</v>
      </c>
      <c r="G64" s="41" t="s">
        <v>31</v>
      </c>
      <c r="H64" s="42">
        <v>44986.0</v>
      </c>
      <c r="I64" s="41">
        <v>372.0</v>
      </c>
      <c r="J64" s="43">
        <v>235.58</v>
      </c>
      <c r="K64" s="43">
        <v>78.33</v>
      </c>
      <c r="L64" s="43">
        <v>87635.76000000001</v>
      </c>
      <c r="M64" s="43">
        <v>29138.76</v>
      </c>
      <c r="N64" s="43">
        <v>58497.000000000015</v>
      </c>
      <c r="O64" s="44">
        <v>0.6675014856948808</v>
      </c>
    </row>
    <row r="65" ht="22.5" customHeight="1">
      <c r="B65" s="41" t="s">
        <v>93</v>
      </c>
      <c r="C65" s="41" t="s">
        <v>14</v>
      </c>
      <c r="D65" s="41" t="s">
        <v>34</v>
      </c>
      <c r="E65" s="41" t="s">
        <v>30</v>
      </c>
      <c r="F65" s="41" t="s">
        <v>27</v>
      </c>
      <c r="G65" s="41" t="s">
        <v>31</v>
      </c>
      <c r="H65" s="42">
        <v>44987.0</v>
      </c>
      <c r="I65" s="41">
        <v>54.0</v>
      </c>
      <c r="J65" s="43">
        <v>418.82</v>
      </c>
      <c r="K65" s="43">
        <v>86.28</v>
      </c>
      <c r="L65" s="43">
        <v>22616.28</v>
      </c>
      <c r="M65" s="43">
        <v>4659.12</v>
      </c>
      <c r="N65" s="43">
        <v>17957.16</v>
      </c>
      <c r="O65" s="44">
        <v>0.793992646005444</v>
      </c>
    </row>
    <row r="66" ht="22.5" customHeight="1">
      <c r="B66" s="41" t="s">
        <v>94</v>
      </c>
      <c r="C66" s="41" t="s">
        <v>14</v>
      </c>
      <c r="D66" s="41" t="s">
        <v>34</v>
      </c>
      <c r="E66" s="41" t="s">
        <v>22</v>
      </c>
      <c r="F66" s="41" t="s">
        <v>27</v>
      </c>
      <c r="G66" s="41" t="s">
        <v>18</v>
      </c>
      <c r="H66" s="42">
        <v>44988.0</v>
      </c>
      <c r="I66" s="41">
        <v>354.0</v>
      </c>
      <c r="J66" s="43">
        <v>121.72</v>
      </c>
      <c r="K66" s="43">
        <v>194.87</v>
      </c>
      <c r="L66" s="43">
        <v>43088.88</v>
      </c>
      <c r="M66" s="43">
        <v>68983.98</v>
      </c>
      <c r="N66" s="43">
        <v>-25895.1</v>
      </c>
      <c r="O66" s="44">
        <v>-0.6009694380545514</v>
      </c>
    </row>
    <row r="67" ht="22.5" customHeight="1">
      <c r="B67" s="41" t="s">
        <v>95</v>
      </c>
      <c r="C67" s="41" t="s">
        <v>25</v>
      </c>
      <c r="D67" s="41" t="s">
        <v>34</v>
      </c>
      <c r="E67" s="41" t="s">
        <v>22</v>
      </c>
      <c r="F67" s="41" t="s">
        <v>17</v>
      </c>
      <c r="G67" s="41" t="s">
        <v>18</v>
      </c>
      <c r="H67" s="42">
        <v>44989.0</v>
      </c>
      <c r="I67" s="41">
        <v>190.0</v>
      </c>
      <c r="J67" s="43">
        <v>389.12</v>
      </c>
      <c r="K67" s="43">
        <v>302.19</v>
      </c>
      <c r="L67" s="43">
        <v>73932.8</v>
      </c>
      <c r="M67" s="43">
        <v>57416.1</v>
      </c>
      <c r="N67" s="43">
        <v>16516.700000000004</v>
      </c>
      <c r="O67" s="44">
        <v>0.223401521381579</v>
      </c>
    </row>
    <row r="68" ht="22.5" customHeight="1">
      <c r="B68" s="41" t="s">
        <v>96</v>
      </c>
      <c r="C68" s="41" t="s">
        <v>39</v>
      </c>
      <c r="D68" s="41" t="s">
        <v>29</v>
      </c>
      <c r="E68" s="41" t="s">
        <v>16</v>
      </c>
      <c r="F68" s="41" t="s">
        <v>17</v>
      </c>
      <c r="G68" s="41" t="s">
        <v>18</v>
      </c>
      <c r="H68" s="42">
        <v>44990.0</v>
      </c>
      <c r="I68" s="41">
        <v>179.0</v>
      </c>
      <c r="J68" s="43">
        <v>205.63</v>
      </c>
      <c r="K68" s="43">
        <v>248.56</v>
      </c>
      <c r="L68" s="43">
        <v>36807.77</v>
      </c>
      <c r="M68" s="43">
        <v>44492.24</v>
      </c>
      <c r="N68" s="43">
        <v>-7684.470000000001</v>
      </c>
      <c r="O68" s="44">
        <v>-0.20877303895346014</v>
      </c>
    </row>
    <row r="69" ht="22.5" customHeight="1">
      <c r="B69" s="41" t="s">
        <v>97</v>
      </c>
      <c r="C69" s="41" t="s">
        <v>14</v>
      </c>
      <c r="D69" s="41" t="s">
        <v>54</v>
      </c>
      <c r="E69" s="41" t="s">
        <v>46</v>
      </c>
      <c r="F69" s="41" t="s">
        <v>27</v>
      </c>
      <c r="G69" s="41" t="s">
        <v>31</v>
      </c>
      <c r="H69" s="42">
        <v>44991.0</v>
      </c>
      <c r="I69" s="41">
        <v>365.0</v>
      </c>
      <c r="J69" s="43">
        <v>302.92</v>
      </c>
      <c r="K69" s="43">
        <v>120.35</v>
      </c>
      <c r="L69" s="43">
        <v>110565.8</v>
      </c>
      <c r="M69" s="43">
        <v>43927.75</v>
      </c>
      <c r="N69" s="43">
        <v>66638.05</v>
      </c>
      <c r="O69" s="44">
        <v>0.60270038293939</v>
      </c>
    </row>
    <row r="70" ht="22.5" customHeight="1">
      <c r="B70" s="41" t="s">
        <v>98</v>
      </c>
      <c r="C70" s="41" t="s">
        <v>52</v>
      </c>
      <c r="D70" s="41" t="s">
        <v>21</v>
      </c>
      <c r="E70" s="41" t="s">
        <v>22</v>
      </c>
      <c r="F70" s="41" t="s">
        <v>17</v>
      </c>
      <c r="G70" s="41" t="s">
        <v>31</v>
      </c>
      <c r="H70" s="42">
        <v>44992.0</v>
      </c>
      <c r="I70" s="41">
        <v>200.0</v>
      </c>
      <c r="J70" s="43">
        <v>318.11</v>
      </c>
      <c r="K70" s="43">
        <v>173.27</v>
      </c>
      <c r="L70" s="43">
        <v>63622.0</v>
      </c>
      <c r="M70" s="43">
        <v>34654.0</v>
      </c>
      <c r="N70" s="43">
        <v>28968.0</v>
      </c>
      <c r="O70" s="44">
        <v>0.4553141994907422</v>
      </c>
    </row>
    <row r="71" ht="22.5" customHeight="1">
      <c r="B71" s="41" t="s">
        <v>99</v>
      </c>
      <c r="C71" s="41" t="s">
        <v>20</v>
      </c>
      <c r="D71" s="41" t="s">
        <v>15</v>
      </c>
      <c r="E71" s="41" t="s">
        <v>26</v>
      </c>
      <c r="F71" s="41" t="s">
        <v>27</v>
      </c>
      <c r="G71" s="41" t="s">
        <v>23</v>
      </c>
      <c r="H71" s="42">
        <v>44993.0</v>
      </c>
      <c r="I71" s="41">
        <v>164.0</v>
      </c>
      <c r="J71" s="43">
        <v>189.56</v>
      </c>
      <c r="K71" s="43">
        <v>69.92</v>
      </c>
      <c r="L71" s="43">
        <v>31087.84</v>
      </c>
      <c r="M71" s="43">
        <v>11466.880000000001</v>
      </c>
      <c r="N71" s="43">
        <v>19620.96</v>
      </c>
      <c r="O71" s="44">
        <v>0.6311458113526061</v>
      </c>
    </row>
    <row r="72" ht="22.5" customHeight="1">
      <c r="B72" s="41" t="s">
        <v>100</v>
      </c>
      <c r="C72" s="41" t="s">
        <v>25</v>
      </c>
      <c r="D72" s="41" t="s">
        <v>21</v>
      </c>
      <c r="E72" s="41" t="s">
        <v>46</v>
      </c>
      <c r="F72" s="41" t="s">
        <v>17</v>
      </c>
      <c r="G72" s="41" t="s">
        <v>18</v>
      </c>
      <c r="H72" s="42">
        <v>44994.0</v>
      </c>
      <c r="I72" s="41">
        <v>431.0</v>
      </c>
      <c r="J72" s="43">
        <v>258.74</v>
      </c>
      <c r="K72" s="43">
        <v>31.7</v>
      </c>
      <c r="L72" s="43">
        <v>111516.94</v>
      </c>
      <c r="M72" s="43">
        <v>13662.699999999999</v>
      </c>
      <c r="N72" s="43">
        <v>97854.24</v>
      </c>
      <c r="O72" s="44">
        <v>0.8774831877560486</v>
      </c>
    </row>
    <row r="73" ht="22.5" customHeight="1">
      <c r="B73" s="41" t="s">
        <v>101</v>
      </c>
      <c r="C73" s="41" t="s">
        <v>20</v>
      </c>
      <c r="D73" s="41" t="s">
        <v>54</v>
      </c>
      <c r="E73" s="41" t="s">
        <v>46</v>
      </c>
      <c r="F73" s="41" t="s">
        <v>17</v>
      </c>
      <c r="G73" s="41" t="s">
        <v>31</v>
      </c>
      <c r="H73" s="42">
        <v>44995.0</v>
      </c>
      <c r="I73" s="41">
        <v>197.0</v>
      </c>
      <c r="J73" s="43">
        <v>209.45</v>
      </c>
      <c r="K73" s="43">
        <v>313.51</v>
      </c>
      <c r="L73" s="43">
        <v>41261.649999999994</v>
      </c>
      <c r="M73" s="43">
        <v>61761.47</v>
      </c>
      <c r="N73" s="43">
        <v>-20499.820000000007</v>
      </c>
      <c r="O73" s="44">
        <v>-0.4968250179040346</v>
      </c>
    </row>
    <row r="74" ht="22.5" customHeight="1">
      <c r="B74" s="41" t="s">
        <v>102</v>
      </c>
      <c r="C74" s="41" t="s">
        <v>52</v>
      </c>
      <c r="D74" s="41" t="s">
        <v>15</v>
      </c>
      <c r="E74" s="41" t="s">
        <v>46</v>
      </c>
      <c r="F74" s="41" t="s">
        <v>17</v>
      </c>
      <c r="G74" s="41" t="s">
        <v>31</v>
      </c>
      <c r="H74" s="42">
        <v>44996.0</v>
      </c>
      <c r="I74" s="41">
        <v>16.0</v>
      </c>
      <c r="J74" s="43">
        <v>39.22</v>
      </c>
      <c r="K74" s="43">
        <v>107.62</v>
      </c>
      <c r="L74" s="43">
        <v>627.52</v>
      </c>
      <c r="M74" s="43">
        <v>1721.92</v>
      </c>
      <c r="N74" s="43">
        <v>-1094.4</v>
      </c>
      <c r="O74" s="44">
        <v>-1.744008159102499</v>
      </c>
    </row>
    <row r="75" ht="22.5" customHeight="1">
      <c r="B75" s="41" t="s">
        <v>103</v>
      </c>
      <c r="C75" s="41" t="s">
        <v>52</v>
      </c>
      <c r="D75" s="41" t="s">
        <v>54</v>
      </c>
      <c r="E75" s="41" t="s">
        <v>16</v>
      </c>
      <c r="F75" s="41" t="s">
        <v>17</v>
      </c>
      <c r="G75" s="41" t="s">
        <v>18</v>
      </c>
      <c r="H75" s="42">
        <v>44997.0</v>
      </c>
      <c r="I75" s="41">
        <v>142.0</v>
      </c>
      <c r="J75" s="43">
        <v>221.4</v>
      </c>
      <c r="K75" s="43">
        <v>72.75</v>
      </c>
      <c r="L75" s="43">
        <v>31438.8</v>
      </c>
      <c r="M75" s="43">
        <v>10330.5</v>
      </c>
      <c r="N75" s="43">
        <v>21108.3</v>
      </c>
      <c r="O75" s="44">
        <v>0.6714092140921409</v>
      </c>
    </row>
    <row r="76" ht="22.5" customHeight="1">
      <c r="B76" s="41" t="s">
        <v>104</v>
      </c>
      <c r="C76" s="41" t="s">
        <v>52</v>
      </c>
      <c r="D76" s="41" t="s">
        <v>34</v>
      </c>
      <c r="E76" s="41" t="s">
        <v>22</v>
      </c>
      <c r="F76" s="41" t="s">
        <v>17</v>
      </c>
      <c r="G76" s="41" t="s">
        <v>23</v>
      </c>
      <c r="H76" s="42">
        <v>44998.0</v>
      </c>
      <c r="I76" s="41">
        <v>244.0</v>
      </c>
      <c r="J76" s="43">
        <v>53.21</v>
      </c>
      <c r="K76" s="43">
        <v>277.26</v>
      </c>
      <c r="L76" s="43">
        <v>12983.24</v>
      </c>
      <c r="M76" s="43">
        <v>67651.44</v>
      </c>
      <c r="N76" s="43">
        <v>-54668.200000000004</v>
      </c>
      <c r="O76" s="44">
        <v>-4.210674685209548</v>
      </c>
    </row>
    <row r="77" ht="22.5" customHeight="1">
      <c r="B77" s="41" t="s">
        <v>105</v>
      </c>
      <c r="C77" s="41" t="s">
        <v>25</v>
      </c>
      <c r="D77" s="41" t="s">
        <v>15</v>
      </c>
      <c r="E77" s="41" t="s">
        <v>16</v>
      </c>
      <c r="F77" s="41" t="s">
        <v>17</v>
      </c>
      <c r="G77" s="41" t="s">
        <v>18</v>
      </c>
      <c r="H77" s="42">
        <v>44999.0</v>
      </c>
      <c r="I77" s="41">
        <v>54.0</v>
      </c>
      <c r="J77" s="43">
        <v>205.49</v>
      </c>
      <c r="K77" s="43">
        <v>247.98</v>
      </c>
      <c r="L77" s="43">
        <v>11096.460000000001</v>
      </c>
      <c r="M77" s="43">
        <v>13390.92</v>
      </c>
      <c r="N77" s="43">
        <v>-2294.459999999999</v>
      </c>
      <c r="O77" s="44">
        <v>-0.20677405226531695</v>
      </c>
    </row>
    <row r="78" ht="22.5" customHeight="1">
      <c r="B78" s="41" t="s">
        <v>106</v>
      </c>
      <c r="C78" s="41" t="s">
        <v>52</v>
      </c>
      <c r="D78" s="41" t="s">
        <v>34</v>
      </c>
      <c r="E78" s="41" t="s">
        <v>22</v>
      </c>
      <c r="F78" s="41" t="s">
        <v>17</v>
      </c>
      <c r="G78" s="41" t="s">
        <v>23</v>
      </c>
      <c r="H78" s="42">
        <v>45000.0</v>
      </c>
      <c r="I78" s="41">
        <v>323.0</v>
      </c>
      <c r="J78" s="43">
        <v>298.49</v>
      </c>
      <c r="K78" s="43">
        <v>254.01</v>
      </c>
      <c r="L78" s="43">
        <v>96412.27</v>
      </c>
      <c r="M78" s="43">
        <v>82045.23</v>
      </c>
      <c r="N78" s="43">
        <v>14367.040000000008</v>
      </c>
      <c r="O78" s="44">
        <v>0.14901671747797254</v>
      </c>
    </row>
    <row r="79" ht="22.5" customHeight="1">
      <c r="B79" s="41" t="s">
        <v>107</v>
      </c>
      <c r="C79" s="41" t="s">
        <v>25</v>
      </c>
      <c r="D79" s="41" t="s">
        <v>21</v>
      </c>
      <c r="E79" s="41" t="s">
        <v>16</v>
      </c>
      <c r="F79" s="41" t="s">
        <v>27</v>
      </c>
      <c r="G79" s="41" t="s">
        <v>31</v>
      </c>
      <c r="H79" s="42">
        <v>45001.0</v>
      </c>
      <c r="I79" s="41">
        <v>258.0</v>
      </c>
      <c r="J79" s="43">
        <v>291.81</v>
      </c>
      <c r="K79" s="43">
        <v>93.1</v>
      </c>
      <c r="L79" s="43">
        <v>75286.98</v>
      </c>
      <c r="M79" s="43">
        <v>24019.8</v>
      </c>
      <c r="N79" s="43">
        <v>51267.17999999999</v>
      </c>
      <c r="O79" s="44">
        <v>0.6809567869504128</v>
      </c>
    </row>
    <row r="80" ht="22.5" customHeight="1">
      <c r="B80" s="41" t="s">
        <v>108</v>
      </c>
      <c r="C80" s="41" t="s">
        <v>52</v>
      </c>
      <c r="D80" s="41" t="s">
        <v>21</v>
      </c>
      <c r="E80" s="41" t="s">
        <v>16</v>
      </c>
      <c r="F80" s="41" t="s">
        <v>27</v>
      </c>
      <c r="G80" s="41" t="s">
        <v>23</v>
      </c>
      <c r="H80" s="42">
        <v>45002.0</v>
      </c>
      <c r="I80" s="41">
        <v>40.0</v>
      </c>
      <c r="J80" s="43">
        <v>333.0</v>
      </c>
      <c r="K80" s="43">
        <v>94.59</v>
      </c>
      <c r="L80" s="43">
        <v>13320.0</v>
      </c>
      <c r="M80" s="43">
        <v>3783.6000000000004</v>
      </c>
      <c r="N80" s="43">
        <v>9536.4</v>
      </c>
      <c r="O80" s="44">
        <v>0.715945945945946</v>
      </c>
    </row>
    <row r="81" ht="22.5" customHeight="1">
      <c r="B81" s="41" t="s">
        <v>109</v>
      </c>
      <c r="C81" s="41" t="s">
        <v>20</v>
      </c>
      <c r="D81" s="41" t="s">
        <v>15</v>
      </c>
      <c r="E81" s="41" t="s">
        <v>26</v>
      </c>
      <c r="F81" s="41" t="s">
        <v>27</v>
      </c>
      <c r="G81" s="41" t="s">
        <v>31</v>
      </c>
      <c r="H81" s="42">
        <v>45003.0</v>
      </c>
      <c r="I81" s="41">
        <v>32.0</v>
      </c>
      <c r="J81" s="43">
        <v>52.15</v>
      </c>
      <c r="K81" s="43">
        <v>89.88</v>
      </c>
      <c r="L81" s="43">
        <v>1668.8</v>
      </c>
      <c r="M81" s="43">
        <v>2876.16</v>
      </c>
      <c r="N81" s="43">
        <v>-1207.36</v>
      </c>
      <c r="O81" s="44">
        <v>-0.723489932885906</v>
      </c>
    </row>
    <row r="82" ht="22.5" customHeight="1">
      <c r="B82" s="41" t="s">
        <v>110</v>
      </c>
      <c r="C82" s="41" t="s">
        <v>20</v>
      </c>
      <c r="D82" s="41" t="s">
        <v>15</v>
      </c>
      <c r="E82" s="41" t="s">
        <v>16</v>
      </c>
      <c r="F82" s="41" t="s">
        <v>27</v>
      </c>
      <c r="G82" s="41" t="s">
        <v>18</v>
      </c>
      <c r="H82" s="42">
        <v>45004.0</v>
      </c>
      <c r="I82" s="41">
        <v>435.0</v>
      </c>
      <c r="J82" s="43">
        <v>327.8</v>
      </c>
      <c r="K82" s="43">
        <v>71.15</v>
      </c>
      <c r="L82" s="43">
        <v>142593.0</v>
      </c>
      <c r="M82" s="43">
        <v>30950.250000000004</v>
      </c>
      <c r="N82" s="43">
        <v>111642.75</v>
      </c>
      <c r="O82" s="44">
        <v>0.7829469188529591</v>
      </c>
    </row>
    <row r="83" ht="22.5" customHeight="1">
      <c r="B83" s="41" t="s">
        <v>111</v>
      </c>
      <c r="C83" s="41" t="s">
        <v>14</v>
      </c>
      <c r="D83" s="41" t="s">
        <v>54</v>
      </c>
      <c r="E83" s="41" t="s">
        <v>30</v>
      </c>
      <c r="F83" s="41" t="s">
        <v>27</v>
      </c>
      <c r="G83" s="41" t="s">
        <v>18</v>
      </c>
      <c r="H83" s="42">
        <v>45005.0</v>
      </c>
      <c r="I83" s="41">
        <v>403.0</v>
      </c>
      <c r="J83" s="43">
        <v>159.51</v>
      </c>
      <c r="K83" s="43">
        <v>262.98</v>
      </c>
      <c r="L83" s="43">
        <v>64282.53</v>
      </c>
      <c r="M83" s="43">
        <v>105980.94</v>
      </c>
      <c r="N83" s="43">
        <v>-41698.41</v>
      </c>
      <c r="O83" s="44">
        <v>-0.6486740643219862</v>
      </c>
    </row>
    <row r="84" ht="22.5" customHeight="1">
      <c r="B84" s="41" t="s">
        <v>112</v>
      </c>
      <c r="C84" s="41" t="s">
        <v>20</v>
      </c>
      <c r="D84" s="41" t="s">
        <v>54</v>
      </c>
      <c r="E84" s="41" t="s">
        <v>26</v>
      </c>
      <c r="F84" s="41" t="s">
        <v>17</v>
      </c>
      <c r="G84" s="41" t="s">
        <v>18</v>
      </c>
      <c r="H84" s="42">
        <v>45006.0</v>
      </c>
      <c r="I84" s="41">
        <v>169.0</v>
      </c>
      <c r="J84" s="43">
        <v>249.64520588235297</v>
      </c>
      <c r="K84" s="43">
        <v>339.51</v>
      </c>
      <c r="L84" s="43">
        <v>42190.03979411765</v>
      </c>
      <c r="M84" s="43">
        <v>57377.189999999995</v>
      </c>
      <c r="N84" s="43">
        <v>-15187.150205882346</v>
      </c>
      <c r="O84" s="44">
        <v>-0.35997003747789347</v>
      </c>
    </row>
    <row r="85" ht="22.5" customHeight="1">
      <c r="B85" s="41" t="s">
        <v>113</v>
      </c>
      <c r="C85" s="41" t="s">
        <v>14</v>
      </c>
      <c r="D85" s="41" t="s">
        <v>34</v>
      </c>
      <c r="E85" s="41" t="s">
        <v>16</v>
      </c>
      <c r="F85" s="41" t="s">
        <v>17</v>
      </c>
      <c r="G85" s="41" t="s">
        <v>23</v>
      </c>
      <c r="H85" s="42">
        <v>45007.0</v>
      </c>
      <c r="I85" s="41">
        <v>372.0</v>
      </c>
      <c r="J85" s="43">
        <v>429.7</v>
      </c>
      <c r="K85" s="43">
        <v>290.28</v>
      </c>
      <c r="L85" s="43">
        <v>159848.4</v>
      </c>
      <c r="M85" s="43">
        <v>107984.15999999999</v>
      </c>
      <c r="N85" s="43">
        <v>51864.240000000005</v>
      </c>
      <c r="O85" s="44">
        <v>0.3244589248312777</v>
      </c>
    </row>
    <row r="86" ht="22.5" customHeight="1">
      <c r="B86" s="41" t="s">
        <v>114</v>
      </c>
      <c r="C86" s="41" t="s">
        <v>20</v>
      </c>
      <c r="D86" s="41" t="s">
        <v>15</v>
      </c>
      <c r="E86" s="41" t="s">
        <v>46</v>
      </c>
      <c r="F86" s="41" t="s">
        <v>27</v>
      </c>
      <c r="G86" s="41" t="s">
        <v>31</v>
      </c>
      <c r="H86" s="42">
        <v>45008.0</v>
      </c>
      <c r="I86" s="41">
        <v>446.0</v>
      </c>
      <c r="J86" s="43">
        <v>9.47</v>
      </c>
      <c r="K86" s="43">
        <v>317.25</v>
      </c>
      <c r="L86" s="43">
        <v>4223.62</v>
      </c>
      <c r="M86" s="43">
        <v>141493.5</v>
      </c>
      <c r="N86" s="43">
        <v>-137269.88</v>
      </c>
      <c r="O86" s="44">
        <v>-32.50052798310454</v>
      </c>
    </row>
    <row r="87" ht="22.5" customHeight="1">
      <c r="B87" s="41" t="s">
        <v>115</v>
      </c>
      <c r="C87" s="41" t="s">
        <v>25</v>
      </c>
      <c r="D87" s="41" t="s">
        <v>21</v>
      </c>
      <c r="E87" s="41" t="s">
        <v>30</v>
      </c>
      <c r="F87" s="41" t="s">
        <v>17</v>
      </c>
      <c r="G87" s="41" t="s">
        <v>18</v>
      </c>
      <c r="H87" s="42">
        <v>45009.0</v>
      </c>
      <c r="I87" s="41">
        <v>167.0</v>
      </c>
      <c r="J87" s="43">
        <v>296.26</v>
      </c>
      <c r="K87" s="43">
        <v>163.11</v>
      </c>
      <c r="L87" s="43">
        <v>49475.42</v>
      </c>
      <c r="M87" s="43">
        <v>27239.370000000003</v>
      </c>
      <c r="N87" s="43">
        <v>22236.049999999996</v>
      </c>
      <c r="O87" s="44">
        <v>0.4494363059474785</v>
      </c>
    </row>
    <row r="88" ht="22.5" customHeight="1">
      <c r="B88" s="41" t="s">
        <v>116</v>
      </c>
      <c r="C88" s="41" t="s">
        <v>20</v>
      </c>
      <c r="D88" s="41" t="s">
        <v>54</v>
      </c>
      <c r="E88" s="41" t="s">
        <v>30</v>
      </c>
      <c r="F88" s="41" t="s">
        <v>27</v>
      </c>
      <c r="G88" s="41" t="s">
        <v>18</v>
      </c>
      <c r="H88" s="42">
        <v>45010.0</v>
      </c>
      <c r="I88" s="41">
        <v>48.0</v>
      </c>
      <c r="J88" s="43">
        <v>301.36</v>
      </c>
      <c r="K88" s="43">
        <v>262.32</v>
      </c>
      <c r="L88" s="43">
        <v>14465.28</v>
      </c>
      <c r="M88" s="43">
        <v>12591.36</v>
      </c>
      <c r="N88" s="43">
        <v>1873.92</v>
      </c>
      <c r="O88" s="44">
        <v>0.12954605787098486</v>
      </c>
    </row>
    <row r="89" ht="22.5" customHeight="1">
      <c r="B89" s="41" t="s">
        <v>117</v>
      </c>
      <c r="C89" s="41" t="s">
        <v>14</v>
      </c>
      <c r="D89" s="41" t="s">
        <v>54</v>
      </c>
      <c r="E89" s="41" t="s">
        <v>30</v>
      </c>
      <c r="F89" s="41" t="s">
        <v>27</v>
      </c>
      <c r="G89" s="41" t="s">
        <v>31</v>
      </c>
      <c r="H89" s="42">
        <v>45011.0</v>
      </c>
      <c r="I89" s="41">
        <v>424.0</v>
      </c>
      <c r="J89" s="43">
        <v>201.35</v>
      </c>
      <c r="K89" s="43">
        <v>142.99</v>
      </c>
      <c r="L89" s="43">
        <v>85372.4</v>
      </c>
      <c r="M89" s="43">
        <v>60627.76</v>
      </c>
      <c r="N89" s="43">
        <v>24744.639999999992</v>
      </c>
      <c r="O89" s="44">
        <v>0.28984355599702005</v>
      </c>
    </row>
    <row r="90" ht="22.5" customHeight="1">
      <c r="B90" s="41" t="s">
        <v>118</v>
      </c>
      <c r="C90" s="41" t="s">
        <v>14</v>
      </c>
      <c r="D90" s="41" t="s">
        <v>21</v>
      </c>
      <c r="E90" s="41" t="s">
        <v>26</v>
      </c>
      <c r="F90" s="41" t="s">
        <v>17</v>
      </c>
      <c r="G90" s="41" t="s">
        <v>18</v>
      </c>
      <c r="H90" s="42">
        <v>45012.0</v>
      </c>
      <c r="I90" s="41">
        <v>91.0</v>
      </c>
      <c r="J90" s="43">
        <v>122.33</v>
      </c>
      <c r="K90" s="43">
        <v>211.15</v>
      </c>
      <c r="L90" s="43">
        <v>11132.03</v>
      </c>
      <c r="M90" s="43">
        <v>19214.65</v>
      </c>
      <c r="N90" s="43">
        <v>-8082.620000000001</v>
      </c>
      <c r="O90" s="44">
        <v>-0.7260688302133573</v>
      </c>
    </row>
    <row r="91" ht="22.5" customHeight="1">
      <c r="B91" s="41" t="s">
        <v>119</v>
      </c>
      <c r="C91" s="41" t="s">
        <v>52</v>
      </c>
      <c r="D91" s="41" t="s">
        <v>54</v>
      </c>
      <c r="E91" s="41" t="s">
        <v>16</v>
      </c>
      <c r="F91" s="41" t="s">
        <v>17</v>
      </c>
      <c r="G91" s="41" t="s">
        <v>31</v>
      </c>
      <c r="H91" s="42">
        <v>45013.0</v>
      </c>
      <c r="I91" s="41">
        <v>365.0</v>
      </c>
      <c r="J91" s="43">
        <v>121.16</v>
      </c>
      <c r="K91" s="43">
        <v>193.69</v>
      </c>
      <c r="L91" s="43">
        <v>44223.4</v>
      </c>
      <c r="M91" s="43">
        <v>70696.85</v>
      </c>
      <c r="N91" s="43">
        <v>-26473.450000000004</v>
      </c>
      <c r="O91" s="44">
        <v>-0.5986299108616706</v>
      </c>
    </row>
    <row r="92" ht="22.5" customHeight="1">
      <c r="B92" s="41" t="s">
        <v>120</v>
      </c>
      <c r="C92" s="41" t="s">
        <v>25</v>
      </c>
      <c r="D92" s="41" t="s">
        <v>34</v>
      </c>
      <c r="E92" s="41" t="s">
        <v>16</v>
      </c>
      <c r="F92" s="41" t="s">
        <v>17</v>
      </c>
      <c r="G92" s="41" t="s">
        <v>31</v>
      </c>
      <c r="H92" s="42">
        <v>45014.0</v>
      </c>
      <c r="I92" s="41">
        <v>267.0</v>
      </c>
      <c r="J92" s="43">
        <v>442.44</v>
      </c>
      <c r="K92" s="43">
        <v>72.4</v>
      </c>
      <c r="L92" s="43">
        <v>118131.48</v>
      </c>
      <c r="M92" s="43">
        <v>19330.800000000003</v>
      </c>
      <c r="N92" s="43">
        <v>98800.68</v>
      </c>
      <c r="O92" s="44">
        <v>0.8363619925865654</v>
      </c>
    </row>
    <row r="93" ht="22.5" customHeight="1">
      <c r="B93" s="41" t="s">
        <v>121</v>
      </c>
      <c r="C93" s="41" t="s">
        <v>20</v>
      </c>
      <c r="D93" s="41" t="s">
        <v>15</v>
      </c>
      <c r="E93" s="41" t="s">
        <v>46</v>
      </c>
      <c r="F93" s="41" t="s">
        <v>27</v>
      </c>
      <c r="G93" s="41" t="s">
        <v>31</v>
      </c>
      <c r="H93" s="42">
        <v>45015.0</v>
      </c>
      <c r="I93" s="41">
        <v>215.0</v>
      </c>
      <c r="J93" s="43">
        <v>223.8</v>
      </c>
      <c r="K93" s="43">
        <v>156.06</v>
      </c>
      <c r="L93" s="43">
        <v>48117.0</v>
      </c>
      <c r="M93" s="43">
        <v>33552.9</v>
      </c>
      <c r="N93" s="43">
        <v>14564.099999999999</v>
      </c>
      <c r="O93" s="44">
        <v>0.3026809651474531</v>
      </c>
    </row>
    <row r="94" ht="22.5" customHeight="1">
      <c r="B94" s="41" t="s">
        <v>122</v>
      </c>
      <c r="C94" s="41" t="s">
        <v>52</v>
      </c>
      <c r="D94" s="41" t="s">
        <v>21</v>
      </c>
      <c r="E94" s="41" t="s">
        <v>46</v>
      </c>
      <c r="F94" s="41" t="s">
        <v>17</v>
      </c>
      <c r="G94" s="41" t="s">
        <v>31</v>
      </c>
      <c r="H94" s="42">
        <v>45016.0</v>
      </c>
      <c r="I94" s="41">
        <v>86.0</v>
      </c>
      <c r="J94" s="43">
        <v>168.79</v>
      </c>
      <c r="K94" s="43">
        <v>385.6</v>
      </c>
      <c r="L94" s="43">
        <v>14515.939999999999</v>
      </c>
      <c r="M94" s="43">
        <v>33161.6</v>
      </c>
      <c r="N94" s="43">
        <v>-18645.66</v>
      </c>
      <c r="O94" s="44">
        <v>-1.284495526986196</v>
      </c>
    </row>
    <row r="95" ht="22.5" customHeight="1">
      <c r="B95" s="41" t="s">
        <v>123</v>
      </c>
      <c r="C95" s="41" t="s">
        <v>20</v>
      </c>
      <c r="D95" s="41" t="s">
        <v>15</v>
      </c>
      <c r="E95" s="41" t="s">
        <v>30</v>
      </c>
      <c r="F95" s="41" t="s">
        <v>27</v>
      </c>
      <c r="G95" s="41" t="s">
        <v>31</v>
      </c>
      <c r="H95" s="42">
        <v>45017.0</v>
      </c>
      <c r="I95" s="41">
        <v>486.0</v>
      </c>
      <c r="J95" s="43">
        <v>227.14</v>
      </c>
      <c r="K95" s="43">
        <v>100.93</v>
      </c>
      <c r="L95" s="43">
        <v>110390.04</v>
      </c>
      <c r="M95" s="43">
        <v>49051.98</v>
      </c>
      <c r="N95" s="43">
        <v>61338.05999999999</v>
      </c>
      <c r="O95" s="44">
        <v>0.5556484987232543</v>
      </c>
    </row>
    <row r="96" ht="22.5" customHeight="1">
      <c r="B96" s="41" t="s">
        <v>124</v>
      </c>
      <c r="C96" s="41" t="s">
        <v>20</v>
      </c>
      <c r="D96" s="41" t="s">
        <v>54</v>
      </c>
      <c r="E96" s="41" t="s">
        <v>46</v>
      </c>
      <c r="F96" s="41" t="s">
        <v>27</v>
      </c>
      <c r="G96" s="41" t="s">
        <v>23</v>
      </c>
      <c r="H96" s="42">
        <v>45018.0</v>
      </c>
      <c r="I96" s="41">
        <v>21.0</v>
      </c>
      <c r="J96" s="43">
        <v>249.64520588235297</v>
      </c>
      <c r="K96" s="43">
        <v>55.25</v>
      </c>
      <c r="L96" s="43">
        <v>5242.5493235294125</v>
      </c>
      <c r="M96" s="43">
        <v>1160.25</v>
      </c>
      <c r="N96" s="43">
        <v>4082.2993235294125</v>
      </c>
      <c r="O96" s="44">
        <v>0.778685916259746</v>
      </c>
    </row>
    <row r="97" ht="22.5" customHeight="1">
      <c r="B97" s="41" t="s">
        <v>125</v>
      </c>
      <c r="C97" s="41" t="s">
        <v>52</v>
      </c>
      <c r="D97" s="41" t="s">
        <v>54</v>
      </c>
      <c r="E97" s="41" t="s">
        <v>26</v>
      </c>
      <c r="F97" s="41" t="s">
        <v>27</v>
      </c>
      <c r="G97" s="41" t="s">
        <v>18</v>
      </c>
      <c r="H97" s="42">
        <v>45019.0</v>
      </c>
      <c r="I97" s="41">
        <v>304.0</v>
      </c>
      <c r="J97" s="43">
        <v>77.15</v>
      </c>
      <c r="K97" s="43">
        <v>168.6</v>
      </c>
      <c r="L97" s="43">
        <v>23453.600000000002</v>
      </c>
      <c r="M97" s="43">
        <v>51254.4</v>
      </c>
      <c r="N97" s="43">
        <v>-27800.8</v>
      </c>
      <c r="O97" s="44">
        <v>-1.1853532080362927</v>
      </c>
    </row>
    <row r="98" ht="22.5" customHeight="1">
      <c r="B98" s="41" t="s">
        <v>126</v>
      </c>
      <c r="C98" s="41" t="s">
        <v>52</v>
      </c>
      <c r="D98" s="41" t="s">
        <v>21</v>
      </c>
      <c r="E98" s="41" t="s">
        <v>16</v>
      </c>
      <c r="F98" s="41" t="s">
        <v>17</v>
      </c>
      <c r="G98" s="41" t="s">
        <v>23</v>
      </c>
      <c r="H98" s="42">
        <v>45020.0</v>
      </c>
      <c r="I98" s="41">
        <v>459.0</v>
      </c>
      <c r="J98" s="43">
        <v>227.47</v>
      </c>
      <c r="K98" s="43">
        <v>316.55</v>
      </c>
      <c r="L98" s="43">
        <v>104408.73</v>
      </c>
      <c r="M98" s="43">
        <v>145296.45</v>
      </c>
      <c r="N98" s="43">
        <v>-40887.720000000016</v>
      </c>
      <c r="O98" s="44">
        <v>-0.3916120807139405</v>
      </c>
    </row>
    <row r="99" ht="22.5" customHeight="1">
      <c r="B99" s="41" t="s">
        <v>127</v>
      </c>
      <c r="C99" s="41" t="s">
        <v>52</v>
      </c>
      <c r="D99" s="41" t="s">
        <v>34</v>
      </c>
      <c r="E99" s="41" t="s">
        <v>30</v>
      </c>
      <c r="F99" s="41" t="s">
        <v>17</v>
      </c>
      <c r="G99" s="41" t="s">
        <v>18</v>
      </c>
      <c r="H99" s="42">
        <v>45021.0</v>
      </c>
      <c r="I99" s="41">
        <v>233.0</v>
      </c>
      <c r="J99" s="43">
        <v>296.0</v>
      </c>
      <c r="K99" s="43">
        <v>233.69</v>
      </c>
      <c r="L99" s="43">
        <v>68968.0</v>
      </c>
      <c r="M99" s="43">
        <v>54449.77</v>
      </c>
      <c r="N99" s="43">
        <v>14518.230000000003</v>
      </c>
      <c r="O99" s="44">
        <v>0.2105067567567568</v>
      </c>
    </row>
    <row r="100" ht="22.5" customHeight="1">
      <c r="B100" s="41" t="s">
        <v>128</v>
      </c>
      <c r="C100" s="41" t="s">
        <v>52</v>
      </c>
      <c r="D100" s="41" t="s">
        <v>29</v>
      </c>
      <c r="E100" s="41" t="s">
        <v>46</v>
      </c>
      <c r="F100" s="41" t="s">
        <v>27</v>
      </c>
      <c r="G100" s="41" t="s">
        <v>23</v>
      </c>
      <c r="H100" s="42">
        <v>45022.0</v>
      </c>
      <c r="I100" s="41">
        <v>22.0</v>
      </c>
      <c r="J100" s="43">
        <v>474.55</v>
      </c>
      <c r="K100" s="43">
        <v>273.03</v>
      </c>
      <c r="L100" s="43">
        <v>10440.1</v>
      </c>
      <c r="M100" s="43">
        <v>6006.66</v>
      </c>
      <c r="N100" s="43">
        <v>4433.4400000000005</v>
      </c>
      <c r="O100" s="44">
        <v>0.4246549362553999</v>
      </c>
    </row>
    <row r="101" ht="22.5" customHeight="1">
      <c r="B101" s="41" t="s">
        <v>129</v>
      </c>
      <c r="C101" s="41" t="s">
        <v>52</v>
      </c>
      <c r="D101" s="41" t="s">
        <v>21</v>
      </c>
      <c r="E101" s="41" t="s">
        <v>26</v>
      </c>
      <c r="F101" s="41" t="s">
        <v>17</v>
      </c>
      <c r="G101" s="41" t="s">
        <v>31</v>
      </c>
      <c r="H101" s="42">
        <v>45023.0</v>
      </c>
      <c r="I101" s="41">
        <v>55.0</v>
      </c>
      <c r="J101" s="43">
        <v>130.0</v>
      </c>
      <c r="K101" s="43">
        <v>77.5</v>
      </c>
      <c r="L101" s="43">
        <v>7150.0</v>
      </c>
      <c r="M101" s="43">
        <v>4262.5</v>
      </c>
      <c r="N101" s="43">
        <v>2887.5</v>
      </c>
      <c r="O101" s="44">
        <v>0.40384615384615385</v>
      </c>
    </row>
    <row r="102" ht="22.5" customHeight="1">
      <c r="B102" s="41" t="s">
        <v>130</v>
      </c>
      <c r="C102" s="41" t="s">
        <v>20</v>
      </c>
      <c r="D102" s="41" t="s">
        <v>29</v>
      </c>
      <c r="E102" s="41" t="s">
        <v>26</v>
      </c>
      <c r="F102" s="41" t="s">
        <v>17</v>
      </c>
      <c r="G102" s="41" t="s">
        <v>18</v>
      </c>
      <c r="H102" s="42">
        <v>45024.0</v>
      </c>
      <c r="I102" s="41">
        <v>164.0</v>
      </c>
      <c r="J102" s="43">
        <v>182.83</v>
      </c>
      <c r="K102" s="43">
        <v>248.34</v>
      </c>
      <c r="L102" s="43">
        <v>29984.120000000003</v>
      </c>
      <c r="M102" s="43">
        <v>40727.76</v>
      </c>
      <c r="N102" s="43">
        <v>-10743.64</v>
      </c>
      <c r="O102" s="44">
        <v>-0.3583109992889569</v>
      </c>
    </row>
    <row r="103" ht="22.5" customHeight="1">
      <c r="B103" s="41" t="s">
        <v>131</v>
      </c>
      <c r="C103" s="41" t="s">
        <v>52</v>
      </c>
      <c r="D103" s="41" t="s">
        <v>29</v>
      </c>
      <c r="E103" s="41" t="s">
        <v>46</v>
      </c>
      <c r="F103" s="41" t="s">
        <v>17</v>
      </c>
      <c r="G103" s="41" t="s">
        <v>18</v>
      </c>
      <c r="H103" s="42">
        <v>45025.0</v>
      </c>
      <c r="I103" s="41">
        <v>122.0</v>
      </c>
      <c r="J103" s="43">
        <v>192.78</v>
      </c>
      <c r="K103" s="43">
        <v>130.75</v>
      </c>
      <c r="L103" s="43">
        <v>23519.16</v>
      </c>
      <c r="M103" s="43">
        <v>15951.5</v>
      </c>
      <c r="N103" s="43">
        <v>7567.66</v>
      </c>
      <c r="O103" s="44">
        <v>0.3217657433343708</v>
      </c>
    </row>
    <row r="104" ht="22.5" customHeight="1">
      <c r="B104" s="41" t="s">
        <v>132</v>
      </c>
      <c r="C104" s="41" t="s">
        <v>25</v>
      </c>
      <c r="D104" s="41" t="s">
        <v>34</v>
      </c>
      <c r="E104" s="41" t="s">
        <v>16</v>
      </c>
      <c r="F104" s="41" t="s">
        <v>27</v>
      </c>
      <c r="G104" s="41" t="s">
        <v>23</v>
      </c>
      <c r="H104" s="42">
        <v>45026.0</v>
      </c>
      <c r="I104" s="41">
        <v>242.0</v>
      </c>
      <c r="J104" s="43">
        <v>304.74</v>
      </c>
      <c r="K104" s="43">
        <v>334.05</v>
      </c>
      <c r="L104" s="43">
        <v>73747.08</v>
      </c>
      <c r="M104" s="43">
        <v>80840.1</v>
      </c>
      <c r="N104" s="43">
        <v>-7093.020000000004</v>
      </c>
      <c r="O104" s="44">
        <v>-0.09618035046268957</v>
      </c>
    </row>
    <row r="105" ht="22.5" customHeight="1">
      <c r="B105" s="41" t="s">
        <v>133</v>
      </c>
      <c r="C105" s="41" t="s">
        <v>14</v>
      </c>
      <c r="D105" s="41" t="s">
        <v>29</v>
      </c>
      <c r="E105" s="41" t="s">
        <v>46</v>
      </c>
      <c r="F105" s="41" t="s">
        <v>27</v>
      </c>
      <c r="G105" s="41" t="s">
        <v>23</v>
      </c>
      <c r="H105" s="42">
        <v>45027.0</v>
      </c>
      <c r="I105" s="41">
        <v>26.0</v>
      </c>
      <c r="J105" s="43">
        <v>181.58</v>
      </c>
      <c r="K105" s="43">
        <v>252.46</v>
      </c>
      <c r="L105" s="43">
        <v>4721.08</v>
      </c>
      <c r="M105" s="43">
        <v>6563.96</v>
      </c>
      <c r="N105" s="43">
        <v>-1842.88</v>
      </c>
      <c r="O105" s="44">
        <v>-0.39035136028196943</v>
      </c>
    </row>
    <row r="106" ht="22.5" customHeight="1">
      <c r="B106" s="41" t="s">
        <v>134</v>
      </c>
      <c r="C106" s="41" t="s">
        <v>52</v>
      </c>
      <c r="D106" s="41" t="s">
        <v>29</v>
      </c>
      <c r="E106" s="41" t="s">
        <v>30</v>
      </c>
      <c r="F106" s="41" t="s">
        <v>17</v>
      </c>
      <c r="G106" s="41" t="s">
        <v>18</v>
      </c>
      <c r="H106" s="42">
        <v>45028.0</v>
      </c>
      <c r="I106" s="41">
        <v>369.0</v>
      </c>
      <c r="J106" s="43">
        <v>269.09</v>
      </c>
      <c r="K106" s="43">
        <v>81.14</v>
      </c>
      <c r="L106" s="43">
        <v>99294.20999999999</v>
      </c>
      <c r="M106" s="43">
        <v>29940.66</v>
      </c>
      <c r="N106" s="43">
        <v>69353.54999999999</v>
      </c>
      <c r="O106" s="44">
        <v>0.6984651975175591</v>
      </c>
    </row>
    <row r="107" ht="22.5" customHeight="1">
      <c r="B107" s="41" t="s">
        <v>135</v>
      </c>
      <c r="C107" s="41" t="s">
        <v>52</v>
      </c>
      <c r="D107" s="41" t="s">
        <v>34</v>
      </c>
      <c r="E107" s="41" t="s">
        <v>46</v>
      </c>
      <c r="F107" s="41" t="s">
        <v>27</v>
      </c>
      <c r="G107" s="41" t="s">
        <v>23</v>
      </c>
      <c r="H107" s="42">
        <v>45029.0</v>
      </c>
      <c r="I107" s="41">
        <v>232.0</v>
      </c>
      <c r="J107" s="43">
        <v>391.99</v>
      </c>
      <c r="K107" s="43">
        <v>27.72</v>
      </c>
      <c r="L107" s="43">
        <v>90941.68000000001</v>
      </c>
      <c r="M107" s="43">
        <v>6431.04</v>
      </c>
      <c r="N107" s="43">
        <v>84510.64000000001</v>
      </c>
      <c r="O107" s="44">
        <v>0.9292839103038344</v>
      </c>
    </row>
    <row r="108" ht="22.5" customHeight="1">
      <c r="B108" s="41" t="s">
        <v>136</v>
      </c>
      <c r="C108" s="41" t="s">
        <v>20</v>
      </c>
      <c r="D108" s="41" t="s">
        <v>29</v>
      </c>
      <c r="E108" s="41" t="s">
        <v>26</v>
      </c>
      <c r="F108" s="41" t="s">
        <v>17</v>
      </c>
      <c r="G108" s="41" t="s">
        <v>23</v>
      </c>
      <c r="H108" s="42">
        <v>45030.0</v>
      </c>
      <c r="I108" s="41">
        <v>363.0</v>
      </c>
      <c r="J108" s="43">
        <v>354.17</v>
      </c>
      <c r="K108" s="43">
        <v>18.97</v>
      </c>
      <c r="L108" s="43">
        <v>128563.71</v>
      </c>
      <c r="M108" s="43">
        <v>6886.11</v>
      </c>
      <c r="N108" s="43">
        <v>121677.6</v>
      </c>
      <c r="O108" s="44">
        <v>0.9464381511703419</v>
      </c>
    </row>
    <row r="109" ht="22.5" customHeight="1">
      <c r="B109" s="41" t="s">
        <v>137</v>
      </c>
      <c r="C109" s="41" t="s">
        <v>52</v>
      </c>
      <c r="D109" s="41" t="s">
        <v>29</v>
      </c>
      <c r="E109" s="41" t="s">
        <v>46</v>
      </c>
      <c r="F109" s="41" t="s">
        <v>17</v>
      </c>
      <c r="G109" s="41" t="s">
        <v>23</v>
      </c>
      <c r="H109" s="42">
        <v>45031.0</v>
      </c>
      <c r="I109" s="41">
        <v>197.0</v>
      </c>
      <c r="J109" s="43">
        <v>225.95</v>
      </c>
      <c r="K109" s="43">
        <v>149.82</v>
      </c>
      <c r="L109" s="43">
        <v>44512.149999999994</v>
      </c>
      <c r="M109" s="43">
        <v>29514.539999999997</v>
      </c>
      <c r="N109" s="43">
        <v>14997.609999999997</v>
      </c>
      <c r="O109" s="44">
        <v>0.3369329497676477</v>
      </c>
    </row>
    <row r="110" ht="22.5" customHeight="1">
      <c r="B110" s="41" t="s">
        <v>138</v>
      </c>
      <c r="C110" s="41" t="s">
        <v>52</v>
      </c>
      <c r="D110" s="41" t="s">
        <v>29</v>
      </c>
      <c r="E110" s="41" t="s">
        <v>16</v>
      </c>
      <c r="F110" s="41" t="s">
        <v>17</v>
      </c>
      <c r="G110" s="41" t="s">
        <v>31</v>
      </c>
      <c r="H110" s="42">
        <v>45032.0</v>
      </c>
      <c r="I110" s="41">
        <v>457.0</v>
      </c>
      <c r="J110" s="43">
        <v>432.79</v>
      </c>
      <c r="K110" s="43">
        <v>107.81</v>
      </c>
      <c r="L110" s="43">
        <v>197785.03</v>
      </c>
      <c r="M110" s="43">
        <v>49269.17</v>
      </c>
      <c r="N110" s="43">
        <v>148515.86</v>
      </c>
      <c r="O110" s="44">
        <v>0.7508953534046534</v>
      </c>
    </row>
    <row r="111" ht="22.5" customHeight="1">
      <c r="B111" s="41" t="s">
        <v>139</v>
      </c>
      <c r="C111" s="41" t="s">
        <v>52</v>
      </c>
      <c r="D111" s="41" t="s">
        <v>21</v>
      </c>
      <c r="E111" s="41" t="s">
        <v>22</v>
      </c>
      <c r="F111" s="41" t="s">
        <v>17</v>
      </c>
      <c r="G111" s="41" t="s">
        <v>31</v>
      </c>
      <c r="H111" s="42">
        <v>45033.0</v>
      </c>
      <c r="I111" s="41">
        <v>353.0</v>
      </c>
      <c r="J111" s="43">
        <v>281.28</v>
      </c>
      <c r="K111" s="43">
        <v>259.14</v>
      </c>
      <c r="L111" s="43">
        <v>99291.84</v>
      </c>
      <c r="M111" s="43">
        <v>91476.42</v>
      </c>
      <c r="N111" s="43">
        <v>7815.419999999998</v>
      </c>
      <c r="O111" s="44">
        <v>0.07871160409556313</v>
      </c>
    </row>
    <row r="112" ht="22.5" customHeight="1">
      <c r="B112" s="41" t="s">
        <v>140</v>
      </c>
      <c r="C112" s="41" t="s">
        <v>20</v>
      </c>
      <c r="D112" s="41" t="s">
        <v>21</v>
      </c>
      <c r="E112" s="41" t="s">
        <v>46</v>
      </c>
      <c r="F112" s="41" t="s">
        <v>27</v>
      </c>
      <c r="G112" s="41" t="s">
        <v>23</v>
      </c>
      <c r="H112" s="42">
        <v>45034.0</v>
      </c>
      <c r="I112" s="41">
        <v>374.0</v>
      </c>
      <c r="J112" s="43">
        <v>272.25</v>
      </c>
      <c r="K112" s="43">
        <v>200.73</v>
      </c>
      <c r="L112" s="43">
        <v>101821.5</v>
      </c>
      <c r="M112" s="43">
        <v>75073.01999999999</v>
      </c>
      <c r="N112" s="43">
        <v>26748.48000000001</v>
      </c>
      <c r="O112" s="44">
        <v>0.26269972451790646</v>
      </c>
    </row>
    <row r="113" ht="22.5" customHeight="1">
      <c r="B113" s="41" t="s">
        <v>141</v>
      </c>
      <c r="C113" s="41" t="s">
        <v>52</v>
      </c>
      <c r="D113" s="41" t="s">
        <v>21</v>
      </c>
      <c r="E113" s="41" t="s">
        <v>16</v>
      </c>
      <c r="F113" s="41" t="s">
        <v>27</v>
      </c>
      <c r="G113" s="41" t="s">
        <v>23</v>
      </c>
      <c r="H113" s="42">
        <v>45035.0</v>
      </c>
      <c r="I113" s="41">
        <v>172.0</v>
      </c>
      <c r="J113" s="43">
        <v>21.92</v>
      </c>
      <c r="K113" s="43">
        <v>107.88</v>
      </c>
      <c r="L113" s="43">
        <v>3770.2400000000002</v>
      </c>
      <c r="M113" s="43">
        <v>18555.36</v>
      </c>
      <c r="N113" s="43">
        <v>-14785.12</v>
      </c>
      <c r="O113" s="44">
        <v>-3.9215328467153285</v>
      </c>
    </row>
    <row r="114" ht="22.5" customHeight="1">
      <c r="B114" s="41" t="s">
        <v>142</v>
      </c>
      <c r="C114" s="41" t="s">
        <v>14</v>
      </c>
      <c r="D114" s="41" t="s">
        <v>34</v>
      </c>
      <c r="E114" s="41" t="s">
        <v>16</v>
      </c>
      <c r="F114" s="41" t="s">
        <v>27</v>
      </c>
      <c r="G114" s="41" t="s">
        <v>31</v>
      </c>
      <c r="H114" s="42">
        <v>45036.0</v>
      </c>
      <c r="I114" s="41">
        <v>335.0</v>
      </c>
      <c r="J114" s="43">
        <v>493.41</v>
      </c>
      <c r="K114" s="43">
        <v>61.4</v>
      </c>
      <c r="L114" s="43">
        <v>165292.35</v>
      </c>
      <c r="M114" s="43">
        <v>20569.0</v>
      </c>
      <c r="N114" s="43">
        <v>144723.35</v>
      </c>
      <c r="O114" s="44">
        <v>0.875559879207961</v>
      </c>
    </row>
    <row r="115" ht="22.5" customHeight="1">
      <c r="B115" s="41" t="s">
        <v>143</v>
      </c>
      <c r="C115" s="41" t="s">
        <v>20</v>
      </c>
      <c r="D115" s="41" t="s">
        <v>54</v>
      </c>
      <c r="E115" s="41" t="s">
        <v>26</v>
      </c>
      <c r="F115" s="41" t="s">
        <v>17</v>
      </c>
      <c r="G115" s="41" t="s">
        <v>31</v>
      </c>
      <c r="H115" s="42">
        <v>45037.0</v>
      </c>
      <c r="I115" s="41">
        <v>476.0</v>
      </c>
      <c r="J115" s="43">
        <v>65.87</v>
      </c>
      <c r="K115" s="43">
        <v>52.63</v>
      </c>
      <c r="L115" s="43">
        <v>31354.120000000003</v>
      </c>
      <c r="M115" s="43">
        <v>25051.88</v>
      </c>
      <c r="N115" s="43">
        <v>6302.240000000002</v>
      </c>
      <c r="O115" s="44">
        <v>0.2010019735843328</v>
      </c>
    </row>
    <row r="116" ht="22.5" customHeight="1">
      <c r="B116" s="41" t="s">
        <v>144</v>
      </c>
      <c r="C116" s="41" t="s">
        <v>14</v>
      </c>
      <c r="D116" s="41" t="s">
        <v>29</v>
      </c>
      <c r="E116" s="41" t="s">
        <v>16</v>
      </c>
      <c r="F116" s="41" t="s">
        <v>17</v>
      </c>
      <c r="G116" s="41" t="s">
        <v>18</v>
      </c>
      <c r="H116" s="42">
        <v>45038.0</v>
      </c>
      <c r="I116" s="41">
        <v>423.0</v>
      </c>
      <c r="J116" s="43">
        <v>119.41</v>
      </c>
      <c r="K116" s="43">
        <v>346.13</v>
      </c>
      <c r="L116" s="43">
        <v>50510.43</v>
      </c>
      <c r="M116" s="43">
        <v>146412.99</v>
      </c>
      <c r="N116" s="43">
        <v>-95902.56</v>
      </c>
      <c r="O116" s="44">
        <v>-1.8986684532283729</v>
      </c>
    </row>
    <row r="117" ht="22.5" customHeight="1">
      <c r="B117" s="41" t="s">
        <v>145</v>
      </c>
      <c r="C117" s="41" t="s">
        <v>20</v>
      </c>
      <c r="D117" s="41" t="s">
        <v>29</v>
      </c>
      <c r="E117" s="41" t="s">
        <v>16</v>
      </c>
      <c r="F117" s="41" t="s">
        <v>17</v>
      </c>
      <c r="G117" s="41" t="s">
        <v>18</v>
      </c>
      <c r="H117" s="42">
        <v>45039.0</v>
      </c>
      <c r="I117" s="41">
        <v>464.0</v>
      </c>
      <c r="J117" s="43">
        <v>30.59</v>
      </c>
      <c r="K117" s="43">
        <v>98.9</v>
      </c>
      <c r="L117" s="43">
        <v>14193.76</v>
      </c>
      <c r="M117" s="43">
        <v>45889.600000000006</v>
      </c>
      <c r="N117" s="43">
        <v>-31695.840000000004</v>
      </c>
      <c r="O117" s="44">
        <v>-2.2330827067669174</v>
      </c>
    </row>
    <row r="118" ht="22.5" customHeight="1">
      <c r="B118" s="41" t="s">
        <v>146</v>
      </c>
      <c r="C118" s="41" t="s">
        <v>52</v>
      </c>
      <c r="D118" s="41" t="s">
        <v>34</v>
      </c>
      <c r="E118" s="41" t="s">
        <v>16</v>
      </c>
      <c r="F118" s="41" t="s">
        <v>27</v>
      </c>
      <c r="G118" s="41" t="s">
        <v>31</v>
      </c>
      <c r="H118" s="42">
        <v>45040.0</v>
      </c>
      <c r="I118" s="41">
        <v>83.0</v>
      </c>
      <c r="J118" s="43">
        <v>321.8</v>
      </c>
      <c r="K118" s="43">
        <v>261.38</v>
      </c>
      <c r="L118" s="43">
        <v>26709.4</v>
      </c>
      <c r="M118" s="43">
        <v>21694.54</v>
      </c>
      <c r="N118" s="43">
        <v>5014.860000000001</v>
      </c>
      <c r="O118" s="44">
        <v>0.18775637041640772</v>
      </c>
    </row>
    <row r="119" ht="22.5" customHeight="1">
      <c r="B119" s="41" t="s">
        <v>147</v>
      </c>
      <c r="C119" s="41" t="s">
        <v>14</v>
      </c>
      <c r="D119" s="41" t="s">
        <v>29</v>
      </c>
      <c r="E119" s="41" t="s">
        <v>16</v>
      </c>
      <c r="F119" s="41" t="s">
        <v>17</v>
      </c>
      <c r="G119" s="41" t="s">
        <v>23</v>
      </c>
      <c r="H119" s="42">
        <v>45041.0</v>
      </c>
      <c r="I119" s="41">
        <v>242.0</v>
      </c>
      <c r="J119" s="43">
        <v>116.23</v>
      </c>
      <c r="K119" s="43">
        <v>324.65</v>
      </c>
      <c r="L119" s="43">
        <v>28127.66</v>
      </c>
      <c r="M119" s="43">
        <v>78565.29999999999</v>
      </c>
      <c r="N119" s="43">
        <v>-50437.639999999985</v>
      </c>
      <c r="O119" s="44">
        <v>-1.7931687171986572</v>
      </c>
    </row>
    <row r="120" ht="22.5" customHeight="1">
      <c r="B120" s="41" t="s">
        <v>148</v>
      </c>
      <c r="C120" s="41" t="s">
        <v>20</v>
      </c>
      <c r="D120" s="41" t="s">
        <v>21</v>
      </c>
      <c r="E120" s="41" t="s">
        <v>30</v>
      </c>
      <c r="F120" s="41" t="s">
        <v>27</v>
      </c>
      <c r="G120" s="41" t="s">
        <v>23</v>
      </c>
      <c r="H120" s="42">
        <v>45042.0</v>
      </c>
      <c r="I120" s="41">
        <v>233.0</v>
      </c>
      <c r="J120" s="43">
        <v>94.11</v>
      </c>
      <c r="K120" s="43">
        <v>246.4</v>
      </c>
      <c r="L120" s="43">
        <v>21927.63</v>
      </c>
      <c r="M120" s="43">
        <v>57411.200000000004</v>
      </c>
      <c r="N120" s="43">
        <v>-35483.57000000001</v>
      </c>
      <c r="O120" s="44">
        <v>-1.6182127297842952</v>
      </c>
    </row>
    <row r="121" ht="22.5" customHeight="1">
      <c r="B121" s="41" t="s">
        <v>149</v>
      </c>
      <c r="C121" s="41" t="s">
        <v>25</v>
      </c>
      <c r="D121" s="41" t="s">
        <v>54</v>
      </c>
      <c r="E121" s="41" t="s">
        <v>30</v>
      </c>
      <c r="F121" s="41" t="s">
        <v>27</v>
      </c>
      <c r="G121" s="41" t="s">
        <v>23</v>
      </c>
      <c r="H121" s="42">
        <v>45043.0</v>
      </c>
      <c r="I121" s="41">
        <v>491.0</v>
      </c>
      <c r="J121" s="43">
        <v>48.84</v>
      </c>
      <c r="K121" s="43">
        <v>344.11</v>
      </c>
      <c r="L121" s="43">
        <v>23980.440000000002</v>
      </c>
      <c r="M121" s="43">
        <v>168958.01</v>
      </c>
      <c r="N121" s="43">
        <v>-144977.57</v>
      </c>
      <c r="O121" s="44">
        <v>-6.045659295659295</v>
      </c>
    </row>
    <row r="122" ht="22.5" customHeight="1">
      <c r="B122" s="41" t="s">
        <v>150</v>
      </c>
      <c r="C122" s="41" t="s">
        <v>39</v>
      </c>
      <c r="D122" s="41" t="s">
        <v>15</v>
      </c>
      <c r="E122" s="41" t="s">
        <v>26</v>
      </c>
      <c r="F122" s="41" t="s">
        <v>27</v>
      </c>
      <c r="G122" s="41" t="s">
        <v>23</v>
      </c>
      <c r="H122" s="42">
        <v>45044.0</v>
      </c>
      <c r="I122" s="41">
        <v>328.0</v>
      </c>
      <c r="J122" s="43">
        <v>56.14</v>
      </c>
      <c r="K122" s="43">
        <v>158.17</v>
      </c>
      <c r="L122" s="43">
        <v>18413.920000000002</v>
      </c>
      <c r="M122" s="43">
        <v>51879.759999999995</v>
      </c>
      <c r="N122" s="43">
        <v>-33465.84</v>
      </c>
      <c r="O122" s="44">
        <v>-1.8174207338795865</v>
      </c>
    </row>
    <row r="123" ht="22.5" customHeight="1">
      <c r="B123" s="41" t="s">
        <v>151</v>
      </c>
      <c r="C123" s="41" t="s">
        <v>20</v>
      </c>
      <c r="D123" s="41" t="s">
        <v>29</v>
      </c>
      <c r="E123" s="41" t="s">
        <v>46</v>
      </c>
      <c r="F123" s="41" t="s">
        <v>27</v>
      </c>
      <c r="G123" s="41" t="s">
        <v>18</v>
      </c>
      <c r="H123" s="42">
        <v>45045.0</v>
      </c>
      <c r="I123" s="41">
        <v>421.0</v>
      </c>
      <c r="J123" s="43">
        <v>294.41</v>
      </c>
      <c r="K123" s="43">
        <v>382.58</v>
      </c>
      <c r="L123" s="43">
        <v>123946.61000000002</v>
      </c>
      <c r="M123" s="43">
        <v>161066.18</v>
      </c>
      <c r="N123" s="43">
        <v>-37119.56999999998</v>
      </c>
      <c r="O123" s="44">
        <v>-0.29948031656533386</v>
      </c>
    </row>
    <row r="124" ht="22.5" customHeight="1">
      <c r="B124" s="41" t="s">
        <v>152</v>
      </c>
      <c r="C124" s="41" t="s">
        <v>25</v>
      </c>
      <c r="D124" s="41" t="s">
        <v>21</v>
      </c>
      <c r="E124" s="41" t="s">
        <v>16</v>
      </c>
      <c r="F124" s="41" t="s">
        <v>27</v>
      </c>
      <c r="G124" s="41" t="s">
        <v>31</v>
      </c>
      <c r="H124" s="42">
        <v>45046.0</v>
      </c>
      <c r="I124" s="41">
        <v>69.0</v>
      </c>
      <c r="J124" s="43">
        <v>345.66</v>
      </c>
      <c r="K124" s="43">
        <v>54.99</v>
      </c>
      <c r="L124" s="43">
        <v>23850.54</v>
      </c>
      <c r="M124" s="43">
        <v>3794.31</v>
      </c>
      <c r="N124" s="43">
        <v>20056.23</v>
      </c>
      <c r="O124" s="44">
        <v>0.8409130359312619</v>
      </c>
    </row>
    <row r="125" ht="22.5" customHeight="1">
      <c r="B125" s="41" t="s">
        <v>153</v>
      </c>
      <c r="C125" s="41" t="s">
        <v>20</v>
      </c>
      <c r="D125" s="41" t="s">
        <v>15</v>
      </c>
      <c r="E125" s="41" t="s">
        <v>46</v>
      </c>
      <c r="F125" s="41" t="s">
        <v>27</v>
      </c>
      <c r="G125" s="41" t="s">
        <v>23</v>
      </c>
      <c r="H125" s="42">
        <v>45047.0</v>
      </c>
      <c r="I125" s="41">
        <v>344.0</v>
      </c>
      <c r="J125" s="43">
        <v>201.7</v>
      </c>
      <c r="K125" s="43">
        <v>42.66</v>
      </c>
      <c r="L125" s="43">
        <v>69384.8</v>
      </c>
      <c r="M125" s="43">
        <v>14675.039999999999</v>
      </c>
      <c r="N125" s="43">
        <v>54709.76</v>
      </c>
      <c r="O125" s="44">
        <v>0.7884977689638076</v>
      </c>
    </row>
    <row r="126" ht="22.5" customHeight="1">
      <c r="B126" s="41" t="s">
        <v>154</v>
      </c>
      <c r="C126" s="41" t="s">
        <v>39</v>
      </c>
      <c r="D126" s="41" t="s">
        <v>54</v>
      </c>
      <c r="E126" s="41" t="s">
        <v>46</v>
      </c>
      <c r="F126" s="41" t="s">
        <v>17</v>
      </c>
      <c r="G126" s="41" t="s">
        <v>18</v>
      </c>
      <c r="H126" s="42">
        <v>45048.0</v>
      </c>
      <c r="I126" s="41">
        <v>231.0</v>
      </c>
      <c r="J126" s="43">
        <v>242.55</v>
      </c>
      <c r="K126" s="43">
        <v>264.16</v>
      </c>
      <c r="L126" s="43">
        <v>56029.05</v>
      </c>
      <c r="M126" s="43">
        <v>61020.96000000001</v>
      </c>
      <c r="N126" s="43">
        <v>-4991.9100000000035</v>
      </c>
      <c r="O126" s="44">
        <v>-0.08909503195217487</v>
      </c>
    </row>
    <row r="127" ht="22.5" customHeight="1">
      <c r="B127" s="41" t="s">
        <v>155</v>
      </c>
      <c r="C127" s="41" t="s">
        <v>52</v>
      </c>
      <c r="D127" s="41" t="s">
        <v>15</v>
      </c>
      <c r="E127" s="41" t="s">
        <v>26</v>
      </c>
      <c r="F127" s="41" t="s">
        <v>17</v>
      </c>
      <c r="G127" s="41" t="s">
        <v>23</v>
      </c>
      <c r="H127" s="42">
        <v>45049.0</v>
      </c>
      <c r="I127" s="41">
        <v>46.0</v>
      </c>
      <c r="J127" s="43">
        <v>344.55</v>
      </c>
      <c r="K127" s="43">
        <v>377.25</v>
      </c>
      <c r="L127" s="43">
        <v>15849.300000000001</v>
      </c>
      <c r="M127" s="43">
        <v>17353.5</v>
      </c>
      <c r="N127" s="43">
        <v>-1504.199999999999</v>
      </c>
      <c r="O127" s="44">
        <v>-0.09490639965171956</v>
      </c>
    </row>
    <row r="128" ht="22.5" customHeight="1">
      <c r="B128" s="41" t="s">
        <v>156</v>
      </c>
      <c r="C128" s="41" t="s">
        <v>14</v>
      </c>
      <c r="D128" s="41" t="s">
        <v>21</v>
      </c>
      <c r="E128" s="41" t="s">
        <v>16</v>
      </c>
      <c r="F128" s="41" t="s">
        <v>27</v>
      </c>
      <c r="G128" s="41" t="s">
        <v>31</v>
      </c>
      <c r="H128" s="42">
        <v>45050.0</v>
      </c>
      <c r="I128" s="41">
        <v>486.0</v>
      </c>
      <c r="J128" s="43">
        <v>13.6</v>
      </c>
      <c r="K128" s="43">
        <v>323.94</v>
      </c>
      <c r="L128" s="43">
        <v>6609.599999999999</v>
      </c>
      <c r="M128" s="43">
        <v>157434.84</v>
      </c>
      <c r="N128" s="43">
        <v>-150825.24</v>
      </c>
      <c r="O128" s="44">
        <v>-22.819117647058825</v>
      </c>
    </row>
    <row r="129" ht="22.5" customHeight="1">
      <c r="B129" s="41" t="s">
        <v>157</v>
      </c>
      <c r="C129" s="41" t="s">
        <v>25</v>
      </c>
      <c r="D129" s="41" t="s">
        <v>15</v>
      </c>
      <c r="E129" s="41" t="s">
        <v>16</v>
      </c>
      <c r="F129" s="41" t="s">
        <v>27</v>
      </c>
      <c r="G129" s="41" t="s">
        <v>18</v>
      </c>
      <c r="H129" s="42">
        <v>45051.0</v>
      </c>
      <c r="I129" s="41">
        <v>287.0</v>
      </c>
      <c r="J129" s="43">
        <v>164.95</v>
      </c>
      <c r="K129" s="43">
        <v>32.41</v>
      </c>
      <c r="L129" s="43">
        <v>47340.649999999994</v>
      </c>
      <c r="M129" s="43">
        <v>9301.669999999998</v>
      </c>
      <c r="N129" s="43">
        <v>38038.979999999996</v>
      </c>
      <c r="O129" s="44">
        <v>0.8035162170354653</v>
      </c>
    </row>
    <row r="130" ht="22.5" customHeight="1">
      <c r="B130" s="41" t="s">
        <v>158</v>
      </c>
      <c r="C130" s="41" t="s">
        <v>20</v>
      </c>
      <c r="D130" s="41" t="s">
        <v>34</v>
      </c>
      <c r="E130" s="41" t="s">
        <v>22</v>
      </c>
      <c r="F130" s="41" t="s">
        <v>17</v>
      </c>
      <c r="G130" s="41" t="s">
        <v>31</v>
      </c>
      <c r="H130" s="42">
        <v>45052.0</v>
      </c>
      <c r="I130" s="41">
        <v>205.0</v>
      </c>
      <c r="J130" s="43">
        <v>486.68</v>
      </c>
      <c r="K130" s="43">
        <v>113.19</v>
      </c>
      <c r="L130" s="43">
        <v>99769.4</v>
      </c>
      <c r="M130" s="43">
        <v>23203.95</v>
      </c>
      <c r="N130" s="43">
        <v>76565.45</v>
      </c>
      <c r="O130" s="44">
        <v>0.7674241801594477</v>
      </c>
    </row>
    <row r="131" ht="22.5" customHeight="1">
      <c r="B131" s="41" t="s">
        <v>159</v>
      </c>
      <c r="C131" s="41" t="s">
        <v>52</v>
      </c>
      <c r="D131" s="41" t="s">
        <v>15</v>
      </c>
      <c r="E131" s="41" t="s">
        <v>46</v>
      </c>
      <c r="F131" s="41" t="s">
        <v>27</v>
      </c>
      <c r="G131" s="41" t="s">
        <v>31</v>
      </c>
      <c r="H131" s="42">
        <v>45053.0</v>
      </c>
      <c r="I131" s="41">
        <v>413.0</v>
      </c>
      <c r="J131" s="43">
        <v>292.16</v>
      </c>
      <c r="K131" s="43">
        <v>372.27</v>
      </c>
      <c r="L131" s="43">
        <v>120662.08000000002</v>
      </c>
      <c r="M131" s="43">
        <v>153747.50999999998</v>
      </c>
      <c r="N131" s="43">
        <v>-33085.429999999964</v>
      </c>
      <c r="O131" s="44">
        <v>-0.27419906900328556</v>
      </c>
    </row>
    <row r="132" ht="22.5" customHeight="1">
      <c r="B132" s="41" t="s">
        <v>160</v>
      </c>
      <c r="C132" s="41" t="s">
        <v>25</v>
      </c>
      <c r="D132" s="41" t="s">
        <v>29</v>
      </c>
      <c r="E132" s="41" t="s">
        <v>46</v>
      </c>
      <c r="F132" s="41" t="s">
        <v>27</v>
      </c>
      <c r="G132" s="41" t="s">
        <v>18</v>
      </c>
      <c r="H132" s="42">
        <v>45054.0</v>
      </c>
      <c r="I132" s="41">
        <v>361.0</v>
      </c>
      <c r="J132" s="43">
        <v>130.84</v>
      </c>
      <c r="K132" s="43">
        <v>102.72</v>
      </c>
      <c r="L132" s="43">
        <v>47233.24</v>
      </c>
      <c r="M132" s="43">
        <v>37081.92</v>
      </c>
      <c r="N132" s="43">
        <v>10151.32</v>
      </c>
      <c r="O132" s="44">
        <v>0.2149189850198716</v>
      </c>
    </row>
    <row r="133" ht="22.5" customHeight="1">
      <c r="B133" s="41" t="s">
        <v>161</v>
      </c>
      <c r="C133" s="41" t="s">
        <v>20</v>
      </c>
      <c r="D133" s="41" t="s">
        <v>29</v>
      </c>
      <c r="E133" s="41" t="s">
        <v>30</v>
      </c>
      <c r="F133" s="41" t="s">
        <v>17</v>
      </c>
      <c r="G133" s="41" t="s">
        <v>18</v>
      </c>
      <c r="H133" s="42">
        <v>45055.0</v>
      </c>
      <c r="I133" s="41">
        <v>493.0</v>
      </c>
      <c r="J133" s="43">
        <v>263.26</v>
      </c>
      <c r="K133" s="43">
        <v>312.91</v>
      </c>
      <c r="L133" s="43">
        <v>129787.18</v>
      </c>
      <c r="M133" s="43">
        <v>154264.63</v>
      </c>
      <c r="N133" s="43">
        <v>-24477.45000000001</v>
      </c>
      <c r="O133" s="44">
        <v>-0.18859682443212045</v>
      </c>
    </row>
    <row r="134" ht="22.5" customHeight="1">
      <c r="B134" s="41" t="s">
        <v>162</v>
      </c>
      <c r="C134" s="41" t="s">
        <v>20</v>
      </c>
      <c r="D134" s="41" t="s">
        <v>34</v>
      </c>
      <c r="E134" s="41" t="s">
        <v>22</v>
      </c>
      <c r="F134" s="41" t="s">
        <v>27</v>
      </c>
      <c r="G134" s="41" t="s">
        <v>18</v>
      </c>
      <c r="H134" s="42">
        <v>45056.0</v>
      </c>
      <c r="I134" s="41">
        <v>251.0</v>
      </c>
      <c r="J134" s="43">
        <v>174.61</v>
      </c>
      <c r="K134" s="43">
        <v>330.4</v>
      </c>
      <c r="L134" s="43">
        <v>43827.11</v>
      </c>
      <c r="M134" s="43">
        <v>82930.4</v>
      </c>
      <c r="N134" s="43">
        <v>-39103.28999999999</v>
      </c>
      <c r="O134" s="44">
        <v>-0.8922169406105033</v>
      </c>
    </row>
    <row r="135" ht="22.5" customHeight="1">
      <c r="B135" s="41" t="s">
        <v>163</v>
      </c>
      <c r="C135" s="41" t="s">
        <v>20</v>
      </c>
      <c r="D135" s="41" t="s">
        <v>21</v>
      </c>
      <c r="E135" s="41" t="s">
        <v>30</v>
      </c>
      <c r="F135" s="41" t="s">
        <v>27</v>
      </c>
      <c r="G135" s="41" t="s">
        <v>18</v>
      </c>
      <c r="H135" s="42">
        <v>45057.0</v>
      </c>
      <c r="I135" s="45">
        <v>255.9029411764706</v>
      </c>
      <c r="J135" s="43">
        <v>268.46</v>
      </c>
      <c r="K135" s="43">
        <v>199.19</v>
      </c>
      <c r="L135" s="43">
        <v>68699.7035882353</v>
      </c>
      <c r="M135" s="43">
        <v>50973.306852941176</v>
      </c>
      <c r="N135" s="43">
        <v>17726.396735294118</v>
      </c>
      <c r="O135" s="44">
        <v>0.25802726663190045</v>
      </c>
    </row>
    <row r="136" ht="22.5" customHeight="1">
      <c r="B136" s="41" t="s">
        <v>164</v>
      </c>
      <c r="C136" s="41" t="s">
        <v>25</v>
      </c>
      <c r="D136" s="41" t="s">
        <v>29</v>
      </c>
      <c r="E136" s="41" t="s">
        <v>30</v>
      </c>
      <c r="F136" s="41" t="s">
        <v>27</v>
      </c>
      <c r="G136" s="41" t="s">
        <v>18</v>
      </c>
      <c r="H136" s="42">
        <v>45058.0</v>
      </c>
      <c r="I136" s="41">
        <v>228.0</v>
      </c>
      <c r="J136" s="43">
        <v>67.24</v>
      </c>
      <c r="K136" s="43">
        <v>155.77</v>
      </c>
      <c r="L136" s="43">
        <v>15330.72</v>
      </c>
      <c r="M136" s="43">
        <v>35515.560000000005</v>
      </c>
      <c r="N136" s="43">
        <v>-20184.840000000004</v>
      </c>
      <c r="O136" s="44">
        <v>-1.3166270077334923</v>
      </c>
    </row>
    <row r="137" ht="22.5" customHeight="1">
      <c r="B137" s="41" t="s">
        <v>165</v>
      </c>
      <c r="C137" s="41" t="s">
        <v>25</v>
      </c>
      <c r="D137" s="41" t="s">
        <v>54</v>
      </c>
      <c r="E137" s="41" t="s">
        <v>30</v>
      </c>
      <c r="F137" s="41" t="s">
        <v>17</v>
      </c>
      <c r="G137" s="41" t="s">
        <v>18</v>
      </c>
      <c r="H137" s="42">
        <v>45059.0</v>
      </c>
      <c r="I137" s="41">
        <v>201.0</v>
      </c>
      <c r="J137" s="43">
        <v>70.69</v>
      </c>
      <c r="K137" s="43">
        <v>181.15</v>
      </c>
      <c r="L137" s="43">
        <v>14208.689999999999</v>
      </c>
      <c r="M137" s="43">
        <v>36411.15</v>
      </c>
      <c r="N137" s="43">
        <v>-22202.460000000003</v>
      </c>
      <c r="O137" s="44">
        <v>-1.5625972556231436</v>
      </c>
    </row>
    <row r="138" ht="22.5" customHeight="1">
      <c r="B138" s="41" t="s">
        <v>166</v>
      </c>
      <c r="C138" s="41" t="s">
        <v>25</v>
      </c>
      <c r="D138" s="41" t="s">
        <v>29</v>
      </c>
      <c r="E138" s="41" t="s">
        <v>26</v>
      </c>
      <c r="F138" s="41" t="s">
        <v>17</v>
      </c>
      <c r="G138" s="41" t="s">
        <v>18</v>
      </c>
      <c r="H138" s="42">
        <v>45060.0</v>
      </c>
      <c r="I138" s="41">
        <v>26.0</v>
      </c>
      <c r="J138" s="43">
        <v>76.05</v>
      </c>
      <c r="K138" s="43">
        <v>92.33</v>
      </c>
      <c r="L138" s="43">
        <v>1977.3</v>
      </c>
      <c r="M138" s="43">
        <v>2400.58</v>
      </c>
      <c r="N138" s="43">
        <v>-423.28</v>
      </c>
      <c r="O138" s="44">
        <v>-0.2140696909927679</v>
      </c>
    </row>
    <row r="139" ht="22.5" customHeight="1">
      <c r="B139" s="41" t="s">
        <v>167</v>
      </c>
      <c r="C139" s="41" t="s">
        <v>14</v>
      </c>
      <c r="D139" s="41" t="s">
        <v>29</v>
      </c>
      <c r="E139" s="41" t="s">
        <v>26</v>
      </c>
      <c r="F139" s="41" t="s">
        <v>17</v>
      </c>
      <c r="G139" s="41" t="s">
        <v>23</v>
      </c>
      <c r="H139" s="42">
        <v>45061.0</v>
      </c>
      <c r="I139" s="41">
        <v>21.0</v>
      </c>
      <c r="J139" s="43">
        <v>470.21</v>
      </c>
      <c r="K139" s="43">
        <v>355.98</v>
      </c>
      <c r="L139" s="43">
        <v>9874.41</v>
      </c>
      <c r="M139" s="43">
        <v>7475.58</v>
      </c>
      <c r="N139" s="43">
        <v>2398.83</v>
      </c>
      <c r="O139" s="44">
        <v>0.24293400820909805</v>
      </c>
    </row>
    <row r="140" ht="22.5" customHeight="1">
      <c r="B140" s="41" t="s">
        <v>168</v>
      </c>
      <c r="C140" s="41" t="s">
        <v>25</v>
      </c>
      <c r="D140" s="41" t="s">
        <v>21</v>
      </c>
      <c r="E140" s="41" t="s">
        <v>30</v>
      </c>
      <c r="F140" s="41" t="s">
        <v>27</v>
      </c>
      <c r="G140" s="41" t="s">
        <v>31</v>
      </c>
      <c r="H140" s="42">
        <v>45062.0</v>
      </c>
      <c r="I140" s="41">
        <v>415.0</v>
      </c>
      <c r="J140" s="43">
        <v>367.78</v>
      </c>
      <c r="K140" s="43">
        <v>181.35</v>
      </c>
      <c r="L140" s="43">
        <v>152628.69999999998</v>
      </c>
      <c r="M140" s="43">
        <v>75260.25</v>
      </c>
      <c r="N140" s="43">
        <v>77368.44999999998</v>
      </c>
      <c r="O140" s="44">
        <v>0.5069063026809505</v>
      </c>
    </row>
    <row r="141" ht="22.5" customHeight="1">
      <c r="B141" s="41" t="s">
        <v>169</v>
      </c>
      <c r="C141" s="41" t="s">
        <v>25</v>
      </c>
      <c r="D141" s="41" t="s">
        <v>15</v>
      </c>
      <c r="E141" s="41" t="s">
        <v>22</v>
      </c>
      <c r="F141" s="41" t="s">
        <v>27</v>
      </c>
      <c r="G141" s="41" t="s">
        <v>18</v>
      </c>
      <c r="H141" s="42">
        <v>45063.0</v>
      </c>
      <c r="I141" s="41">
        <v>410.0</v>
      </c>
      <c r="J141" s="43">
        <v>85.38</v>
      </c>
      <c r="K141" s="43">
        <v>353.22</v>
      </c>
      <c r="L141" s="43">
        <v>35005.799999999996</v>
      </c>
      <c r="M141" s="43">
        <v>144820.2</v>
      </c>
      <c r="N141" s="43">
        <v>-109814.40000000002</v>
      </c>
      <c r="O141" s="44">
        <v>-3.1370344342937466</v>
      </c>
    </row>
    <row r="142" ht="22.5" customHeight="1">
      <c r="B142" s="41" t="s">
        <v>170</v>
      </c>
      <c r="C142" s="41" t="s">
        <v>25</v>
      </c>
      <c r="D142" s="41" t="s">
        <v>29</v>
      </c>
      <c r="E142" s="41" t="s">
        <v>46</v>
      </c>
      <c r="F142" s="41" t="s">
        <v>17</v>
      </c>
      <c r="G142" s="41" t="s">
        <v>23</v>
      </c>
      <c r="H142" s="42">
        <v>45064.0</v>
      </c>
      <c r="I142" s="41">
        <v>403.0</v>
      </c>
      <c r="J142" s="43">
        <v>98.23</v>
      </c>
      <c r="K142" s="43">
        <v>44.07</v>
      </c>
      <c r="L142" s="43">
        <v>39586.69</v>
      </c>
      <c r="M142" s="43">
        <v>17760.21</v>
      </c>
      <c r="N142" s="43">
        <v>21826.480000000003</v>
      </c>
      <c r="O142" s="44">
        <v>0.5513590552784282</v>
      </c>
    </row>
    <row r="143" ht="22.5" customHeight="1">
      <c r="B143" s="41" t="s">
        <v>171</v>
      </c>
      <c r="C143" s="41" t="s">
        <v>14</v>
      </c>
      <c r="D143" s="41" t="s">
        <v>34</v>
      </c>
      <c r="E143" s="41" t="s">
        <v>22</v>
      </c>
      <c r="F143" s="41" t="s">
        <v>27</v>
      </c>
      <c r="G143" s="41" t="s">
        <v>23</v>
      </c>
      <c r="H143" s="42">
        <v>45065.0</v>
      </c>
      <c r="I143" s="41">
        <v>383.0</v>
      </c>
      <c r="J143" s="43">
        <v>366.76</v>
      </c>
      <c r="K143" s="43">
        <v>395.33</v>
      </c>
      <c r="L143" s="43">
        <v>140469.08</v>
      </c>
      <c r="M143" s="43">
        <v>151411.38999999998</v>
      </c>
      <c r="N143" s="43">
        <v>-10942.309999999998</v>
      </c>
      <c r="O143" s="44">
        <v>-0.0778983531464718</v>
      </c>
    </row>
    <row r="144" ht="22.5" customHeight="1">
      <c r="B144" s="41" t="s">
        <v>172</v>
      </c>
      <c r="C144" s="41" t="s">
        <v>25</v>
      </c>
      <c r="D144" s="41" t="s">
        <v>15</v>
      </c>
      <c r="E144" s="41" t="s">
        <v>16</v>
      </c>
      <c r="F144" s="41" t="s">
        <v>27</v>
      </c>
      <c r="G144" s="41" t="s">
        <v>23</v>
      </c>
      <c r="H144" s="42">
        <v>45066.0</v>
      </c>
      <c r="I144" s="41">
        <v>202.0</v>
      </c>
      <c r="J144" s="43">
        <v>82.3</v>
      </c>
      <c r="K144" s="43">
        <v>178.42</v>
      </c>
      <c r="L144" s="43">
        <v>16624.6</v>
      </c>
      <c r="M144" s="43">
        <v>36040.84</v>
      </c>
      <c r="N144" s="43">
        <v>-19416.239999999998</v>
      </c>
      <c r="O144" s="44">
        <v>-1.1679222357229648</v>
      </c>
    </row>
    <row r="145" ht="22.5" customHeight="1">
      <c r="B145" s="41" t="s">
        <v>173</v>
      </c>
      <c r="C145" s="41" t="s">
        <v>20</v>
      </c>
      <c r="D145" s="41" t="s">
        <v>54</v>
      </c>
      <c r="E145" s="41" t="s">
        <v>26</v>
      </c>
      <c r="F145" s="41" t="s">
        <v>27</v>
      </c>
      <c r="G145" s="41" t="s">
        <v>31</v>
      </c>
      <c r="H145" s="42">
        <v>45067.0</v>
      </c>
      <c r="I145" s="41">
        <v>31.0</v>
      </c>
      <c r="J145" s="43">
        <v>121.11</v>
      </c>
      <c r="K145" s="43">
        <v>21.04</v>
      </c>
      <c r="L145" s="43">
        <v>3754.41</v>
      </c>
      <c r="M145" s="43">
        <v>652.24</v>
      </c>
      <c r="N145" s="43">
        <v>3102.17</v>
      </c>
      <c r="O145" s="44">
        <v>0.8262736355379408</v>
      </c>
    </row>
    <row r="146" ht="22.5" customHeight="1">
      <c r="B146" s="41" t="s">
        <v>174</v>
      </c>
      <c r="C146" s="41" t="s">
        <v>25</v>
      </c>
      <c r="D146" s="41" t="s">
        <v>21</v>
      </c>
      <c r="E146" s="41" t="s">
        <v>46</v>
      </c>
      <c r="F146" s="41" t="s">
        <v>27</v>
      </c>
      <c r="G146" s="41" t="s">
        <v>18</v>
      </c>
      <c r="H146" s="42">
        <v>45068.0</v>
      </c>
      <c r="I146" s="41">
        <v>483.0</v>
      </c>
      <c r="J146" s="43">
        <v>481.86</v>
      </c>
      <c r="K146" s="43">
        <v>17.13</v>
      </c>
      <c r="L146" s="43">
        <v>232738.38</v>
      </c>
      <c r="M146" s="43">
        <v>8273.789999999999</v>
      </c>
      <c r="N146" s="43">
        <v>224464.59</v>
      </c>
      <c r="O146" s="44">
        <v>0.9644502552608641</v>
      </c>
    </row>
    <row r="147" ht="22.5" customHeight="1">
      <c r="B147" s="41" t="s">
        <v>175</v>
      </c>
      <c r="C147" s="41" t="s">
        <v>20</v>
      </c>
      <c r="D147" s="41" t="s">
        <v>54</v>
      </c>
      <c r="E147" s="41" t="s">
        <v>46</v>
      </c>
      <c r="F147" s="41" t="s">
        <v>27</v>
      </c>
      <c r="G147" s="41" t="s">
        <v>23</v>
      </c>
      <c r="H147" s="42">
        <v>45069.0</v>
      </c>
      <c r="I147" s="41">
        <v>129.0</v>
      </c>
      <c r="J147" s="43">
        <v>131.38</v>
      </c>
      <c r="K147" s="43">
        <v>298.99</v>
      </c>
      <c r="L147" s="43">
        <v>16948.02</v>
      </c>
      <c r="M147" s="43">
        <v>38569.71</v>
      </c>
      <c r="N147" s="43">
        <v>-21621.69</v>
      </c>
      <c r="O147" s="44">
        <v>-1.275764956614401</v>
      </c>
    </row>
    <row r="148" ht="22.5" customHeight="1">
      <c r="B148" s="41" t="s">
        <v>176</v>
      </c>
      <c r="C148" s="41" t="s">
        <v>20</v>
      </c>
      <c r="D148" s="41" t="s">
        <v>15</v>
      </c>
      <c r="E148" s="41" t="s">
        <v>16</v>
      </c>
      <c r="F148" s="41" t="s">
        <v>17</v>
      </c>
      <c r="G148" s="41" t="s">
        <v>31</v>
      </c>
      <c r="H148" s="42">
        <v>45070.0</v>
      </c>
      <c r="I148" s="41">
        <v>219.0</v>
      </c>
      <c r="J148" s="43">
        <v>332.51</v>
      </c>
      <c r="K148" s="43">
        <v>264.3</v>
      </c>
      <c r="L148" s="43">
        <v>72819.69</v>
      </c>
      <c r="M148" s="43">
        <v>57881.700000000004</v>
      </c>
      <c r="N148" s="43">
        <v>14937.989999999998</v>
      </c>
      <c r="O148" s="44">
        <v>0.20513668761841747</v>
      </c>
    </row>
    <row r="149" ht="22.5" customHeight="1">
      <c r="B149" s="41" t="s">
        <v>177</v>
      </c>
      <c r="C149" s="41" t="s">
        <v>20</v>
      </c>
      <c r="D149" s="41" t="s">
        <v>15</v>
      </c>
      <c r="E149" s="41" t="s">
        <v>16</v>
      </c>
      <c r="F149" s="41" t="s">
        <v>27</v>
      </c>
      <c r="G149" s="41" t="s">
        <v>31</v>
      </c>
      <c r="H149" s="42">
        <v>45071.0</v>
      </c>
      <c r="I149" s="41">
        <v>315.0</v>
      </c>
      <c r="J149" s="43">
        <v>489.42</v>
      </c>
      <c r="K149" s="43">
        <v>321.25</v>
      </c>
      <c r="L149" s="43">
        <v>154167.30000000002</v>
      </c>
      <c r="M149" s="43">
        <v>101193.75</v>
      </c>
      <c r="N149" s="43">
        <v>52973.55000000002</v>
      </c>
      <c r="O149" s="44">
        <v>0.3436108046258838</v>
      </c>
    </row>
    <row r="150" ht="22.5" customHeight="1">
      <c r="B150" s="41" t="s">
        <v>178</v>
      </c>
      <c r="C150" s="41" t="s">
        <v>14</v>
      </c>
      <c r="D150" s="41" t="s">
        <v>15</v>
      </c>
      <c r="E150" s="41" t="s">
        <v>30</v>
      </c>
      <c r="F150" s="41" t="s">
        <v>17</v>
      </c>
      <c r="G150" s="41" t="s">
        <v>31</v>
      </c>
      <c r="H150" s="42">
        <v>45072.0</v>
      </c>
      <c r="I150" s="41">
        <v>279.0</v>
      </c>
      <c r="J150" s="43">
        <v>190.28</v>
      </c>
      <c r="K150" s="43">
        <v>43.94</v>
      </c>
      <c r="L150" s="43">
        <v>53088.12</v>
      </c>
      <c r="M150" s="43">
        <v>12259.26</v>
      </c>
      <c r="N150" s="43">
        <v>40828.86</v>
      </c>
      <c r="O150" s="44">
        <v>0.7690771494639478</v>
      </c>
    </row>
    <row r="151" ht="22.5" customHeight="1">
      <c r="B151" s="41" t="s">
        <v>179</v>
      </c>
      <c r="C151" s="41" t="s">
        <v>14</v>
      </c>
      <c r="D151" s="41" t="s">
        <v>54</v>
      </c>
      <c r="E151" s="41" t="s">
        <v>26</v>
      </c>
      <c r="F151" s="41" t="s">
        <v>27</v>
      </c>
      <c r="G151" s="41" t="s">
        <v>23</v>
      </c>
      <c r="H151" s="42">
        <v>45073.0</v>
      </c>
      <c r="I151" s="41">
        <v>201.0</v>
      </c>
      <c r="J151" s="43">
        <v>13.67</v>
      </c>
      <c r="K151" s="43">
        <v>16.16</v>
      </c>
      <c r="L151" s="43">
        <v>2747.67</v>
      </c>
      <c r="M151" s="43">
        <v>3248.16</v>
      </c>
      <c r="N151" s="43">
        <v>-500.4899999999998</v>
      </c>
      <c r="O151" s="44">
        <v>-0.18215069495245054</v>
      </c>
    </row>
    <row r="152" ht="22.5" customHeight="1">
      <c r="B152" s="41" t="s">
        <v>180</v>
      </c>
      <c r="C152" s="41" t="s">
        <v>14</v>
      </c>
      <c r="D152" s="41" t="s">
        <v>15</v>
      </c>
      <c r="E152" s="41" t="s">
        <v>26</v>
      </c>
      <c r="F152" s="41" t="s">
        <v>17</v>
      </c>
      <c r="G152" s="41" t="s">
        <v>18</v>
      </c>
      <c r="H152" s="42">
        <v>45074.0</v>
      </c>
      <c r="I152" s="41">
        <v>184.0</v>
      </c>
      <c r="J152" s="43">
        <v>125.85</v>
      </c>
      <c r="K152" s="43">
        <v>204.41</v>
      </c>
      <c r="L152" s="43">
        <v>23156.399999999998</v>
      </c>
      <c r="M152" s="43">
        <v>37611.44</v>
      </c>
      <c r="N152" s="43">
        <v>-14455.040000000005</v>
      </c>
      <c r="O152" s="44">
        <v>-0.6242352006356776</v>
      </c>
    </row>
    <row r="153" ht="22.5" customHeight="1">
      <c r="B153" s="41" t="s">
        <v>181</v>
      </c>
      <c r="C153" s="41" t="s">
        <v>25</v>
      </c>
      <c r="D153" s="41" t="s">
        <v>54</v>
      </c>
      <c r="E153" s="41" t="s">
        <v>22</v>
      </c>
      <c r="F153" s="41" t="s">
        <v>27</v>
      </c>
      <c r="G153" s="41" t="s">
        <v>23</v>
      </c>
      <c r="H153" s="42">
        <v>45075.0</v>
      </c>
      <c r="I153" s="41">
        <v>294.0</v>
      </c>
      <c r="J153" s="43">
        <v>416.28</v>
      </c>
      <c r="K153" s="43">
        <v>156.26</v>
      </c>
      <c r="L153" s="43">
        <v>122386.31999999999</v>
      </c>
      <c r="M153" s="43">
        <v>45940.439999999995</v>
      </c>
      <c r="N153" s="43">
        <v>76445.88</v>
      </c>
      <c r="O153" s="44">
        <v>0.624627654463342</v>
      </c>
    </row>
    <row r="154" ht="22.5" customHeight="1">
      <c r="B154" s="41" t="s">
        <v>182</v>
      </c>
      <c r="C154" s="41" t="s">
        <v>20</v>
      </c>
      <c r="D154" s="41" t="s">
        <v>15</v>
      </c>
      <c r="E154" s="41" t="s">
        <v>30</v>
      </c>
      <c r="F154" s="41" t="s">
        <v>17</v>
      </c>
      <c r="G154" s="41" t="s">
        <v>23</v>
      </c>
      <c r="H154" s="42">
        <v>45076.0</v>
      </c>
      <c r="I154" s="41">
        <v>213.0</v>
      </c>
      <c r="J154" s="43">
        <v>432.98</v>
      </c>
      <c r="K154" s="43">
        <v>185.85</v>
      </c>
      <c r="L154" s="43">
        <v>92224.74</v>
      </c>
      <c r="M154" s="43">
        <v>39586.049999999996</v>
      </c>
      <c r="N154" s="43">
        <v>52638.69000000001</v>
      </c>
      <c r="O154" s="44">
        <v>0.5707653933207077</v>
      </c>
    </row>
    <row r="155" ht="22.5" customHeight="1">
      <c r="B155" s="41" t="s">
        <v>183</v>
      </c>
      <c r="C155" s="41" t="s">
        <v>14</v>
      </c>
      <c r="D155" s="41" t="s">
        <v>34</v>
      </c>
      <c r="E155" s="41" t="s">
        <v>30</v>
      </c>
      <c r="F155" s="41" t="s">
        <v>27</v>
      </c>
      <c r="G155" s="41" t="s">
        <v>18</v>
      </c>
      <c r="H155" s="42">
        <v>45077.0</v>
      </c>
      <c r="I155" s="41">
        <v>173.0</v>
      </c>
      <c r="J155" s="43">
        <v>385.42</v>
      </c>
      <c r="K155" s="43">
        <v>396.65</v>
      </c>
      <c r="L155" s="43">
        <v>66677.66</v>
      </c>
      <c r="M155" s="43">
        <v>68620.45</v>
      </c>
      <c r="N155" s="43">
        <v>-1942.7899999999936</v>
      </c>
      <c r="O155" s="44">
        <v>-0.02913704530122973</v>
      </c>
    </row>
    <row r="156" ht="22.5" customHeight="1">
      <c r="B156" s="41" t="s">
        <v>184</v>
      </c>
      <c r="C156" s="41" t="s">
        <v>14</v>
      </c>
      <c r="D156" s="41" t="s">
        <v>15</v>
      </c>
      <c r="E156" s="41" t="s">
        <v>30</v>
      </c>
      <c r="F156" s="41" t="s">
        <v>17</v>
      </c>
      <c r="G156" s="41" t="s">
        <v>18</v>
      </c>
      <c r="H156" s="42">
        <v>45078.0</v>
      </c>
      <c r="I156" s="41">
        <v>260.0</v>
      </c>
      <c r="J156" s="43">
        <v>60.99</v>
      </c>
      <c r="K156" s="43">
        <v>388.36</v>
      </c>
      <c r="L156" s="43">
        <v>15857.4</v>
      </c>
      <c r="M156" s="43">
        <v>100973.6</v>
      </c>
      <c r="N156" s="43">
        <v>-85116.20000000001</v>
      </c>
      <c r="O156" s="44">
        <v>-5.36760124610592</v>
      </c>
    </row>
    <row r="157" ht="22.5" customHeight="1">
      <c r="B157" s="41" t="s">
        <v>185</v>
      </c>
      <c r="C157" s="41" t="s">
        <v>25</v>
      </c>
      <c r="D157" s="41" t="s">
        <v>54</v>
      </c>
      <c r="E157" s="41" t="s">
        <v>30</v>
      </c>
      <c r="F157" s="41" t="s">
        <v>27</v>
      </c>
      <c r="G157" s="41" t="s">
        <v>18</v>
      </c>
      <c r="H157" s="42">
        <v>45079.0</v>
      </c>
      <c r="I157" s="41">
        <v>236.0</v>
      </c>
      <c r="J157" s="43">
        <v>398.78</v>
      </c>
      <c r="K157" s="43">
        <v>377.04</v>
      </c>
      <c r="L157" s="43">
        <v>94112.07999999999</v>
      </c>
      <c r="M157" s="43">
        <v>88981.44</v>
      </c>
      <c r="N157" s="43">
        <v>5130.639999999985</v>
      </c>
      <c r="O157" s="44">
        <v>0.05451627463764466</v>
      </c>
    </row>
    <row r="158" ht="22.5" customHeight="1">
      <c r="B158" s="41" t="s">
        <v>186</v>
      </c>
      <c r="C158" s="41" t="s">
        <v>14</v>
      </c>
      <c r="D158" s="41" t="s">
        <v>29</v>
      </c>
      <c r="E158" s="41" t="s">
        <v>26</v>
      </c>
      <c r="F158" s="41" t="s">
        <v>17</v>
      </c>
      <c r="G158" s="41" t="s">
        <v>31</v>
      </c>
      <c r="H158" s="42">
        <v>45080.0</v>
      </c>
      <c r="I158" s="41">
        <v>445.0</v>
      </c>
      <c r="J158" s="43">
        <v>459.75</v>
      </c>
      <c r="K158" s="43">
        <v>313.97</v>
      </c>
      <c r="L158" s="43">
        <v>204588.75</v>
      </c>
      <c r="M158" s="43">
        <v>139716.65000000002</v>
      </c>
      <c r="N158" s="43">
        <v>64872.09999999998</v>
      </c>
      <c r="O158" s="44">
        <v>0.3170853724850461</v>
      </c>
    </row>
    <row r="159" ht="22.5" customHeight="1">
      <c r="B159" s="41" t="s">
        <v>187</v>
      </c>
      <c r="C159" s="41" t="s">
        <v>25</v>
      </c>
      <c r="D159" s="41" t="s">
        <v>15</v>
      </c>
      <c r="E159" s="41" t="s">
        <v>26</v>
      </c>
      <c r="F159" s="41" t="s">
        <v>27</v>
      </c>
      <c r="G159" s="41" t="s">
        <v>18</v>
      </c>
      <c r="H159" s="42">
        <v>45081.0</v>
      </c>
      <c r="I159" s="41">
        <v>390.0</v>
      </c>
      <c r="J159" s="43">
        <v>302.3</v>
      </c>
      <c r="K159" s="43">
        <v>143.23</v>
      </c>
      <c r="L159" s="43">
        <v>117897.0</v>
      </c>
      <c r="M159" s="43">
        <v>55859.7</v>
      </c>
      <c r="N159" s="43">
        <v>62037.3</v>
      </c>
      <c r="O159" s="44">
        <v>0.5261991399272247</v>
      </c>
    </row>
    <row r="160" ht="22.5" customHeight="1">
      <c r="B160" s="41" t="s">
        <v>188</v>
      </c>
      <c r="C160" s="41" t="s">
        <v>52</v>
      </c>
      <c r="D160" s="41" t="s">
        <v>29</v>
      </c>
      <c r="E160" s="41" t="s">
        <v>30</v>
      </c>
      <c r="F160" s="41" t="s">
        <v>17</v>
      </c>
      <c r="G160" s="41" t="s">
        <v>23</v>
      </c>
      <c r="H160" s="42">
        <v>45082.0</v>
      </c>
      <c r="I160" s="41">
        <v>469.0</v>
      </c>
      <c r="J160" s="43">
        <v>470.73</v>
      </c>
      <c r="K160" s="43">
        <v>166.03</v>
      </c>
      <c r="L160" s="43">
        <v>220772.37</v>
      </c>
      <c r="M160" s="43">
        <v>77868.07</v>
      </c>
      <c r="N160" s="43">
        <v>142904.3</v>
      </c>
      <c r="O160" s="44">
        <v>0.647292503133431</v>
      </c>
    </row>
    <row r="161" ht="22.5" customHeight="1">
      <c r="B161" s="41" t="s">
        <v>189</v>
      </c>
      <c r="C161" s="41" t="s">
        <v>14</v>
      </c>
      <c r="D161" s="41" t="s">
        <v>34</v>
      </c>
      <c r="E161" s="41" t="s">
        <v>22</v>
      </c>
      <c r="F161" s="41" t="s">
        <v>17</v>
      </c>
      <c r="G161" s="41" t="s">
        <v>18</v>
      </c>
      <c r="H161" s="42">
        <v>45083.0</v>
      </c>
      <c r="I161" s="41">
        <v>16.0</v>
      </c>
      <c r="J161" s="43">
        <v>249.64520588235297</v>
      </c>
      <c r="K161" s="43">
        <v>220.75</v>
      </c>
      <c r="L161" s="43">
        <v>3994.3232941176475</v>
      </c>
      <c r="M161" s="43">
        <v>3532.0</v>
      </c>
      <c r="N161" s="43">
        <v>462.3232941176475</v>
      </c>
      <c r="O161" s="44">
        <v>0.11574508623237906</v>
      </c>
    </row>
    <row r="162" ht="22.5" customHeight="1">
      <c r="B162" s="41" t="s">
        <v>190</v>
      </c>
      <c r="C162" s="41" t="s">
        <v>52</v>
      </c>
      <c r="D162" s="41" t="s">
        <v>21</v>
      </c>
      <c r="E162" s="41" t="s">
        <v>46</v>
      </c>
      <c r="F162" s="41" t="s">
        <v>27</v>
      </c>
      <c r="G162" s="41" t="s">
        <v>23</v>
      </c>
      <c r="H162" s="42">
        <v>45084.0</v>
      </c>
      <c r="I162" s="41">
        <v>38.0</v>
      </c>
      <c r="J162" s="43">
        <v>335.15</v>
      </c>
      <c r="K162" s="43">
        <v>332.55</v>
      </c>
      <c r="L162" s="43">
        <v>12735.699999999999</v>
      </c>
      <c r="M162" s="43">
        <v>12636.9</v>
      </c>
      <c r="N162" s="43">
        <v>98.79999999999927</v>
      </c>
      <c r="O162" s="44">
        <v>0.007757720423690828</v>
      </c>
    </row>
    <row r="163" ht="22.5" customHeight="1">
      <c r="B163" s="41" t="s">
        <v>191</v>
      </c>
      <c r="C163" s="41" t="s">
        <v>25</v>
      </c>
      <c r="D163" s="41" t="s">
        <v>34</v>
      </c>
      <c r="E163" s="41" t="s">
        <v>39</v>
      </c>
      <c r="F163" s="41" t="s">
        <v>27</v>
      </c>
      <c r="G163" s="41" t="s">
        <v>31</v>
      </c>
      <c r="H163" s="42">
        <v>45085.0</v>
      </c>
      <c r="I163" s="41">
        <v>404.0</v>
      </c>
      <c r="J163" s="43">
        <v>290.71</v>
      </c>
      <c r="K163" s="43">
        <v>29.35</v>
      </c>
      <c r="L163" s="43">
        <v>117446.84</v>
      </c>
      <c r="M163" s="43">
        <v>11857.400000000001</v>
      </c>
      <c r="N163" s="43">
        <v>105589.44</v>
      </c>
      <c r="O163" s="44">
        <v>0.8990402806920987</v>
      </c>
    </row>
    <row r="164" ht="22.5" customHeight="1">
      <c r="B164" s="41" t="s">
        <v>192</v>
      </c>
      <c r="C164" s="41" t="s">
        <v>20</v>
      </c>
      <c r="D164" s="41" t="s">
        <v>15</v>
      </c>
      <c r="E164" s="41" t="s">
        <v>22</v>
      </c>
      <c r="F164" s="41" t="s">
        <v>17</v>
      </c>
      <c r="G164" s="41" t="s">
        <v>23</v>
      </c>
      <c r="H164" s="42">
        <v>45086.0</v>
      </c>
      <c r="I164" s="41">
        <v>42.0</v>
      </c>
      <c r="J164" s="43">
        <v>177.54</v>
      </c>
      <c r="K164" s="43">
        <v>170.87</v>
      </c>
      <c r="L164" s="43">
        <v>7456.679999999999</v>
      </c>
      <c r="M164" s="43">
        <v>7176.54</v>
      </c>
      <c r="N164" s="43">
        <v>280.1399999999994</v>
      </c>
      <c r="O164" s="44">
        <v>0.037568998535541215</v>
      </c>
    </row>
    <row r="165" ht="22.5" customHeight="1">
      <c r="B165" s="41" t="s">
        <v>193</v>
      </c>
      <c r="C165" s="41" t="s">
        <v>14</v>
      </c>
      <c r="D165" s="41" t="s">
        <v>29</v>
      </c>
      <c r="E165" s="41" t="s">
        <v>30</v>
      </c>
      <c r="F165" s="41" t="s">
        <v>27</v>
      </c>
      <c r="G165" s="41" t="s">
        <v>23</v>
      </c>
      <c r="H165" s="42">
        <v>45087.0</v>
      </c>
      <c r="I165" s="41">
        <v>143.0</v>
      </c>
      <c r="J165" s="43">
        <v>83.85</v>
      </c>
      <c r="K165" s="43">
        <v>34.88</v>
      </c>
      <c r="L165" s="43">
        <v>11990.55</v>
      </c>
      <c r="M165" s="43">
        <v>4987.84</v>
      </c>
      <c r="N165" s="43">
        <v>7002.709999999999</v>
      </c>
      <c r="O165" s="44">
        <v>0.5840190816935003</v>
      </c>
    </row>
    <row r="166" ht="22.5" customHeight="1">
      <c r="B166" s="41" t="s">
        <v>194</v>
      </c>
      <c r="C166" s="41" t="s">
        <v>25</v>
      </c>
      <c r="D166" s="41" t="s">
        <v>29</v>
      </c>
      <c r="E166" s="41" t="s">
        <v>26</v>
      </c>
      <c r="F166" s="41" t="s">
        <v>17</v>
      </c>
      <c r="G166" s="41" t="s">
        <v>18</v>
      </c>
      <c r="H166" s="42">
        <v>45088.0</v>
      </c>
      <c r="I166" s="41">
        <v>376.0</v>
      </c>
      <c r="J166" s="43">
        <v>304.45</v>
      </c>
      <c r="K166" s="43">
        <v>206.83</v>
      </c>
      <c r="L166" s="43">
        <v>114473.2</v>
      </c>
      <c r="M166" s="43">
        <v>77768.08</v>
      </c>
      <c r="N166" s="43">
        <v>36705.119999999995</v>
      </c>
      <c r="O166" s="44">
        <v>0.32064378387255704</v>
      </c>
    </row>
    <row r="167" ht="22.5" customHeight="1">
      <c r="B167" s="41" t="s">
        <v>195</v>
      </c>
      <c r="C167" s="41" t="s">
        <v>20</v>
      </c>
      <c r="D167" s="41" t="s">
        <v>54</v>
      </c>
      <c r="E167" s="41" t="s">
        <v>46</v>
      </c>
      <c r="F167" s="41" t="s">
        <v>17</v>
      </c>
      <c r="G167" s="41" t="s">
        <v>18</v>
      </c>
      <c r="H167" s="42">
        <v>45089.0</v>
      </c>
      <c r="I167" s="41">
        <v>88.0</v>
      </c>
      <c r="J167" s="43">
        <v>162.47</v>
      </c>
      <c r="K167" s="43">
        <v>359.76</v>
      </c>
      <c r="L167" s="43">
        <v>14297.36</v>
      </c>
      <c r="M167" s="43">
        <v>31658.879999999997</v>
      </c>
      <c r="N167" s="43">
        <v>-17361.519999999997</v>
      </c>
      <c r="O167" s="44">
        <v>-1.2143164891980056</v>
      </c>
    </row>
    <row r="168" ht="22.5" customHeight="1">
      <c r="B168" s="41" t="s">
        <v>196</v>
      </c>
      <c r="C168" s="41" t="s">
        <v>20</v>
      </c>
      <c r="D168" s="41" t="s">
        <v>29</v>
      </c>
      <c r="E168" s="41" t="s">
        <v>16</v>
      </c>
      <c r="F168" s="41" t="s">
        <v>17</v>
      </c>
      <c r="G168" s="41" t="s">
        <v>23</v>
      </c>
      <c r="H168" s="42">
        <v>45090.0</v>
      </c>
      <c r="I168" s="41">
        <v>425.0</v>
      </c>
      <c r="J168" s="43">
        <v>433.89</v>
      </c>
      <c r="K168" s="43">
        <v>313.43</v>
      </c>
      <c r="L168" s="43">
        <v>184403.25</v>
      </c>
      <c r="M168" s="43">
        <v>133207.75</v>
      </c>
      <c r="N168" s="43">
        <v>51195.5</v>
      </c>
      <c r="O168" s="44">
        <v>0.27762797022286756</v>
      </c>
    </row>
    <row r="169" ht="22.5" customHeight="1">
      <c r="B169" s="41" t="s">
        <v>197</v>
      </c>
      <c r="C169" s="41" t="s">
        <v>52</v>
      </c>
      <c r="D169" s="41" t="s">
        <v>54</v>
      </c>
      <c r="E169" s="41" t="s">
        <v>16</v>
      </c>
      <c r="F169" s="41" t="s">
        <v>27</v>
      </c>
      <c r="G169" s="41" t="s">
        <v>18</v>
      </c>
      <c r="H169" s="42">
        <v>45091.0</v>
      </c>
      <c r="I169" s="41">
        <v>444.0</v>
      </c>
      <c r="J169" s="43">
        <v>496.7</v>
      </c>
      <c r="K169" s="43">
        <v>92.68</v>
      </c>
      <c r="L169" s="43">
        <v>220534.8</v>
      </c>
      <c r="M169" s="43">
        <v>41149.920000000006</v>
      </c>
      <c r="N169" s="43">
        <v>179384.87999999998</v>
      </c>
      <c r="O169" s="44">
        <v>0.8134084960740889</v>
      </c>
    </row>
    <row r="170" ht="22.5" customHeight="1">
      <c r="B170" s="41" t="s">
        <v>198</v>
      </c>
      <c r="C170" s="41" t="s">
        <v>25</v>
      </c>
      <c r="D170" s="41" t="s">
        <v>21</v>
      </c>
      <c r="E170" s="41" t="s">
        <v>22</v>
      </c>
      <c r="F170" s="41" t="s">
        <v>17</v>
      </c>
      <c r="G170" s="41" t="s">
        <v>31</v>
      </c>
      <c r="H170" s="42">
        <v>45092.0</v>
      </c>
      <c r="I170" s="41">
        <v>468.0</v>
      </c>
      <c r="J170" s="43">
        <v>377.45</v>
      </c>
      <c r="K170" s="43">
        <v>390.44</v>
      </c>
      <c r="L170" s="43">
        <v>176646.6</v>
      </c>
      <c r="M170" s="43">
        <v>182725.92</v>
      </c>
      <c r="N170" s="43">
        <v>-6079.320000000007</v>
      </c>
      <c r="O170" s="44">
        <v>-0.034415154325076205</v>
      </c>
    </row>
    <row r="171" ht="22.5" customHeight="1">
      <c r="B171" s="41" t="s">
        <v>199</v>
      </c>
      <c r="C171" s="41" t="s">
        <v>20</v>
      </c>
      <c r="D171" s="41" t="s">
        <v>15</v>
      </c>
      <c r="E171" s="41" t="s">
        <v>30</v>
      </c>
      <c r="F171" s="41" t="s">
        <v>17</v>
      </c>
      <c r="G171" s="41" t="s">
        <v>31</v>
      </c>
      <c r="H171" s="42">
        <v>45093.0</v>
      </c>
      <c r="I171" s="41">
        <v>67.0</v>
      </c>
      <c r="J171" s="43">
        <v>49.79</v>
      </c>
      <c r="K171" s="43">
        <v>267.61</v>
      </c>
      <c r="L171" s="43">
        <v>3335.93</v>
      </c>
      <c r="M171" s="43">
        <v>17929.870000000003</v>
      </c>
      <c r="N171" s="43">
        <v>-14593.940000000002</v>
      </c>
      <c r="O171" s="44">
        <v>-4.374774051014261</v>
      </c>
    </row>
    <row r="172" ht="22.5" customHeight="1">
      <c r="B172" s="41" t="s">
        <v>200</v>
      </c>
      <c r="C172" s="41" t="s">
        <v>14</v>
      </c>
      <c r="D172" s="41" t="s">
        <v>54</v>
      </c>
      <c r="E172" s="41" t="s">
        <v>46</v>
      </c>
      <c r="F172" s="41" t="s">
        <v>27</v>
      </c>
      <c r="G172" s="41" t="s">
        <v>18</v>
      </c>
      <c r="H172" s="42">
        <v>45094.0</v>
      </c>
      <c r="I172" s="41">
        <v>480.0</v>
      </c>
      <c r="J172" s="43">
        <v>147.9</v>
      </c>
      <c r="K172" s="43">
        <v>6.15</v>
      </c>
      <c r="L172" s="43">
        <v>70992.0</v>
      </c>
      <c r="M172" s="43">
        <v>2952.0</v>
      </c>
      <c r="N172" s="43">
        <v>68040.0</v>
      </c>
      <c r="O172" s="44">
        <v>0.9584178498985801</v>
      </c>
    </row>
    <row r="173" ht="22.5" customHeight="1">
      <c r="B173" s="41" t="s">
        <v>201</v>
      </c>
      <c r="C173" s="41" t="s">
        <v>14</v>
      </c>
      <c r="D173" s="41" t="s">
        <v>21</v>
      </c>
      <c r="E173" s="41" t="s">
        <v>30</v>
      </c>
      <c r="F173" s="41" t="s">
        <v>27</v>
      </c>
      <c r="G173" s="41" t="s">
        <v>31</v>
      </c>
      <c r="H173" s="42">
        <v>45095.0</v>
      </c>
      <c r="I173" s="41">
        <v>35.0</v>
      </c>
      <c r="J173" s="43">
        <v>59.01</v>
      </c>
      <c r="K173" s="43">
        <v>103.65</v>
      </c>
      <c r="L173" s="43">
        <v>2065.35</v>
      </c>
      <c r="M173" s="43">
        <v>3627.75</v>
      </c>
      <c r="N173" s="43">
        <v>-1562.4</v>
      </c>
      <c r="O173" s="44">
        <v>-0.7564819522114896</v>
      </c>
    </row>
    <row r="174" ht="22.5" customHeight="1">
      <c r="B174" s="41" t="s">
        <v>202</v>
      </c>
      <c r="C174" s="41" t="s">
        <v>52</v>
      </c>
      <c r="D174" s="41" t="s">
        <v>29</v>
      </c>
      <c r="E174" s="41" t="s">
        <v>46</v>
      </c>
      <c r="F174" s="41" t="s">
        <v>27</v>
      </c>
      <c r="G174" s="41" t="s">
        <v>18</v>
      </c>
      <c r="H174" s="42">
        <v>45096.0</v>
      </c>
      <c r="I174" s="41">
        <v>491.0</v>
      </c>
      <c r="J174" s="43">
        <v>327.0</v>
      </c>
      <c r="K174" s="43">
        <v>105.76</v>
      </c>
      <c r="L174" s="43">
        <v>160557.0</v>
      </c>
      <c r="M174" s="43">
        <v>51928.16</v>
      </c>
      <c r="N174" s="43">
        <v>108628.84</v>
      </c>
      <c r="O174" s="44">
        <v>0.6765749235474006</v>
      </c>
    </row>
    <row r="175" ht="22.5" customHeight="1">
      <c r="B175" s="41" t="s">
        <v>203</v>
      </c>
      <c r="C175" s="41" t="s">
        <v>20</v>
      </c>
      <c r="D175" s="41" t="s">
        <v>29</v>
      </c>
      <c r="E175" s="41" t="s">
        <v>22</v>
      </c>
      <c r="F175" s="41" t="s">
        <v>27</v>
      </c>
      <c r="G175" s="41" t="s">
        <v>23</v>
      </c>
      <c r="H175" s="42">
        <v>45097.0</v>
      </c>
      <c r="I175" s="41">
        <v>439.0</v>
      </c>
      <c r="J175" s="43">
        <v>383.77</v>
      </c>
      <c r="K175" s="43">
        <v>29.56</v>
      </c>
      <c r="L175" s="43">
        <v>168475.03</v>
      </c>
      <c r="M175" s="43">
        <v>12976.84</v>
      </c>
      <c r="N175" s="43">
        <v>155498.19</v>
      </c>
      <c r="O175" s="44">
        <v>0.9229746983870548</v>
      </c>
    </row>
    <row r="176" ht="22.5" customHeight="1">
      <c r="B176" s="41" t="s">
        <v>204</v>
      </c>
      <c r="C176" s="41" t="s">
        <v>25</v>
      </c>
      <c r="D176" s="41" t="s">
        <v>21</v>
      </c>
      <c r="E176" s="41" t="s">
        <v>22</v>
      </c>
      <c r="F176" s="41" t="s">
        <v>17</v>
      </c>
      <c r="G176" s="41" t="s">
        <v>23</v>
      </c>
      <c r="H176" s="42">
        <v>45098.0</v>
      </c>
      <c r="I176" s="41">
        <v>235.0</v>
      </c>
      <c r="J176" s="43">
        <v>463.21</v>
      </c>
      <c r="K176" s="43">
        <v>384.01</v>
      </c>
      <c r="L176" s="43">
        <v>108854.34999999999</v>
      </c>
      <c r="M176" s="43">
        <v>90242.34999999999</v>
      </c>
      <c r="N176" s="43">
        <v>18612.0</v>
      </c>
      <c r="O176" s="44">
        <v>0.17098076466397533</v>
      </c>
    </row>
    <row r="177" ht="22.5" customHeight="1">
      <c r="B177" s="41" t="s">
        <v>205</v>
      </c>
      <c r="C177" s="41" t="s">
        <v>14</v>
      </c>
      <c r="D177" s="41" t="s">
        <v>29</v>
      </c>
      <c r="E177" s="41" t="s">
        <v>16</v>
      </c>
      <c r="F177" s="41" t="s">
        <v>17</v>
      </c>
      <c r="G177" s="41" t="s">
        <v>31</v>
      </c>
      <c r="H177" s="42">
        <v>45099.0</v>
      </c>
      <c r="I177" s="41">
        <v>294.0</v>
      </c>
      <c r="J177" s="43">
        <v>221.9</v>
      </c>
      <c r="K177" s="43">
        <v>192.35</v>
      </c>
      <c r="L177" s="43">
        <v>65238.6</v>
      </c>
      <c r="M177" s="43">
        <v>56550.9</v>
      </c>
      <c r="N177" s="43">
        <v>8687.699999999997</v>
      </c>
      <c r="O177" s="44">
        <v>0.13316809373591704</v>
      </c>
    </row>
    <row r="178" ht="22.5" customHeight="1">
      <c r="B178" s="41" t="s">
        <v>206</v>
      </c>
      <c r="C178" s="41" t="s">
        <v>20</v>
      </c>
      <c r="D178" s="41" t="s">
        <v>21</v>
      </c>
      <c r="E178" s="41" t="s">
        <v>30</v>
      </c>
      <c r="F178" s="41" t="s">
        <v>17</v>
      </c>
      <c r="G178" s="41" t="s">
        <v>18</v>
      </c>
      <c r="H178" s="42">
        <v>45100.0</v>
      </c>
      <c r="I178" s="41">
        <v>13.0</v>
      </c>
      <c r="J178" s="43">
        <v>451.18</v>
      </c>
      <c r="K178" s="43">
        <v>358.53</v>
      </c>
      <c r="L178" s="43">
        <v>5865.34</v>
      </c>
      <c r="M178" s="43">
        <v>4660.889999999999</v>
      </c>
      <c r="N178" s="43">
        <v>1204.4500000000007</v>
      </c>
      <c r="O178" s="44">
        <v>0.20535041446872657</v>
      </c>
    </row>
    <row r="179" ht="22.5" customHeight="1">
      <c r="B179" s="41" t="s">
        <v>207</v>
      </c>
      <c r="C179" s="41" t="s">
        <v>20</v>
      </c>
      <c r="D179" s="41" t="s">
        <v>54</v>
      </c>
      <c r="E179" s="41" t="s">
        <v>16</v>
      </c>
      <c r="F179" s="41" t="s">
        <v>17</v>
      </c>
      <c r="G179" s="41" t="s">
        <v>18</v>
      </c>
      <c r="H179" s="42">
        <v>45101.0</v>
      </c>
      <c r="I179" s="41">
        <v>474.0</v>
      </c>
      <c r="J179" s="43">
        <v>439.56</v>
      </c>
      <c r="K179" s="43">
        <v>130.24</v>
      </c>
      <c r="L179" s="43">
        <v>208351.44</v>
      </c>
      <c r="M179" s="43">
        <v>61733.76</v>
      </c>
      <c r="N179" s="43">
        <v>146617.68</v>
      </c>
      <c r="O179" s="44">
        <v>0.7037037037037036</v>
      </c>
    </row>
    <row r="180" ht="22.5" customHeight="1">
      <c r="B180" s="41" t="s">
        <v>208</v>
      </c>
      <c r="C180" s="41" t="s">
        <v>52</v>
      </c>
      <c r="D180" s="41" t="s">
        <v>54</v>
      </c>
      <c r="E180" s="41" t="s">
        <v>30</v>
      </c>
      <c r="F180" s="41" t="s">
        <v>27</v>
      </c>
      <c r="G180" s="41" t="s">
        <v>31</v>
      </c>
      <c r="H180" s="42">
        <v>45102.0</v>
      </c>
      <c r="I180" s="41">
        <v>108.0</v>
      </c>
      <c r="J180" s="43">
        <v>162.01</v>
      </c>
      <c r="K180" s="43">
        <v>51.84</v>
      </c>
      <c r="L180" s="43">
        <v>17497.079999999998</v>
      </c>
      <c r="M180" s="43">
        <v>5598.72</v>
      </c>
      <c r="N180" s="43">
        <v>11898.359999999997</v>
      </c>
      <c r="O180" s="44">
        <v>0.6800197518671686</v>
      </c>
    </row>
    <row r="181" ht="22.5" customHeight="1">
      <c r="B181" s="41" t="s">
        <v>209</v>
      </c>
      <c r="C181" s="41" t="s">
        <v>14</v>
      </c>
      <c r="D181" s="41" t="s">
        <v>21</v>
      </c>
      <c r="E181" s="41" t="s">
        <v>16</v>
      </c>
      <c r="F181" s="41" t="s">
        <v>17</v>
      </c>
      <c r="G181" s="41" t="s">
        <v>23</v>
      </c>
      <c r="H181" s="42">
        <v>45103.0</v>
      </c>
      <c r="I181" s="41">
        <v>406.0</v>
      </c>
      <c r="J181" s="43">
        <v>435.11</v>
      </c>
      <c r="K181" s="43">
        <v>190.79</v>
      </c>
      <c r="L181" s="43">
        <v>176654.66</v>
      </c>
      <c r="M181" s="43">
        <v>77460.73999999999</v>
      </c>
      <c r="N181" s="43">
        <v>99193.92000000001</v>
      </c>
      <c r="O181" s="44">
        <v>0.5615131805750271</v>
      </c>
    </row>
    <row r="182" ht="22.5" customHeight="1">
      <c r="B182" s="41" t="s">
        <v>210</v>
      </c>
      <c r="C182" s="41" t="s">
        <v>14</v>
      </c>
      <c r="D182" s="41" t="s">
        <v>54</v>
      </c>
      <c r="E182" s="41" t="s">
        <v>26</v>
      </c>
      <c r="F182" s="41" t="s">
        <v>17</v>
      </c>
      <c r="G182" s="41" t="s">
        <v>31</v>
      </c>
      <c r="H182" s="42">
        <v>45104.0</v>
      </c>
      <c r="I182" s="41">
        <v>498.0</v>
      </c>
      <c r="J182" s="43">
        <v>190.96</v>
      </c>
      <c r="K182" s="43">
        <v>47.35</v>
      </c>
      <c r="L182" s="43">
        <v>95098.08</v>
      </c>
      <c r="M182" s="43">
        <v>23580.3</v>
      </c>
      <c r="N182" s="43">
        <v>71517.78</v>
      </c>
      <c r="O182" s="44">
        <v>0.7520423125261835</v>
      </c>
    </row>
    <row r="183" ht="22.5" customHeight="1">
      <c r="B183" s="41" t="s">
        <v>211</v>
      </c>
      <c r="C183" s="41" t="s">
        <v>25</v>
      </c>
      <c r="D183" s="41" t="s">
        <v>54</v>
      </c>
      <c r="E183" s="41" t="s">
        <v>26</v>
      </c>
      <c r="F183" s="41" t="s">
        <v>27</v>
      </c>
      <c r="G183" s="41" t="s">
        <v>23</v>
      </c>
      <c r="H183" s="42">
        <v>45105.0</v>
      </c>
      <c r="I183" s="41">
        <v>48.0</v>
      </c>
      <c r="J183" s="43">
        <v>151.95</v>
      </c>
      <c r="K183" s="43">
        <v>195.43</v>
      </c>
      <c r="L183" s="43">
        <v>7293.599999999999</v>
      </c>
      <c r="M183" s="43">
        <v>9380.64</v>
      </c>
      <c r="N183" s="43">
        <v>-2087.04</v>
      </c>
      <c r="O183" s="44">
        <v>-0.2861467588022376</v>
      </c>
    </row>
    <row r="184" ht="22.5" customHeight="1">
      <c r="B184" s="41" t="s">
        <v>212</v>
      </c>
      <c r="C184" s="41" t="s">
        <v>14</v>
      </c>
      <c r="D184" s="41" t="s">
        <v>54</v>
      </c>
      <c r="E184" s="41" t="s">
        <v>26</v>
      </c>
      <c r="F184" s="41" t="s">
        <v>17</v>
      </c>
      <c r="G184" s="41" t="s">
        <v>18</v>
      </c>
      <c r="H184" s="42">
        <v>45106.0</v>
      </c>
      <c r="I184" s="41">
        <v>280.0</v>
      </c>
      <c r="J184" s="43">
        <v>326.29</v>
      </c>
      <c r="K184" s="43">
        <v>368.28</v>
      </c>
      <c r="L184" s="43">
        <v>91361.20000000001</v>
      </c>
      <c r="M184" s="43">
        <v>103118.4</v>
      </c>
      <c r="N184" s="43">
        <v>-11757.199999999983</v>
      </c>
      <c r="O184" s="44">
        <v>-0.12868920285635457</v>
      </c>
    </row>
    <row r="185" ht="22.5" customHeight="1">
      <c r="B185" s="41" t="s">
        <v>213</v>
      </c>
      <c r="C185" s="41" t="s">
        <v>25</v>
      </c>
      <c r="D185" s="41" t="s">
        <v>34</v>
      </c>
      <c r="E185" s="41" t="s">
        <v>26</v>
      </c>
      <c r="F185" s="41" t="s">
        <v>17</v>
      </c>
      <c r="G185" s="41" t="s">
        <v>23</v>
      </c>
      <c r="H185" s="42">
        <v>45107.0</v>
      </c>
      <c r="I185" s="41">
        <v>384.0</v>
      </c>
      <c r="J185" s="43">
        <v>167.55</v>
      </c>
      <c r="K185" s="43">
        <v>209.27</v>
      </c>
      <c r="L185" s="43">
        <v>64339.200000000004</v>
      </c>
      <c r="M185" s="43">
        <v>80359.68000000001</v>
      </c>
      <c r="N185" s="43">
        <v>-16020.480000000003</v>
      </c>
      <c r="O185" s="44">
        <v>-0.24900029841838262</v>
      </c>
    </row>
    <row r="186" ht="22.5" customHeight="1">
      <c r="B186" s="41" t="s">
        <v>214</v>
      </c>
      <c r="C186" s="41" t="s">
        <v>14</v>
      </c>
      <c r="D186" s="41" t="s">
        <v>15</v>
      </c>
      <c r="E186" s="41" t="s">
        <v>46</v>
      </c>
      <c r="F186" s="41" t="s">
        <v>17</v>
      </c>
      <c r="G186" s="41" t="s">
        <v>31</v>
      </c>
      <c r="H186" s="42">
        <v>45108.0</v>
      </c>
      <c r="I186" s="41">
        <v>294.0</v>
      </c>
      <c r="J186" s="43">
        <v>316.95</v>
      </c>
      <c r="K186" s="43">
        <v>247.37</v>
      </c>
      <c r="L186" s="43">
        <v>93183.3</v>
      </c>
      <c r="M186" s="43">
        <v>72726.78</v>
      </c>
      <c r="N186" s="43">
        <v>20456.520000000004</v>
      </c>
      <c r="O186" s="44">
        <v>0.21952989430509548</v>
      </c>
    </row>
    <row r="187" ht="22.5" customHeight="1">
      <c r="B187" s="41" t="s">
        <v>215</v>
      </c>
      <c r="C187" s="41" t="s">
        <v>52</v>
      </c>
      <c r="D187" s="41" t="s">
        <v>29</v>
      </c>
      <c r="E187" s="41" t="s">
        <v>26</v>
      </c>
      <c r="F187" s="41" t="s">
        <v>17</v>
      </c>
      <c r="G187" s="41" t="s">
        <v>18</v>
      </c>
      <c r="H187" s="42">
        <v>45109.0</v>
      </c>
      <c r="I187" s="41">
        <v>166.0</v>
      </c>
      <c r="J187" s="43">
        <v>306.87</v>
      </c>
      <c r="K187" s="43">
        <v>64.34</v>
      </c>
      <c r="L187" s="43">
        <v>50940.42</v>
      </c>
      <c r="M187" s="43">
        <v>10680.44</v>
      </c>
      <c r="N187" s="43">
        <v>40259.979999999996</v>
      </c>
      <c r="O187" s="44">
        <v>0.7903346694039821</v>
      </c>
    </row>
    <row r="188" ht="22.5" customHeight="1">
      <c r="B188" s="41" t="s">
        <v>216</v>
      </c>
      <c r="C188" s="41" t="s">
        <v>14</v>
      </c>
      <c r="D188" s="41" t="s">
        <v>34</v>
      </c>
      <c r="E188" s="41" t="s">
        <v>22</v>
      </c>
      <c r="F188" s="41" t="s">
        <v>17</v>
      </c>
      <c r="G188" s="41" t="s">
        <v>31</v>
      </c>
      <c r="H188" s="42">
        <v>45110.0</v>
      </c>
      <c r="I188" s="41">
        <v>84.0</v>
      </c>
      <c r="J188" s="43">
        <v>283.9</v>
      </c>
      <c r="K188" s="43">
        <v>19.41</v>
      </c>
      <c r="L188" s="43">
        <v>23847.6</v>
      </c>
      <c r="M188" s="43">
        <v>1630.44</v>
      </c>
      <c r="N188" s="43">
        <v>22217.16</v>
      </c>
      <c r="O188" s="44">
        <v>0.9316308559351885</v>
      </c>
    </row>
    <row r="189" ht="22.5" customHeight="1">
      <c r="B189" s="41" t="s">
        <v>217</v>
      </c>
      <c r="C189" s="41" t="s">
        <v>25</v>
      </c>
      <c r="D189" s="41" t="s">
        <v>54</v>
      </c>
      <c r="E189" s="41" t="s">
        <v>22</v>
      </c>
      <c r="F189" s="41" t="s">
        <v>17</v>
      </c>
      <c r="G189" s="41" t="s">
        <v>31</v>
      </c>
      <c r="H189" s="42">
        <v>45111.0</v>
      </c>
      <c r="I189" s="41">
        <v>381.0</v>
      </c>
      <c r="J189" s="43">
        <v>193.31</v>
      </c>
      <c r="K189" s="43">
        <v>46.1</v>
      </c>
      <c r="L189" s="43">
        <v>73651.11</v>
      </c>
      <c r="M189" s="43">
        <v>17564.100000000002</v>
      </c>
      <c r="N189" s="43">
        <v>56087.009999999995</v>
      </c>
      <c r="O189" s="44">
        <v>0.7615229424240856</v>
      </c>
    </row>
    <row r="190" ht="22.5" customHeight="1">
      <c r="B190" s="41" t="s">
        <v>218</v>
      </c>
      <c r="C190" s="41" t="s">
        <v>25</v>
      </c>
      <c r="D190" s="41" t="s">
        <v>21</v>
      </c>
      <c r="E190" s="41" t="s">
        <v>46</v>
      </c>
      <c r="F190" s="41" t="s">
        <v>27</v>
      </c>
      <c r="G190" s="41" t="s">
        <v>23</v>
      </c>
      <c r="H190" s="42">
        <v>45112.0</v>
      </c>
      <c r="I190" s="41">
        <v>297.0</v>
      </c>
      <c r="J190" s="43">
        <v>276.51</v>
      </c>
      <c r="K190" s="43">
        <v>240.22</v>
      </c>
      <c r="L190" s="43">
        <v>82123.47</v>
      </c>
      <c r="M190" s="43">
        <v>71345.34</v>
      </c>
      <c r="N190" s="43">
        <v>10778.130000000005</v>
      </c>
      <c r="O190" s="44">
        <v>0.131242993020144</v>
      </c>
    </row>
    <row r="191" ht="22.5" customHeight="1">
      <c r="B191" s="41" t="s">
        <v>219</v>
      </c>
      <c r="C191" s="41" t="s">
        <v>52</v>
      </c>
      <c r="D191" s="41" t="s">
        <v>54</v>
      </c>
      <c r="E191" s="41" t="s">
        <v>26</v>
      </c>
      <c r="F191" s="41" t="s">
        <v>27</v>
      </c>
      <c r="G191" s="41" t="s">
        <v>31</v>
      </c>
      <c r="H191" s="42">
        <v>45113.0</v>
      </c>
      <c r="I191" s="41">
        <v>139.0</v>
      </c>
      <c r="J191" s="43">
        <v>300.26</v>
      </c>
      <c r="K191" s="43">
        <v>39.81</v>
      </c>
      <c r="L191" s="43">
        <v>41736.14</v>
      </c>
      <c r="M191" s="43">
        <v>5533.59</v>
      </c>
      <c r="N191" s="43">
        <v>36202.55</v>
      </c>
      <c r="O191" s="44">
        <v>0.8674149070805303</v>
      </c>
    </row>
    <row r="192" ht="22.5" customHeight="1">
      <c r="B192" s="41" t="s">
        <v>220</v>
      </c>
      <c r="C192" s="41" t="s">
        <v>14</v>
      </c>
      <c r="D192" s="41" t="s">
        <v>15</v>
      </c>
      <c r="E192" s="41" t="s">
        <v>26</v>
      </c>
      <c r="F192" s="41" t="s">
        <v>17</v>
      </c>
      <c r="G192" s="41" t="s">
        <v>23</v>
      </c>
      <c r="H192" s="42">
        <v>45114.0</v>
      </c>
      <c r="I192" s="41">
        <v>184.0</v>
      </c>
      <c r="J192" s="43">
        <v>275.12</v>
      </c>
      <c r="K192" s="43">
        <v>151.65</v>
      </c>
      <c r="L192" s="43">
        <v>50622.08</v>
      </c>
      <c r="M192" s="43">
        <v>27903.600000000002</v>
      </c>
      <c r="N192" s="43">
        <v>22718.48</v>
      </c>
      <c r="O192" s="44">
        <v>0.44878598429776095</v>
      </c>
    </row>
    <row r="193" ht="22.5" customHeight="1">
      <c r="B193" s="41" t="s">
        <v>221</v>
      </c>
      <c r="C193" s="41" t="s">
        <v>14</v>
      </c>
      <c r="D193" s="41" t="s">
        <v>54</v>
      </c>
      <c r="E193" s="41" t="s">
        <v>26</v>
      </c>
      <c r="F193" s="41" t="s">
        <v>17</v>
      </c>
      <c r="G193" s="41" t="s">
        <v>18</v>
      </c>
      <c r="H193" s="42">
        <v>45115.0</v>
      </c>
      <c r="I193" s="41">
        <v>471.0</v>
      </c>
      <c r="J193" s="43">
        <v>224.99</v>
      </c>
      <c r="K193" s="43">
        <v>220.94</v>
      </c>
      <c r="L193" s="43">
        <v>105970.29000000001</v>
      </c>
      <c r="M193" s="43">
        <v>104062.74</v>
      </c>
      <c r="N193" s="43">
        <v>1907.550000000003</v>
      </c>
      <c r="O193" s="44">
        <v>0.018000800035557162</v>
      </c>
    </row>
    <row r="194" ht="22.5" customHeight="1">
      <c r="B194" s="41" t="s">
        <v>222</v>
      </c>
      <c r="C194" s="41" t="s">
        <v>52</v>
      </c>
      <c r="D194" s="41" t="s">
        <v>21</v>
      </c>
      <c r="E194" s="41" t="s">
        <v>16</v>
      </c>
      <c r="F194" s="41" t="s">
        <v>27</v>
      </c>
      <c r="G194" s="41" t="s">
        <v>23</v>
      </c>
      <c r="H194" s="42">
        <v>45116.0</v>
      </c>
      <c r="I194" s="41">
        <v>93.0</v>
      </c>
      <c r="J194" s="43">
        <v>12.26</v>
      </c>
      <c r="K194" s="43">
        <v>156.68</v>
      </c>
      <c r="L194" s="43">
        <v>1140.18</v>
      </c>
      <c r="M194" s="43">
        <v>14571.24</v>
      </c>
      <c r="N194" s="43">
        <v>-13431.06</v>
      </c>
      <c r="O194" s="44">
        <v>-11.779771615008155</v>
      </c>
    </row>
    <row r="195" ht="22.5" customHeight="1">
      <c r="B195" s="41" t="s">
        <v>223</v>
      </c>
      <c r="C195" s="41" t="s">
        <v>14</v>
      </c>
      <c r="D195" s="41" t="s">
        <v>15</v>
      </c>
      <c r="E195" s="41" t="s">
        <v>30</v>
      </c>
      <c r="F195" s="41" t="s">
        <v>17</v>
      </c>
      <c r="G195" s="41" t="s">
        <v>18</v>
      </c>
      <c r="H195" s="42">
        <v>45117.0</v>
      </c>
      <c r="I195" s="41">
        <v>31.0</v>
      </c>
      <c r="J195" s="43">
        <v>295.6</v>
      </c>
      <c r="K195" s="43">
        <v>67.15</v>
      </c>
      <c r="L195" s="43">
        <v>9163.6</v>
      </c>
      <c r="M195" s="43">
        <v>2081.65</v>
      </c>
      <c r="N195" s="43">
        <v>7081.950000000001</v>
      </c>
      <c r="O195" s="44">
        <v>0.7728349120433018</v>
      </c>
    </row>
    <row r="196" ht="22.5" customHeight="1">
      <c r="B196" s="41" t="s">
        <v>224</v>
      </c>
      <c r="C196" s="41" t="s">
        <v>14</v>
      </c>
      <c r="D196" s="41" t="s">
        <v>54</v>
      </c>
      <c r="E196" s="41" t="s">
        <v>16</v>
      </c>
      <c r="F196" s="41" t="s">
        <v>17</v>
      </c>
      <c r="G196" s="41" t="s">
        <v>23</v>
      </c>
      <c r="H196" s="42">
        <v>45118.0</v>
      </c>
      <c r="I196" s="41">
        <v>468.0</v>
      </c>
      <c r="J196" s="43">
        <v>88.38</v>
      </c>
      <c r="K196" s="43">
        <v>110.97</v>
      </c>
      <c r="L196" s="43">
        <v>41361.84</v>
      </c>
      <c r="M196" s="43">
        <v>51933.96</v>
      </c>
      <c r="N196" s="43">
        <v>-10572.120000000003</v>
      </c>
      <c r="O196" s="44">
        <v>-0.2556008146639512</v>
      </c>
    </row>
    <row r="197" ht="22.5" customHeight="1">
      <c r="B197" s="41" t="s">
        <v>225</v>
      </c>
      <c r="C197" s="41" t="s">
        <v>25</v>
      </c>
      <c r="D197" s="41" t="s">
        <v>15</v>
      </c>
      <c r="E197" s="41" t="s">
        <v>30</v>
      </c>
      <c r="F197" s="41" t="s">
        <v>17</v>
      </c>
      <c r="G197" s="41" t="s">
        <v>31</v>
      </c>
      <c r="H197" s="42">
        <v>45119.0</v>
      </c>
      <c r="I197" s="41">
        <v>36.0</v>
      </c>
      <c r="J197" s="43">
        <v>323.08</v>
      </c>
      <c r="K197" s="43">
        <v>371.47</v>
      </c>
      <c r="L197" s="43">
        <v>11630.88</v>
      </c>
      <c r="M197" s="43">
        <v>13372.920000000002</v>
      </c>
      <c r="N197" s="43">
        <v>-1742.0400000000027</v>
      </c>
      <c r="O197" s="44">
        <v>-0.14977714497957187</v>
      </c>
    </row>
    <row r="198" ht="22.5" customHeight="1">
      <c r="B198" s="41" t="s">
        <v>226</v>
      </c>
      <c r="C198" s="41" t="s">
        <v>14</v>
      </c>
      <c r="D198" s="41" t="s">
        <v>29</v>
      </c>
      <c r="E198" s="41" t="s">
        <v>26</v>
      </c>
      <c r="F198" s="41" t="s">
        <v>27</v>
      </c>
      <c r="G198" s="41" t="s">
        <v>23</v>
      </c>
      <c r="H198" s="42">
        <v>45120.0</v>
      </c>
      <c r="I198" s="41">
        <v>204.0</v>
      </c>
      <c r="J198" s="43">
        <v>380.88</v>
      </c>
      <c r="K198" s="43">
        <v>271.04</v>
      </c>
      <c r="L198" s="43">
        <v>77699.52</v>
      </c>
      <c r="M198" s="43">
        <v>55292.16</v>
      </c>
      <c r="N198" s="43">
        <v>22407.36</v>
      </c>
      <c r="O198" s="44">
        <v>0.28838479311069104</v>
      </c>
    </row>
    <row r="199" ht="22.5" customHeight="1">
      <c r="B199" s="41" t="s">
        <v>227</v>
      </c>
      <c r="C199" s="41" t="s">
        <v>14</v>
      </c>
      <c r="D199" s="41" t="s">
        <v>29</v>
      </c>
      <c r="E199" s="41" t="s">
        <v>26</v>
      </c>
      <c r="F199" s="41" t="s">
        <v>17</v>
      </c>
      <c r="G199" s="41" t="s">
        <v>23</v>
      </c>
      <c r="H199" s="42">
        <v>45121.0</v>
      </c>
      <c r="I199" s="41">
        <v>346.0</v>
      </c>
      <c r="J199" s="43">
        <v>252.72</v>
      </c>
      <c r="K199" s="43">
        <v>199.43</v>
      </c>
      <c r="L199" s="43">
        <v>87441.12</v>
      </c>
      <c r="M199" s="43">
        <v>69002.78</v>
      </c>
      <c r="N199" s="43">
        <v>18438.339999999997</v>
      </c>
      <c r="O199" s="44">
        <v>0.21086578031022474</v>
      </c>
    </row>
    <row r="200" ht="22.5" customHeight="1">
      <c r="B200" s="41" t="s">
        <v>228</v>
      </c>
      <c r="C200" s="41" t="s">
        <v>52</v>
      </c>
      <c r="D200" s="41" t="s">
        <v>54</v>
      </c>
      <c r="E200" s="41" t="s">
        <v>16</v>
      </c>
      <c r="F200" s="41" t="s">
        <v>27</v>
      </c>
      <c r="G200" s="41" t="s">
        <v>18</v>
      </c>
      <c r="H200" s="42">
        <v>45122.0</v>
      </c>
      <c r="I200" s="41">
        <v>391.0</v>
      </c>
      <c r="J200" s="43">
        <v>273.47</v>
      </c>
      <c r="K200" s="43">
        <v>7.06</v>
      </c>
      <c r="L200" s="43">
        <v>106926.77</v>
      </c>
      <c r="M200" s="43">
        <v>2760.46</v>
      </c>
      <c r="N200" s="43">
        <v>104166.31</v>
      </c>
      <c r="O200" s="44">
        <v>0.9741836398873733</v>
      </c>
    </row>
    <row r="201" ht="22.5" customHeight="1">
      <c r="B201" s="41" t="s">
        <v>229</v>
      </c>
      <c r="C201" s="41" t="s">
        <v>52</v>
      </c>
      <c r="D201" s="41" t="s">
        <v>15</v>
      </c>
      <c r="E201" s="41" t="s">
        <v>16</v>
      </c>
      <c r="F201" s="41" t="s">
        <v>17</v>
      </c>
      <c r="G201" s="41" t="s">
        <v>31</v>
      </c>
      <c r="H201" s="42">
        <v>45123.0</v>
      </c>
      <c r="I201" s="41">
        <v>245.0</v>
      </c>
      <c r="J201" s="43">
        <v>475.98</v>
      </c>
      <c r="K201" s="43">
        <v>396.98</v>
      </c>
      <c r="L201" s="43">
        <v>116615.1</v>
      </c>
      <c r="M201" s="43">
        <v>97260.1</v>
      </c>
      <c r="N201" s="43">
        <v>19355.0</v>
      </c>
      <c r="O201" s="44">
        <v>0.16597336022521955</v>
      </c>
    </row>
    <row r="202" ht="22.5" customHeight="1">
      <c r="B202" s="41" t="s">
        <v>230</v>
      </c>
      <c r="C202" s="41" t="s">
        <v>20</v>
      </c>
      <c r="D202" s="41" t="s">
        <v>21</v>
      </c>
      <c r="E202" s="41" t="s">
        <v>30</v>
      </c>
      <c r="F202" s="41" t="s">
        <v>27</v>
      </c>
      <c r="G202" s="41" t="s">
        <v>23</v>
      </c>
      <c r="H202" s="42">
        <v>45124.0</v>
      </c>
      <c r="I202" s="41">
        <v>449.0</v>
      </c>
      <c r="J202" s="43">
        <v>424.35</v>
      </c>
      <c r="K202" s="43">
        <v>269.24</v>
      </c>
      <c r="L202" s="43">
        <v>190533.15000000002</v>
      </c>
      <c r="M202" s="43">
        <v>120888.76000000001</v>
      </c>
      <c r="N202" s="43">
        <v>69644.39000000001</v>
      </c>
      <c r="O202" s="44">
        <v>0.36552374219394373</v>
      </c>
    </row>
    <row r="203" ht="22.5" customHeight="1">
      <c r="B203" s="41" t="s">
        <v>231</v>
      </c>
      <c r="C203" s="41" t="s">
        <v>25</v>
      </c>
      <c r="D203" s="41" t="s">
        <v>54</v>
      </c>
      <c r="E203" s="41" t="s">
        <v>22</v>
      </c>
      <c r="F203" s="41" t="s">
        <v>27</v>
      </c>
      <c r="G203" s="41" t="s">
        <v>31</v>
      </c>
      <c r="H203" s="42">
        <v>45125.0</v>
      </c>
      <c r="I203" s="41">
        <v>101.0</v>
      </c>
      <c r="J203" s="43">
        <v>457.55</v>
      </c>
      <c r="K203" s="43">
        <v>128.14</v>
      </c>
      <c r="L203" s="43">
        <v>46212.55</v>
      </c>
      <c r="M203" s="43">
        <v>12942.14</v>
      </c>
      <c r="N203" s="43">
        <v>33270.41</v>
      </c>
      <c r="O203" s="44">
        <v>0.719943175609223</v>
      </c>
    </row>
    <row r="204" ht="22.5" customHeight="1">
      <c r="B204" s="41" t="s">
        <v>232</v>
      </c>
      <c r="C204" s="41" t="s">
        <v>14</v>
      </c>
      <c r="D204" s="41" t="s">
        <v>29</v>
      </c>
      <c r="E204" s="41" t="s">
        <v>30</v>
      </c>
      <c r="F204" s="41" t="s">
        <v>17</v>
      </c>
      <c r="G204" s="41" t="s">
        <v>23</v>
      </c>
      <c r="H204" s="42">
        <v>45126.0</v>
      </c>
      <c r="I204" s="41">
        <v>255.9029411764706</v>
      </c>
      <c r="J204" s="43">
        <v>407.81</v>
      </c>
      <c r="K204" s="43">
        <v>351.95</v>
      </c>
      <c r="L204" s="43">
        <v>104359.77844117647</v>
      </c>
      <c r="M204" s="43">
        <v>90065.04014705883</v>
      </c>
      <c r="N204" s="43">
        <v>14294.738294117647</v>
      </c>
      <c r="O204" s="44">
        <v>0.13697555234055075</v>
      </c>
    </row>
    <row r="205" ht="22.5" customHeight="1">
      <c r="B205" s="41" t="s">
        <v>233</v>
      </c>
      <c r="C205" s="41" t="s">
        <v>14</v>
      </c>
      <c r="D205" s="41" t="s">
        <v>29</v>
      </c>
      <c r="E205" s="41" t="s">
        <v>16</v>
      </c>
      <c r="F205" s="41" t="s">
        <v>27</v>
      </c>
      <c r="G205" s="41" t="s">
        <v>23</v>
      </c>
      <c r="H205" s="42">
        <v>45127.0</v>
      </c>
      <c r="I205" s="41">
        <v>30.0</v>
      </c>
      <c r="J205" s="43">
        <v>58.91</v>
      </c>
      <c r="K205" s="43">
        <v>104.86</v>
      </c>
      <c r="L205" s="43">
        <v>1767.3</v>
      </c>
      <c r="M205" s="43">
        <v>3145.8</v>
      </c>
      <c r="N205" s="43">
        <v>-1378.5000000000002</v>
      </c>
      <c r="O205" s="44">
        <v>-0.7800033950093365</v>
      </c>
    </row>
    <row r="206" ht="22.5" customHeight="1">
      <c r="B206" s="41" t="s">
        <v>234</v>
      </c>
      <c r="C206" s="41" t="s">
        <v>20</v>
      </c>
      <c r="D206" s="41" t="s">
        <v>54</v>
      </c>
      <c r="E206" s="41" t="s">
        <v>16</v>
      </c>
      <c r="F206" s="41" t="s">
        <v>17</v>
      </c>
      <c r="G206" s="41" t="s">
        <v>31</v>
      </c>
      <c r="H206" s="42">
        <v>45128.0</v>
      </c>
      <c r="I206" s="41">
        <v>312.0</v>
      </c>
      <c r="J206" s="43">
        <v>78.75</v>
      </c>
      <c r="K206" s="43">
        <v>218.52</v>
      </c>
      <c r="L206" s="43">
        <v>24570.0</v>
      </c>
      <c r="M206" s="43">
        <v>68178.24</v>
      </c>
      <c r="N206" s="43">
        <v>-43608.240000000005</v>
      </c>
      <c r="O206" s="44">
        <v>-1.7748571428571431</v>
      </c>
    </row>
    <row r="207" ht="22.5" customHeight="1">
      <c r="B207" s="41" t="s">
        <v>235</v>
      </c>
      <c r="C207" s="41" t="s">
        <v>14</v>
      </c>
      <c r="D207" s="41" t="s">
        <v>15</v>
      </c>
      <c r="E207" s="41" t="s">
        <v>46</v>
      </c>
      <c r="F207" s="41" t="s">
        <v>27</v>
      </c>
      <c r="G207" s="41" t="s">
        <v>23</v>
      </c>
      <c r="H207" s="42">
        <v>45129.0</v>
      </c>
      <c r="I207" s="41">
        <v>473.0</v>
      </c>
      <c r="J207" s="43">
        <v>265.68</v>
      </c>
      <c r="K207" s="43">
        <v>255.16</v>
      </c>
      <c r="L207" s="43">
        <v>125666.64</v>
      </c>
      <c r="M207" s="43">
        <v>120690.68</v>
      </c>
      <c r="N207" s="43">
        <v>4975.960000000006</v>
      </c>
      <c r="O207" s="44">
        <v>0.039596507076181925</v>
      </c>
    </row>
    <row r="208" ht="22.5" customHeight="1">
      <c r="B208" s="41" t="s">
        <v>236</v>
      </c>
      <c r="C208" s="41" t="s">
        <v>25</v>
      </c>
      <c r="D208" s="41" t="s">
        <v>29</v>
      </c>
      <c r="E208" s="41" t="s">
        <v>16</v>
      </c>
      <c r="F208" s="41" t="s">
        <v>17</v>
      </c>
      <c r="G208" s="41" t="s">
        <v>31</v>
      </c>
      <c r="H208" s="42">
        <v>45130.0</v>
      </c>
      <c r="I208" s="41">
        <v>366.0</v>
      </c>
      <c r="J208" s="43">
        <v>126.8</v>
      </c>
      <c r="K208" s="43">
        <v>89.98</v>
      </c>
      <c r="L208" s="43">
        <v>46408.799999999996</v>
      </c>
      <c r="M208" s="43">
        <v>32932.68</v>
      </c>
      <c r="N208" s="43">
        <v>13476.119999999995</v>
      </c>
      <c r="O208" s="44">
        <v>0.290378548895899</v>
      </c>
    </row>
    <row r="209" ht="22.5" customHeight="1">
      <c r="B209" s="41" t="s">
        <v>237</v>
      </c>
      <c r="C209" s="41" t="s">
        <v>20</v>
      </c>
      <c r="D209" s="41" t="s">
        <v>15</v>
      </c>
      <c r="E209" s="41" t="s">
        <v>46</v>
      </c>
      <c r="F209" s="41" t="s">
        <v>17</v>
      </c>
      <c r="G209" s="41" t="s">
        <v>23</v>
      </c>
      <c r="H209" s="42">
        <v>45131.0</v>
      </c>
      <c r="I209" s="41">
        <v>452.0</v>
      </c>
      <c r="J209" s="43">
        <v>240.96</v>
      </c>
      <c r="K209" s="43">
        <v>391.4</v>
      </c>
      <c r="L209" s="43">
        <v>108913.92</v>
      </c>
      <c r="M209" s="43">
        <v>176912.8</v>
      </c>
      <c r="N209" s="43">
        <v>-67998.87999999999</v>
      </c>
      <c r="O209" s="44">
        <v>-0.6243359893758299</v>
      </c>
    </row>
    <row r="210" ht="22.5" customHeight="1">
      <c r="B210" s="41" t="s">
        <v>238</v>
      </c>
      <c r="C210" s="41" t="s">
        <v>25</v>
      </c>
      <c r="D210" s="41" t="s">
        <v>29</v>
      </c>
      <c r="E210" s="41" t="s">
        <v>22</v>
      </c>
      <c r="F210" s="41" t="s">
        <v>27</v>
      </c>
      <c r="G210" s="41" t="s">
        <v>18</v>
      </c>
      <c r="H210" s="42">
        <v>45132.0</v>
      </c>
      <c r="I210" s="41">
        <v>93.0</v>
      </c>
      <c r="J210" s="43">
        <v>200.21</v>
      </c>
      <c r="K210" s="43">
        <v>299.78</v>
      </c>
      <c r="L210" s="43">
        <v>18619.530000000002</v>
      </c>
      <c r="M210" s="43">
        <v>27879.539999999997</v>
      </c>
      <c r="N210" s="43">
        <v>-9260.009999999995</v>
      </c>
      <c r="O210" s="44">
        <v>-0.49732780580390556</v>
      </c>
    </row>
    <row r="211" ht="22.5" customHeight="1">
      <c r="B211" s="41" t="s">
        <v>239</v>
      </c>
      <c r="C211" s="41" t="s">
        <v>20</v>
      </c>
      <c r="D211" s="41" t="s">
        <v>29</v>
      </c>
      <c r="E211" s="41" t="s">
        <v>30</v>
      </c>
      <c r="F211" s="41" t="s">
        <v>17</v>
      </c>
      <c r="G211" s="41" t="s">
        <v>31</v>
      </c>
      <c r="H211" s="42">
        <v>45133.0</v>
      </c>
      <c r="I211" s="41">
        <v>271.0</v>
      </c>
      <c r="J211" s="43">
        <v>276.96</v>
      </c>
      <c r="K211" s="43">
        <v>224.01</v>
      </c>
      <c r="L211" s="43">
        <v>75056.15999999999</v>
      </c>
      <c r="M211" s="43">
        <v>60706.71</v>
      </c>
      <c r="N211" s="43">
        <v>14349.44999999999</v>
      </c>
      <c r="O211" s="44">
        <v>0.19118284228769486</v>
      </c>
    </row>
    <row r="212" ht="22.5" customHeight="1">
      <c r="B212" s="41" t="s">
        <v>240</v>
      </c>
      <c r="C212" s="41" t="s">
        <v>20</v>
      </c>
      <c r="D212" s="41" t="s">
        <v>34</v>
      </c>
      <c r="E212" s="41" t="s">
        <v>30</v>
      </c>
      <c r="F212" s="41" t="s">
        <v>17</v>
      </c>
      <c r="G212" s="41" t="s">
        <v>23</v>
      </c>
      <c r="H212" s="42">
        <v>45134.0</v>
      </c>
      <c r="I212" s="41">
        <v>156.0</v>
      </c>
      <c r="J212" s="43">
        <v>374.7</v>
      </c>
      <c r="K212" s="43">
        <v>73.88</v>
      </c>
      <c r="L212" s="43">
        <v>58453.2</v>
      </c>
      <c r="M212" s="43">
        <v>11525.279999999999</v>
      </c>
      <c r="N212" s="43">
        <v>46927.92</v>
      </c>
      <c r="O212" s="44">
        <v>0.8028289298105151</v>
      </c>
    </row>
    <row r="213" ht="22.5" customHeight="1">
      <c r="B213" s="41" t="s">
        <v>241</v>
      </c>
      <c r="C213" s="41" t="s">
        <v>52</v>
      </c>
      <c r="D213" s="41" t="s">
        <v>29</v>
      </c>
      <c r="E213" s="41" t="s">
        <v>46</v>
      </c>
      <c r="F213" s="41" t="s">
        <v>27</v>
      </c>
      <c r="G213" s="41" t="s">
        <v>23</v>
      </c>
      <c r="H213" s="42">
        <v>45135.0</v>
      </c>
      <c r="I213" s="41">
        <v>450.0</v>
      </c>
      <c r="J213" s="43">
        <v>359.17</v>
      </c>
      <c r="K213" s="43">
        <v>23.44</v>
      </c>
      <c r="L213" s="43">
        <v>161626.5</v>
      </c>
      <c r="M213" s="43">
        <v>10548.0</v>
      </c>
      <c r="N213" s="43">
        <v>151078.5</v>
      </c>
      <c r="O213" s="44">
        <v>0.9347384247013949</v>
      </c>
    </row>
    <row r="214" ht="22.5" customHeight="1">
      <c r="B214" s="41" t="s">
        <v>242</v>
      </c>
      <c r="C214" s="41" t="s">
        <v>25</v>
      </c>
      <c r="D214" s="41" t="s">
        <v>21</v>
      </c>
      <c r="E214" s="41" t="s">
        <v>30</v>
      </c>
      <c r="F214" s="41" t="s">
        <v>17</v>
      </c>
      <c r="G214" s="41" t="s">
        <v>18</v>
      </c>
      <c r="H214" s="42">
        <v>45136.0</v>
      </c>
      <c r="I214" s="41">
        <v>462.0</v>
      </c>
      <c r="J214" s="43">
        <v>263.01</v>
      </c>
      <c r="K214" s="43">
        <v>129.38</v>
      </c>
      <c r="L214" s="43">
        <v>121510.62</v>
      </c>
      <c r="M214" s="43">
        <v>59773.56</v>
      </c>
      <c r="N214" s="43">
        <v>61737.06</v>
      </c>
      <c r="O214" s="44">
        <v>0.5080795407018744</v>
      </c>
    </row>
    <row r="215" ht="22.5" customHeight="1">
      <c r="B215" s="41" t="s">
        <v>243</v>
      </c>
      <c r="C215" s="41" t="s">
        <v>14</v>
      </c>
      <c r="D215" s="41" t="s">
        <v>54</v>
      </c>
      <c r="E215" s="41" t="s">
        <v>39</v>
      </c>
      <c r="F215" s="41" t="s">
        <v>17</v>
      </c>
      <c r="G215" s="41" t="s">
        <v>31</v>
      </c>
      <c r="H215" s="42">
        <v>45137.0</v>
      </c>
      <c r="I215" s="41">
        <v>396.0</v>
      </c>
      <c r="J215" s="43">
        <v>412.08</v>
      </c>
      <c r="K215" s="43">
        <v>301.77</v>
      </c>
      <c r="L215" s="43">
        <v>163183.68</v>
      </c>
      <c r="M215" s="43">
        <v>119500.92</v>
      </c>
      <c r="N215" s="43">
        <v>43682.759999999995</v>
      </c>
      <c r="O215" s="44">
        <v>0.26769073966220147</v>
      </c>
    </row>
    <row r="216" ht="22.5" customHeight="1">
      <c r="B216" s="41" t="s">
        <v>244</v>
      </c>
      <c r="C216" s="41" t="s">
        <v>14</v>
      </c>
      <c r="D216" s="41" t="s">
        <v>54</v>
      </c>
      <c r="E216" s="41" t="s">
        <v>26</v>
      </c>
      <c r="F216" s="41" t="s">
        <v>27</v>
      </c>
      <c r="G216" s="41" t="s">
        <v>23</v>
      </c>
      <c r="H216" s="42">
        <v>45138.0</v>
      </c>
      <c r="I216" s="41">
        <v>266.0</v>
      </c>
      <c r="J216" s="43">
        <v>218.28</v>
      </c>
      <c r="K216" s="43">
        <v>109.19</v>
      </c>
      <c r="L216" s="43">
        <v>58062.48</v>
      </c>
      <c r="M216" s="43">
        <v>29044.54</v>
      </c>
      <c r="N216" s="43">
        <v>29017.940000000002</v>
      </c>
      <c r="O216" s="44">
        <v>0.499770936411948</v>
      </c>
    </row>
    <row r="217" ht="22.5" customHeight="1">
      <c r="B217" s="41" t="s">
        <v>245</v>
      </c>
      <c r="C217" s="41" t="s">
        <v>25</v>
      </c>
      <c r="D217" s="41" t="s">
        <v>15</v>
      </c>
      <c r="E217" s="41" t="s">
        <v>46</v>
      </c>
      <c r="F217" s="41" t="s">
        <v>27</v>
      </c>
      <c r="G217" s="41" t="s">
        <v>18</v>
      </c>
      <c r="H217" s="42">
        <v>45139.0</v>
      </c>
      <c r="I217" s="41">
        <v>67.0</v>
      </c>
      <c r="J217" s="43">
        <v>448.87</v>
      </c>
      <c r="K217" s="43">
        <v>216.74</v>
      </c>
      <c r="L217" s="43">
        <v>30074.29</v>
      </c>
      <c r="M217" s="43">
        <v>14521.58</v>
      </c>
      <c r="N217" s="43">
        <v>15552.710000000001</v>
      </c>
      <c r="O217" s="44">
        <v>0.5171430480985586</v>
      </c>
    </row>
    <row r="218" ht="22.5" customHeight="1">
      <c r="B218" s="41" t="s">
        <v>246</v>
      </c>
      <c r="C218" s="41" t="s">
        <v>14</v>
      </c>
      <c r="D218" s="41" t="s">
        <v>29</v>
      </c>
      <c r="E218" s="41" t="s">
        <v>30</v>
      </c>
      <c r="F218" s="41" t="s">
        <v>17</v>
      </c>
      <c r="G218" s="41" t="s">
        <v>23</v>
      </c>
      <c r="H218" s="42">
        <v>45140.0</v>
      </c>
      <c r="I218" s="41">
        <v>389.0</v>
      </c>
      <c r="J218" s="43">
        <v>40.28</v>
      </c>
      <c r="K218" s="43">
        <v>291.72</v>
      </c>
      <c r="L218" s="43">
        <v>15668.92</v>
      </c>
      <c r="M218" s="43">
        <v>113479.08000000002</v>
      </c>
      <c r="N218" s="43">
        <v>-97810.16000000002</v>
      </c>
      <c r="O218" s="44">
        <v>-6.242303872889773</v>
      </c>
    </row>
    <row r="219" ht="22.5" customHeight="1">
      <c r="B219" s="41" t="s">
        <v>247</v>
      </c>
      <c r="C219" s="41" t="s">
        <v>14</v>
      </c>
      <c r="D219" s="41" t="s">
        <v>21</v>
      </c>
      <c r="E219" s="41" t="s">
        <v>46</v>
      </c>
      <c r="F219" s="41" t="s">
        <v>17</v>
      </c>
      <c r="G219" s="41" t="s">
        <v>31</v>
      </c>
      <c r="H219" s="42">
        <v>45141.0</v>
      </c>
      <c r="I219" s="41">
        <v>431.0</v>
      </c>
      <c r="J219" s="43">
        <v>477.56</v>
      </c>
      <c r="K219" s="43">
        <v>44.96</v>
      </c>
      <c r="L219" s="43">
        <v>205828.36000000002</v>
      </c>
      <c r="M219" s="43">
        <v>19377.760000000002</v>
      </c>
      <c r="N219" s="43">
        <v>186450.6</v>
      </c>
      <c r="O219" s="44">
        <v>0.9058547617053354</v>
      </c>
    </row>
    <row r="220" ht="22.5" customHeight="1">
      <c r="B220" s="41" t="s">
        <v>248</v>
      </c>
      <c r="C220" s="41" t="s">
        <v>25</v>
      </c>
      <c r="D220" s="41" t="s">
        <v>15</v>
      </c>
      <c r="E220" s="41" t="s">
        <v>46</v>
      </c>
      <c r="F220" s="41" t="s">
        <v>27</v>
      </c>
      <c r="G220" s="41" t="s">
        <v>23</v>
      </c>
      <c r="H220" s="42">
        <v>45142.0</v>
      </c>
      <c r="I220" s="41">
        <v>24.0</v>
      </c>
      <c r="J220" s="43">
        <v>329.07</v>
      </c>
      <c r="K220" s="43">
        <v>274.75</v>
      </c>
      <c r="L220" s="43">
        <v>7897.68</v>
      </c>
      <c r="M220" s="43">
        <v>6594.0</v>
      </c>
      <c r="N220" s="43">
        <v>1303.6800000000003</v>
      </c>
      <c r="O220" s="44">
        <v>0.16507126143373754</v>
      </c>
    </row>
    <row r="221" ht="22.5" customHeight="1">
      <c r="B221" s="41" t="s">
        <v>249</v>
      </c>
      <c r="C221" s="41" t="s">
        <v>20</v>
      </c>
      <c r="D221" s="41" t="s">
        <v>34</v>
      </c>
      <c r="E221" s="41" t="s">
        <v>26</v>
      </c>
      <c r="F221" s="41" t="s">
        <v>27</v>
      </c>
      <c r="G221" s="41" t="s">
        <v>23</v>
      </c>
      <c r="H221" s="42">
        <v>45143.0</v>
      </c>
      <c r="I221" s="41">
        <v>171.0</v>
      </c>
      <c r="J221" s="43">
        <v>193.14</v>
      </c>
      <c r="K221" s="43">
        <v>38.56</v>
      </c>
      <c r="L221" s="43">
        <v>33026.939999999995</v>
      </c>
      <c r="M221" s="43">
        <v>6593.76</v>
      </c>
      <c r="N221" s="43">
        <v>26433.179999999993</v>
      </c>
      <c r="O221" s="44">
        <v>0.8003520762141451</v>
      </c>
    </row>
    <row r="222" ht="22.5" customHeight="1">
      <c r="B222" s="41" t="s">
        <v>250</v>
      </c>
      <c r="C222" s="41" t="s">
        <v>25</v>
      </c>
      <c r="D222" s="41" t="s">
        <v>15</v>
      </c>
      <c r="E222" s="41" t="s">
        <v>16</v>
      </c>
      <c r="F222" s="41" t="s">
        <v>17</v>
      </c>
      <c r="G222" s="41" t="s">
        <v>23</v>
      </c>
      <c r="H222" s="42">
        <v>45144.0</v>
      </c>
      <c r="I222" s="41">
        <v>454.0</v>
      </c>
      <c r="J222" s="43">
        <v>102.59</v>
      </c>
      <c r="K222" s="43">
        <v>386.12</v>
      </c>
      <c r="L222" s="43">
        <v>46575.86</v>
      </c>
      <c r="M222" s="43">
        <v>175298.48</v>
      </c>
      <c r="N222" s="43">
        <v>-128722.62000000001</v>
      </c>
      <c r="O222" s="44">
        <v>-2.763719660785652</v>
      </c>
    </row>
    <row r="223" ht="22.5" customHeight="1">
      <c r="B223" s="41" t="s">
        <v>251</v>
      </c>
      <c r="C223" s="41" t="s">
        <v>20</v>
      </c>
      <c r="D223" s="41" t="s">
        <v>15</v>
      </c>
      <c r="E223" s="41" t="s">
        <v>46</v>
      </c>
      <c r="F223" s="41" t="s">
        <v>27</v>
      </c>
      <c r="G223" s="41" t="s">
        <v>23</v>
      </c>
      <c r="H223" s="42">
        <v>45145.0</v>
      </c>
      <c r="I223" s="41">
        <v>172.0</v>
      </c>
      <c r="J223" s="43">
        <v>242.2</v>
      </c>
      <c r="K223" s="43">
        <v>196.38</v>
      </c>
      <c r="L223" s="43">
        <v>41658.4</v>
      </c>
      <c r="M223" s="43">
        <v>33777.36</v>
      </c>
      <c r="N223" s="43">
        <v>7881.040000000001</v>
      </c>
      <c r="O223" s="44">
        <v>0.18918249380677127</v>
      </c>
    </row>
    <row r="224" ht="22.5" customHeight="1">
      <c r="B224" s="41" t="s">
        <v>252</v>
      </c>
      <c r="C224" s="41" t="s">
        <v>14</v>
      </c>
      <c r="D224" s="41" t="s">
        <v>29</v>
      </c>
      <c r="E224" s="41" t="s">
        <v>30</v>
      </c>
      <c r="F224" s="41" t="s">
        <v>17</v>
      </c>
      <c r="G224" s="41" t="s">
        <v>18</v>
      </c>
      <c r="H224" s="42">
        <v>45146.0</v>
      </c>
      <c r="I224" s="41">
        <v>329.0</v>
      </c>
      <c r="J224" s="43">
        <v>101.31</v>
      </c>
      <c r="K224" s="43">
        <v>61.97</v>
      </c>
      <c r="L224" s="43">
        <v>33330.99</v>
      </c>
      <c r="M224" s="43">
        <v>20388.13</v>
      </c>
      <c r="N224" s="43">
        <v>12942.859999999997</v>
      </c>
      <c r="O224" s="44">
        <v>0.38831309841081824</v>
      </c>
    </row>
    <row r="225" ht="22.5" customHeight="1">
      <c r="B225" s="41" t="s">
        <v>253</v>
      </c>
      <c r="C225" s="41" t="s">
        <v>14</v>
      </c>
      <c r="D225" s="41" t="s">
        <v>34</v>
      </c>
      <c r="E225" s="41" t="s">
        <v>22</v>
      </c>
      <c r="F225" s="41" t="s">
        <v>17</v>
      </c>
      <c r="G225" s="41" t="s">
        <v>18</v>
      </c>
      <c r="H225" s="42">
        <v>45147.0</v>
      </c>
      <c r="I225" s="41">
        <v>290.0</v>
      </c>
      <c r="J225" s="43">
        <v>87.33</v>
      </c>
      <c r="K225" s="43">
        <v>138.27</v>
      </c>
      <c r="L225" s="43">
        <v>25325.7</v>
      </c>
      <c r="M225" s="43">
        <v>40098.3</v>
      </c>
      <c r="N225" s="43">
        <v>-14772.600000000002</v>
      </c>
      <c r="O225" s="44">
        <v>-0.5833047062864996</v>
      </c>
    </row>
    <row r="226" ht="22.5" customHeight="1">
      <c r="B226" s="41" t="s">
        <v>254</v>
      </c>
      <c r="C226" s="41" t="s">
        <v>39</v>
      </c>
      <c r="D226" s="41" t="s">
        <v>15</v>
      </c>
      <c r="E226" s="41" t="s">
        <v>46</v>
      </c>
      <c r="F226" s="41" t="s">
        <v>17</v>
      </c>
      <c r="G226" s="41" t="s">
        <v>31</v>
      </c>
      <c r="H226" s="42">
        <v>45148.0</v>
      </c>
      <c r="I226" s="41">
        <v>289.0</v>
      </c>
      <c r="J226" s="43">
        <v>310.59</v>
      </c>
      <c r="K226" s="43">
        <v>166.54</v>
      </c>
      <c r="L226" s="43">
        <v>89760.51</v>
      </c>
      <c r="M226" s="43">
        <v>48130.06</v>
      </c>
      <c r="N226" s="43">
        <v>41630.45</v>
      </c>
      <c r="O226" s="44">
        <v>0.4637947132876139</v>
      </c>
    </row>
    <row r="227" ht="22.5" customHeight="1">
      <c r="B227" s="41" t="s">
        <v>255</v>
      </c>
      <c r="C227" s="41" t="s">
        <v>52</v>
      </c>
      <c r="D227" s="41" t="s">
        <v>21</v>
      </c>
      <c r="E227" s="41" t="s">
        <v>46</v>
      </c>
      <c r="F227" s="41" t="s">
        <v>17</v>
      </c>
      <c r="G227" s="41" t="s">
        <v>18</v>
      </c>
      <c r="H227" s="42">
        <v>45149.0</v>
      </c>
      <c r="I227" s="41">
        <v>21.0</v>
      </c>
      <c r="J227" s="43">
        <v>263.93</v>
      </c>
      <c r="K227" s="43">
        <v>303.76</v>
      </c>
      <c r="L227" s="43">
        <v>5542.53</v>
      </c>
      <c r="M227" s="43">
        <v>6378.96</v>
      </c>
      <c r="N227" s="43">
        <v>-836.4300000000003</v>
      </c>
      <c r="O227" s="44">
        <v>-0.15091122646156183</v>
      </c>
    </row>
    <row r="228" ht="22.5" customHeight="1">
      <c r="B228" s="41" t="s">
        <v>256</v>
      </c>
      <c r="C228" s="41" t="s">
        <v>20</v>
      </c>
      <c r="D228" s="41" t="s">
        <v>21</v>
      </c>
      <c r="E228" s="41" t="s">
        <v>26</v>
      </c>
      <c r="F228" s="41" t="s">
        <v>17</v>
      </c>
      <c r="G228" s="41" t="s">
        <v>18</v>
      </c>
      <c r="H228" s="42">
        <v>45150.0</v>
      </c>
      <c r="I228" s="41">
        <v>283.0</v>
      </c>
      <c r="J228" s="43">
        <v>336.7</v>
      </c>
      <c r="K228" s="43">
        <v>297.88</v>
      </c>
      <c r="L228" s="43">
        <v>95286.09999999999</v>
      </c>
      <c r="M228" s="43">
        <v>84300.04</v>
      </c>
      <c r="N228" s="43">
        <v>10986.059999999998</v>
      </c>
      <c r="O228" s="44">
        <v>0.11529551529551528</v>
      </c>
    </row>
    <row r="229" ht="22.5" customHeight="1">
      <c r="B229" s="41" t="s">
        <v>257</v>
      </c>
      <c r="C229" s="41" t="s">
        <v>52</v>
      </c>
      <c r="D229" s="41" t="s">
        <v>54</v>
      </c>
      <c r="E229" s="41" t="s">
        <v>16</v>
      </c>
      <c r="F229" s="41" t="s">
        <v>27</v>
      </c>
      <c r="G229" s="41" t="s">
        <v>31</v>
      </c>
      <c r="H229" s="42">
        <v>45151.0</v>
      </c>
      <c r="I229" s="41">
        <v>280.0</v>
      </c>
      <c r="J229" s="43">
        <v>465.15</v>
      </c>
      <c r="K229" s="43">
        <v>245.55</v>
      </c>
      <c r="L229" s="43">
        <v>130242.0</v>
      </c>
      <c r="M229" s="43">
        <v>68754.0</v>
      </c>
      <c r="N229" s="43">
        <v>61488.0</v>
      </c>
      <c r="O229" s="44">
        <v>0.47210577233150597</v>
      </c>
    </row>
    <row r="230" ht="22.5" customHeight="1">
      <c r="B230" s="41" t="s">
        <v>258</v>
      </c>
      <c r="C230" s="41" t="s">
        <v>52</v>
      </c>
      <c r="D230" s="41" t="s">
        <v>34</v>
      </c>
      <c r="E230" s="41" t="s">
        <v>22</v>
      </c>
      <c r="F230" s="41" t="s">
        <v>27</v>
      </c>
      <c r="G230" s="41" t="s">
        <v>18</v>
      </c>
      <c r="H230" s="42">
        <v>45152.0</v>
      </c>
      <c r="I230" s="41">
        <v>217.0</v>
      </c>
      <c r="J230" s="43">
        <v>268.47</v>
      </c>
      <c r="K230" s="43">
        <v>44.16</v>
      </c>
      <c r="L230" s="43">
        <v>58257.990000000005</v>
      </c>
      <c r="M230" s="43">
        <v>9582.72</v>
      </c>
      <c r="N230" s="43">
        <v>48675.270000000004</v>
      </c>
      <c r="O230" s="44">
        <v>0.8355123477483518</v>
      </c>
    </row>
    <row r="231" ht="22.5" customHeight="1">
      <c r="B231" s="41" t="s">
        <v>259</v>
      </c>
      <c r="C231" s="41" t="s">
        <v>25</v>
      </c>
      <c r="D231" s="41" t="s">
        <v>34</v>
      </c>
      <c r="E231" s="41" t="s">
        <v>30</v>
      </c>
      <c r="F231" s="41" t="s">
        <v>27</v>
      </c>
      <c r="G231" s="41" t="s">
        <v>18</v>
      </c>
      <c r="H231" s="42">
        <v>45153.0</v>
      </c>
      <c r="I231" s="41">
        <v>36.0</v>
      </c>
      <c r="J231" s="43">
        <v>292.56</v>
      </c>
      <c r="K231" s="43">
        <v>62.32</v>
      </c>
      <c r="L231" s="43">
        <v>10532.16</v>
      </c>
      <c r="M231" s="43">
        <v>2243.52</v>
      </c>
      <c r="N231" s="43">
        <v>8288.64</v>
      </c>
      <c r="O231" s="44">
        <v>0.7869838665572874</v>
      </c>
    </row>
    <row r="232" ht="22.5" customHeight="1">
      <c r="B232" s="41" t="s">
        <v>260</v>
      </c>
      <c r="C232" s="41" t="s">
        <v>52</v>
      </c>
      <c r="D232" s="41" t="s">
        <v>54</v>
      </c>
      <c r="E232" s="41" t="s">
        <v>22</v>
      </c>
      <c r="F232" s="41" t="s">
        <v>27</v>
      </c>
      <c r="G232" s="41" t="s">
        <v>31</v>
      </c>
      <c r="H232" s="42">
        <v>45154.0</v>
      </c>
      <c r="I232" s="41">
        <v>255.9029411764706</v>
      </c>
      <c r="J232" s="43">
        <v>49.37</v>
      </c>
      <c r="K232" s="43">
        <v>39.32</v>
      </c>
      <c r="L232" s="43">
        <v>12633.928205882352</v>
      </c>
      <c r="M232" s="43">
        <v>10062.103647058824</v>
      </c>
      <c r="N232" s="43">
        <v>2571.8245588235277</v>
      </c>
      <c r="O232" s="44">
        <v>0.2035649179663762</v>
      </c>
    </row>
    <row r="233" ht="22.5" customHeight="1">
      <c r="B233" s="41" t="s">
        <v>261</v>
      </c>
      <c r="C233" s="41" t="s">
        <v>25</v>
      </c>
      <c r="D233" s="41" t="s">
        <v>15</v>
      </c>
      <c r="E233" s="41" t="s">
        <v>30</v>
      </c>
      <c r="F233" s="41" t="s">
        <v>17</v>
      </c>
      <c r="G233" s="41" t="s">
        <v>31</v>
      </c>
      <c r="H233" s="42">
        <v>45155.0</v>
      </c>
      <c r="I233" s="41">
        <v>69.0</v>
      </c>
      <c r="J233" s="43">
        <v>360.23</v>
      </c>
      <c r="K233" s="43">
        <v>231.71</v>
      </c>
      <c r="L233" s="43">
        <v>24855.870000000003</v>
      </c>
      <c r="M233" s="43">
        <v>15987.99</v>
      </c>
      <c r="N233" s="43">
        <v>8867.880000000003</v>
      </c>
      <c r="O233" s="44">
        <v>0.35677206229353475</v>
      </c>
    </row>
    <row r="234" ht="22.5" customHeight="1">
      <c r="B234" s="41" t="s">
        <v>262</v>
      </c>
      <c r="C234" s="41" t="s">
        <v>25</v>
      </c>
      <c r="D234" s="41" t="s">
        <v>34</v>
      </c>
      <c r="E234" s="41" t="s">
        <v>16</v>
      </c>
      <c r="F234" s="41" t="s">
        <v>17</v>
      </c>
      <c r="G234" s="41" t="s">
        <v>31</v>
      </c>
      <c r="H234" s="42">
        <v>45156.0</v>
      </c>
      <c r="I234" s="41">
        <v>439.0</v>
      </c>
      <c r="J234" s="43">
        <v>202.95</v>
      </c>
      <c r="K234" s="43">
        <v>351.1</v>
      </c>
      <c r="L234" s="43">
        <v>89095.04999999999</v>
      </c>
      <c r="M234" s="43">
        <v>154132.90000000002</v>
      </c>
      <c r="N234" s="43">
        <v>-65037.850000000035</v>
      </c>
      <c r="O234" s="44">
        <v>-0.7299827543729988</v>
      </c>
    </row>
    <row r="235" ht="22.5" customHeight="1">
      <c r="B235" s="41" t="s">
        <v>263</v>
      </c>
      <c r="C235" s="41" t="s">
        <v>52</v>
      </c>
      <c r="D235" s="41" t="s">
        <v>21</v>
      </c>
      <c r="E235" s="41" t="s">
        <v>30</v>
      </c>
      <c r="F235" s="41" t="s">
        <v>17</v>
      </c>
      <c r="G235" s="41" t="s">
        <v>23</v>
      </c>
      <c r="H235" s="42">
        <v>45157.0</v>
      </c>
      <c r="I235" s="41">
        <v>482.0</v>
      </c>
      <c r="J235" s="43">
        <v>488.48</v>
      </c>
      <c r="K235" s="43">
        <v>174.65</v>
      </c>
      <c r="L235" s="43">
        <v>235447.36000000002</v>
      </c>
      <c r="M235" s="43">
        <v>84181.3</v>
      </c>
      <c r="N235" s="43">
        <v>151266.06</v>
      </c>
      <c r="O235" s="44">
        <v>0.6424623321323288</v>
      </c>
    </row>
    <row r="236" ht="22.5" customHeight="1">
      <c r="B236" s="41" t="s">
        <v>264</v>
      </c>
      <c r="C236" s="41" t="s">
        <v>20</v>
      </c>
      <c r="D236" s="41" t="s">
        <v>21</v>
      </c>
      <c r="E236" s="41" t="s">
        <v>26</v>
      </c>
      <c r="F236" s="41" t="s">
        <v>17</v>
      </c>
      <c r="G236" s="41" t="s">
        <v>23</v>
      </c>
      <c r="H236" s="42">
        <v>45158.0</v>
      </c>
      <c r="I236" s="41">
        <v>154.0</v>
      </c>
      <c r="J236" s="43">
        <v>412.47</v>
      </c>
      <c r="K236" s="43">
        <v>66.02</v>
      </c>
      <c r="L236" s="43">
        <v>63520.380000000005</v>
      </c>
      <c r="M236" s="43">
        <v>10167.08</v>
      </c>
      <c r="N236" s="43">
        <v>53353.3</v>
      </c>
      <c r="O236" s="44">
        <v>0.839939874415109</v>
      </c>
    </row>
    <row r="237" ht="22.5" customHeight="1">
      <c r="B237" s="41" t="s">
        <v>265</v>
      </c>
      <c r="C237" s="41" t="s">
        <v>20</v>
      </c>
      <c r="D237" s="41" t="s">
        <v>29</v>
      </c>
      <c r="E237" s="41" t="s">
        <v>26</v>
      </c>
      <c r="F237" s="41" t="s">
        <v>27</v>
      </c>
      <c r="G237" s="41" t="s">
        <v>31</v>
      </c>
      <c r="H237" s="42">
        <v>45159.0</v>
      </c>
      <c r="I237" s="41">
        <v>102.0</v>
      </c>
      <c r="J237" s="43">
        <v>263.63</v>
      </c>
      <c r="K237" s="43">
        <v>224.1</v>
      </c>
      <c r="L237" s="43">
        <v>26890.26</v>
      </c>
      <c r="M237" s="43">
        <v>22858.2</v>
      </c>
      <c r="N237" s="43">
        <v>4032.0599999999977</v>
      </c>
      <c r="O237" s="44">
        <v>0.14994499867238167</v>
      </c>
    </row>
    <row r="238" ht="22.5" customHeight="1">
      <c r="B238" s="41" t="s">
        <v>266</v>
      </c>
      <c r="C238" s="41" t="s">
        <v>20</v>
      </c>
      <c r="D238" s="41" t="s">
        <v>34</v>
      </c>
      <c r="E238" s="41" t="s">
        <v>26</v>
      </c>
      <c r="F238" s="41" t="s">
        <v>17</v>
      </c>
      <c r="G238" s="41" t="s">
        <v>31</v>
      </c>
      <c r="H238" s="42">
        <v>45160.0</v>
      </c>
      <c r="I238" s="41">
        <v>318.0</v>
      </c>
      <c r="J238" s="43">
        <v>66.0</v>
      </c>
      <c r="K238" s="43">
        <v>325.08</v>
      </c>
      <c r="L238" s="43">
        <v>20988.0</v>
      </c>
      <c r="M238" s="43">
        <v>103375.43999999999</v>
      </c>
      <c r="N238" s="43">
        <v>-82387.43999999999</v>
      </c>
      <c r="O238" s="44">
        <v>-3.925454545454545</v>
      </c>
    </row>
    <row r="239" ht="22.5" customHeight="1">
      <c r="B239" s="41" t="s">
        <v>267</v>
      </c>
      <c r="C239" s="41" t="s">
        <v>20</v>
      </c>
      <c r="D239" s="41" t="s">
        <v>15</v>
      </c>
      <c r="E239" s="41" t="s">
        <v>26</v>
      </c>
      <c r="F239" s="41" t="s">
        <v>17</v>
      </c>
      <c r="G239" s="41" t="s">
        <v>31</v>
      </c>
      <c r="H239" s="42">
        <v>45161.0</v>
      </c>
      <c r="I239" s="41">
        <v>17.0</v>
      </c>
      <c r="J239" s="43">
        <v>430.41</v>
      </c>
      <c r="K239" s="43">
        <v>297.2</v>
      </c>
      <c r="L239" s="43">
        <v>7316.97</v>
      </c>
      <c r="M239" s="43">
        <v>5052.4</v>
      </c>
      <c r="N239" s="43">
        <v>2264.5700000000006</v>
      </c>
      <c r="O239" s="44">
        <v>0.30949559722125425</v>
      </c>
    </row>
    <row r="240" ht="22.5" customHeight="1">
      <c r="B240" s="41" t="s">
        <v>268</v>
      </c>
      <c r="C240" s="41" t="s">
        <v>20</v>
      </c>
      <c r="D240" s="41" t="s">
        <v>54</v>
      </c>
      <c r="E240" s="41" t="s">
        <v>22</v>
      </c>
      <c r="F240" s="41" t="s">
        <v>27</v>
      </c>
      <c r="G240" s="41" t="s">
        <v>23</v>
      </c>
      <c r="H240" s="42">
        <v>45162.0</v>
      </c>
      <c r="I240" s="41">
        <v>88.0</v>
      </c>
      <c r="J240" s="43">
        <v>400.89</v>
      </c>
      <c r="K240" s="43">
        <v>352.82</v>
      </c>
      <c r="L240" s="43">
        <v>35278.32</v>
      </c>
      <c r="M240" s="43">
        <v>31048.16</v>
      </c>
      <c r="N240" s="43">
        <v>4230.16</v>
      </c>
      <c r="O240" s="44">
        <v>0.11990820424555364</v>
      </c>
    </row>
    <row r="241" ht="22.5" customHeight="1">
      <c r="B241" s="41" t="s">
        <v>269</v>
      </c>
      <c r="C241" s="41" t="s">
        <v>52</v>
      </c>
      <c r="D241" s="41" t="s">
        <v>54</v>
      </c>
      <c r="E241" s="41" t="s">
        <v>16</v>
      </c>
      <c r="F241" s="41" t="s">
        <v>27</v>
      </c>
      <c r="G241" s="41" t="s">
        <v>23</v>
      </c>
      <c r="H241" s="42">
        <v>45163.0</v>
      </c>
      <c r="I241" s="41">
        <v>36.0</v>
      </c>
      <c r="J241" s="43">
        <v>96.37</v>
      </c>
      <c r="K241" s="43">
        <v>112.61</v>
      </c>
      <c r="L241" s="43">
        <v>3469.32</v>
      </c>
      <c r="M241" s="43">
        <v>4053.96</v>
      </c>
      <c r="N241" s="43">
        <v>-584.6399999999999</v>
      </c>
      <c r="O241" s="44">
        <v>-0.16851717339420977</v>
      </c>
    </row>
    <row r="242" ht="22.5" customHeight="1">
      <c r="B242" s="41" t="s">
        <v>270</v>
      </c>
      <c r="C242" s="41" t="s">
        <v>52</v>
      </c>
      <c r="D242" s="41" t="s">
        <v>15</v>
      </c>
      <c r="E242" s="41" t="s">
        <v>30</v>
      </c>
      <c r="F242" s="41" t="s">
        <v>27</v>
      </c>
      <c r="G242" s="41" t="s">
        <v>18</v>
      </c>
      <c r="H242" s="42">
        <v>45164.0</v>
      </c>
      <c r="I242" s="41">
        <v>183.0</v>
      </c>
      <c r="J242" s="43">
        <v>151.16</v>
      </c>
      <c r="K242" s="43">
        <v>79.19</v>
      </c>
      <c r="L242" s="43">
        <v>27662.28</v>
      </c>
      <c r="M242" s="43">
        <v>14491.77</v>
      </c>
      <c r="N242" s="43">
        <v>13170.509999999998</v>
      </c>
      <c r="O242" s="44">
        <v>0.476118020640381</v>
      </c>
    </row>
    <row r="243" ht="22.5" customHeight="1">
      <c r="B243" s="41" t="s">
        <v>271</v>
      </c>
      <c r="C243" s="41" t="s">
        <v>14</v>
      </c>
      <c r="D243" s="41" t="s">
        <v>29</v>
      </c>
      <c r="E243" s="41" t="s">
        <v>30</v>
      </c>
      <c r="F243" s="41" t="s">
        <v>27</v>
      </c>
      <c r="G243" s="41" t="s">
        <v>18</v>
      </c>
      <c r="H243" s="42">
        <v>45165.0</v>
      </c>
      <c r="I243" s="41">
        <v>59.0</v>
      </c>
      <c r="J243" s="43">
        <v>397.74</v>
      </c>
      <c r="K243" s="43">
        <v>352.17</v>
      </c>
      <c r="L243" s="43">
        <v>23466.66</v>
      </c>
      <c r="M243" s="43">
        <v>20778.030000000002</v>
      </c>
      <c r="N243" s="43">
        <v>2688.6299999999974</v>
      </c>
      <c r="O243" s="44">
        <v>0.11457233368532196</v>
      </c>
    </row>
    <row r="244" ht="22.5" customHeight="1">
      <c r="B244" s="41" t="s">
        <v>272</v>
      </c>
      <c r="C244" s="41" t="s">
        <v>20</v>
      </c>
      <c r="D244" s="41" t="s">
        <v>54</v>
      </c>
      <c r="E244" s="41" t="s">
        <v>26</v>
      </c>
      <c r="F244" s="41" t="s">
        <v>17</v>
      </c>
      <c r="G244" s="41" t="s">
        <v>31</v>
      </c>
      <c r="H244" s="42">
        <v>45166.0</v>
      </c>
      <c r="I244" s="41">
        <v>208.0</v>
      </c>
      <c r="J244" s="43">
        <v>96.69</v>
      </c>
      <c r="K244" s="43">
        <v>263.71</v>
      </c>
      <c r="L244" s="43">
        <v>20111.52</v>
      </c>
      <c r="M244" s="43">
        <v>54851.67999999999</v>
      </c>
      <c r="N244" s="43">
        <v>-34740.15999999999</v>
      </c>
      <c r="O244" s="44">
        <v>-1.727376150584341</v>
      </c>
    </row>
    <row r="245" ht="22.5" customHeight="1">
      <c r="B245" s="41" t="s">
        <v>273</v>
      </c>
      <c r="C245" s="41" t="s">
        <v>52</v>
      </c>
      <c r="D245" s="41" t="s">
        <v>34</v>
      </c>
      <c r="E245" s="41" t="s">
        <v>26</v>
      </c>
      <c r="F245" s="41" t="s">
        <v>17</v>
      </c>
      <c r="G245" s="41" t="s">
        <v>23</v>
      </c>
      <c r="H245" s="42">
        <v>45167.0</v>
      </c>
      <c r="I245" s="41">
        <v>396.0</v>
      </c>
      <c r="J245" s="43">
        <v>459.29</v>
      </c>
      <c r="K245" s="43">
        <v>125.75</v>
      </c>
      <c r="L245" s="43">
        <v>181878.84</v>
      </c>
      <c r="M245" s="43">
        <v>49797.0</v>
      </c>
      <c r="N245" s="43">
        <v>132081.84</v>
      </c>
      <c r="O245" s="44">
        <v>0.7262078425395719</v>
      </c>
    </row>
    <row r="246" ht="22.5" customHeight="1">
      <c r="B246" s="41" t="s">
        <v>274</v>
      </c>
      <c r="C246" s="41" t="s">
        <v>14</v>
      </c>
      <c r="D246" s="41" t="s">
        <v>29</v>
      </c>
      <c r="E246" s="41" t="s">
        <v>46</v>
      </c>
      <c r="F246" s="41" t="s">
        <v>27</v>
      </c>
      <c r="G246" s="41" t="s">
        <v>23</v>
      </c>
      <c r="H246" s="42">
        <v>45168.0</v>
      </c>
      <c r="I246" s="41">
        <v>358.0</v>
      </c>
      <c r="J246" s="43">
        <v>215.14</v>
      </c>
      <c r="K246" s="43">
        <v>297.45</v>
      </c>
      <c r="L246" s="43">
        <v>77020.12</v>
      </c>
      <c r="M246" s="43">
        <v>106487.09999999999</v>
      </c>
      <c r="N246" s="43">
        <v>-29466.979999999996</v>
      </c>
      <c r="O246" s="44">
        <v>-0.38258808217904616</v>
      </c>
    </row>
    <row r="247" ht="22.5" customHeight="1">
      <c r="B247" s="41" t="s">
        <v>275</v>
      </c>
      <c r="C247" s="41" t="s">
        <v>20</v>
      </c>
      <c r="D247" s="41" t="s">
        <v>34</v>
      </c>
      <c r="E247" s="41" t="s">
        <v>16</v>
      </c>
      <c r="F247" s="41" t="s">
        <v>17</v>
      </c>
      <c r="G247" s="41" t="s">
        <v>23</v>
      </c>
      <c r="H247" s="42">
        <v>45169.0</v>
      </c>
      <c r="I247" s="41">
        <v>457.0</v>
      </c>
      <c r="J247" s="43">
        <v>48.08</v>
      </c>
      <c r="K247" s="43">
        <v>326.42</v>
      </c>
      <c r="L247" s="43">
        <v>21972.559999999998</v>
      </c>
      <c r="M247" s="43">
        <v>149173.94</v>
      </c>
      <c r="N247" s="43">
        <v>-127201.38</v>
      </c>
      <c r="O247" s="44">
        <v>-5.78910149750416</v>
      </c>
    </row>
    <row r="248" ht="22.5" customHeight="1">
      <c r="B248" s="41" t="s">
        <v>276</v>
      </c>
      <c r="C248" s="41" t="s">
        <v>25</v>
      </c>
      <c r="D248" s="41" t="s">
        <v>21</v>
      </c>
      <c r="E248" s="41" t="s">
        <v>22</v>
      </c>
      <c r="F248" s="41" t="s">
        <v>17</v>
      </c>
      <c r="G248" s="41" t="s">
        <v>31</v>
      </c>
      <c r="H248" s="42">
        <v>45170.0</v>
      </c>
      <c r="I248" s="41">
        <v>437.0</v>
      </c>
      <c r="J248" s="43">
        <v>408.8</v>
      </c>
      <c r="K248" s="43">
        <v>246.76</v>
      </c>
      <c r="L248" s="43">
        <v>178645.6</v>
      </c>
      <c r="M248" s="43">
        <v>107834.12</v>
      </c>
      <c r="N248" s="43">
        <v>70811.48000000001</v>
      </c>
      <c r="O248" s="44">
        <v>0.3963796477495108</v>
      </c>
    </row>
    <row r="249" ht="22.5" customHeight="1">
      <c r="B249" s="41" t="s">
        <v>277</v>
      </c>
      <c r="C249" s="41" t="s">
        <v>14</v>
      </c>
      <c r="D249" s="41" t="s">
        <v>29</v>
      </c>
      <c r="E249" s="41" t="s">
        <v>30</v>
      </c>
      <c r="F249" s="41" t="s">
        <v>17</v>
      </c>
      <c r="G249" s="41" t="s">
        <v>18</v>
      </c>
      <c r="H249" s="42">
        <v>45171.0</v>
      </c>
      <c r="I249" s="41">
        <v>190.0</v>
      </c>
      <c r="J249" s="43">
        <v>189.89</v>
      </c>
      <c r="K249" s="43">
        <v>275.78</v>
      </c>
      <c r="L249" s="43">
        <v>36079.1</v>
      </c>
      <c r="M249" s="43">
        <v>52398.2</v>
      </c>
      <c r="N249" s="43">
        <v>-16319.099999999999</v>
      </c>
      <c r="O249" s="44">
        <v>-0.45231449786718625</v>
      </c>
    </row>
    <row r="250" ht="22.5" customHeight="1">
      <c r="B250" s="41" t="s">
        <v>278</v>
      </c>
      <c r="C250" s="41" t="s">
        <v>52</v>
      </c>
      <c r="D250" s="41" t="s">
        <v>54</v>
      </c>
      <c r="E250" s="41" t="s">
        <v>46</v>
      </c>
      <c r="F250" s="41" t="s">
        <v>27</v>
      </c>
      <c r="G250" s="41" t="s">
        <v>31</v>
      </c>
      <c r="H250" s="42">
        <v>45172.0</v>
      </c>
      <c r="I250" s="41">
        <v>33.0</v>
      </c>
      <c r="J250" s="43">
        <v>265.62</v>
      </c>
      <c r="K250" s="43">
        <v>151.35</v>
      </c>
      <c r="L250" s="43">
        <v>8765.460000000001</v>
      </c>
      <c r="M250" s="43">
        <v>4994.55</v>
      </c>
      <c r="N250" s="43">
        <v>3770.9100000000008</v>
      </c>
      <c r="O250" s="44">
        <v>0.4302010390783827</v>
      </c>
    </row>
    <row r="251" ht="22.5" customHeight="1">
      <c r="B251" s="41" t="s">
        <v>279</v>
      </c>
      <c r="C251" s="41" t="s">
        <v>25</v>
      </c>
      <c r="D251" s="41" t="s">
        <v>29</v>
      </c>
      <c r="E251" s="41" t="s">
        <v>46</v>
      </c>
      <c r="F251" s="41" t="s">
        <v>17</v>
      </c>
      <c r="G251" s="41" t="s">
        <v>18</v>
      </c>
      <c r="H251" s="42">
        <v>45173.0</v>
      </c>
      <c r="I251" s="41">
        <v>325.0</v>
      </c>
      <c r="J251" s="43">
        <v>60.59</v>
      </c>
      <c r="K251" s="43">
        <v>216.4</v>
      </c>
      <c r="L251" s="43">
        <v>19691.75</v>
      </c>
      <c r="M251" s="43">
        <v>70330.0</v>
      </c>
      <c r="N251" s="43">
        <v>-50638.25</v>
      </c>
      <c r="O251" s="44">
        <v>-2.57154645981185</v>
      </c>
    </row>
    <row r="252" ht="22.5" customHeight="1">
      <c r="B252" s="41" t="s">
        <v>280</v>
      </c>
      <c r="C252" s="41" t="s">
        <v>25</v>
      </c>
      <c r="D252" s="41" t="s">
        <v>29</v>
      </c>
      <c r="E252" s="41" t="s">
        <v>30</v>
      </c>
      <c r="F252" s="41" t="s">
        <v>27</v>
      </c>
      <c r="G252" s="41" t="s">
        <v>18</v>
      </c>
      <c r="H252" s="42">
        <v>45174.0</v>
      </c>
      <c r="I252" s="41">
        <v>387.0</v>
      </c>
      <c r="J252" s="43">
        <v>6.28</v>
      </c>
      <c r="K252" s="43">
        <v>210.62</v>
      </c>
      <c r="L252" s="43">
        <v>2430.36</v>
      </c>
      <c r="M252" s="43">
        <v>81509.94</v>
      </c>
      <c r="N252" s="43">
        <v>-79079.58</v>
      </c>
      <c r="O252" s="44">
        <v>-32.538216560509554</v>
      </c>
    </row>
    <row r="253" ht="22.5" customHeight="1">
      <c r="B253" s="41" t="s">
        <v>281</v>
      </c>
      <c r="C253" s="41" t="s">
        <v>25</v>
      </c>
      <c r="D253" s="41" t="s">
        <v>29</v>
      </c>
      <c r="E253" s="41" t="s">
        <v>22</v>
      </c>
      <c r="F253" s="41" t="s">
        <v>17</v>
      </c>
      <c r="G253" s="41" t="s">
        <v>31</v>
      </c>
      <c r="H253" s="42">
        <v>45175.0</v>
      </c>
      <c r="I253" s="41">
        <v>396.0</v>
      </c>
      <c r="J253" s="43">
        <v>320.8</v>
      </c>
      <c r="K253" s="43">
        <v>339.52</v>
      </c>
      <c r="L253" s="43">
        <v>127036.8</v>
      </c>
      <c r="M253" s="43">
        <v>134449.91999999998</v>
      </c>
      <c r="N253" s="43">
        <v>-7413.119999999981</v>
      </c>
      <c r="O253" s="44">
        <v>-0.058354114713216804</v>
      </c>
    </row>
    <row r="254" ht="22.5" customHeight="1">
      <c r="B254" s="41" t="s">
        <v>282</v>
      </c>
      <c r="C254" s="41" t="s">
        <v>14</v>
      </c>
      <c r="D254" s="41" t="s">
        <v>29</v>
      </c>
      <c r="E254" s="41" t="s">
        <v>46</v>
      </c>
      <c r="F254" s="41" t="s">
        <v>17</v>
      </c>
      <c r="G254" s="41" t="s">
        <v>18</v>
      </c>
      <c r="H254" s="42">
        <v>45176.0</v>
      </c>
      <c r="I254" s="41">
        <v>413.0</v>
      </c>
      <c r="J254" s="43">
        <v>260.01</v>
      </c>
      <c r="K254" s="43">
        <v>336.31</v>
      </c>
      <c r="L254" s="43">
        <v>107384.12999999999</v>
      </c>
      <c r="M254" s="43">
        <v>138896.03</v>
      </c>
      <c r="N254" s="43">
        <v>-31511.90000000001</v>
      </c>
      <c r="O254" s="44">
        <v>-0.2934502519133881</v>
      </c>
    </row>
    <row r="255" ht="22.5" customHeight="1">
      <c r="B255" s="41" t="s">
        <v>283</v>
      </c>
      <c r="C255" s="41" t="s">
        <v>52</v>
      </c>
      <c r="D255" s="41" t="s">
        <v>34</v>
      </c>
      <c r="E255" s="41" t="s">
        <v>46</v>
      </c>
      <c r="F255" s="41" t="s">
        <v>17</v>
      </c>
      <c r="G255" s="41" t="s">
        <v>18</v>
      </c>
      <c r="H255" s="42">
        <v>45177.0</v>
      </c>
      <c r="I255" s="41">
        <v>255.9029411764706</v>
      </c>
      <c r="J255" s="43">
        <v>298.8</v>
      </c>
      <c r="K255" s="43">
        <v>333.41</v>
      </c>
      <c r="L255" s="43">
        <v>76463.79882352942</v>
      </c>
      <c r="M255" s="43">
        <v>85320.59961764707</v>
      </c>
      <c r="N255" s="43">
        <v>-8856.800794117647</v>
      </c>
      <c r="O255" s="44">
        <v>-0.11582998661311913</v>
      </c>
    </row>
    <row r="256" ht="22.5" customHeight="1">
      <c r="B256" s="41" t="s">
        <v>284</v>
      </c>
      <c r="C256" s="41" t="s">
        <v>25</v>
      </c>
      <c r="D256" s="41" t="s">
        <v>21</v>
      </c>
      <c r="E256" s="41" t="s">
        <v>16</v>
      </c>
      <c r="F256" s="41" t="s">
        <v>27</v>
      </c>
      <c r="G256" s="41" t="s">
        <v>23</v>
      </c>
      <c r="H256" s="42">
        <v>45178.0</v>
      </c>
      <c r="I256" s="41">
        <v>24.0</v>
      </c>
      <c r="J256" s="43">
        <v>397.9</v>
      </c>
      <c r="K256" s="43">
        <v>6.39</v>
      </c>
      <c r="L256" s="43">
        <v>9549.599999999999</v>
      </c>
      <c r="M256" s="43">
        <v>153.35999999999999</v>
      </c>
      <c r="N256" s="43">
        <v>9396.239999999998</v>
      </c>
      <c r="O256" s="44">
        <v>0.9839406886152299</v>
      </c>
    </row>
    <row r="257" ht="22.5" customHeight="1">
      <c r="B257" s="41" t="s">
        <v>285</v>
      </c>
      <c r="C257" s="41" t="s">
        <v>20</v>
      </c>
      <c r="D257" s="41" t="s">
        <v>15</v>
      </c>
      <c r="E257" s="41" t="s">
        <v>39</v>
      </c>
      <c r="F257" s="41" t="s">
        <v>17</v>
      </c>
      <c r="G257" s="41" t="s">
        <v>18</v>
      </c>
      <c r="H257" s="42">
        <v>45179.0</v>
      </c>
      <c r="I257" s="41">
        <v>162.0</v>
      </c>
      <c r="J257" s="43">
        <v>325.07</v>
      </c>
      <c r="K257" s="43">
        <v>300.32</v>
      </c>
      <c r="L257" s="43">
        <v>52661.34</v>
      </c>
      <c r="M257" s="43">
        <v>48651.84</v>
      </c>
      <c r="N257" s="43">
        <v>4009.5</v>
      </c>
      <c r="O257" s="44">
        <v>0.07613744731903899</v>
      </c>
    </row>
    <row r="258" ht="22.5" customHeight="1">
      <c r="B258" s="41" t="s">
        <v>286</v>
      </c>
      <c r="C258" s="41" t="s">
        <v>25</v>
      </c>
      <c r="D258" s="41" t="s">
        <v>29</v>
      </c>
      <c r="E258" s="41" t="s">
        <v>46</v>
      </c>
      <c r="F258" s="41" t="s">
        <v>27</v>
      </c>
      <c r="G258" s="41" t="s">
        <v>31</v>
      </c>
      <c r="H258" s="42">
        <v>45180.0</v>
      </c>
      <c r="I258" s="41">
        <v>231.0</v>
      </c>
      <c r="J258" s="43">
        <v>91.51</v>
      </c>
      <c r="K258" s="43">
        <v>303.95</v>
      </c>
      <c r="L258" s="43">
        <v>21138.81</v>
      </c>
      <c r="M258" s="43">
        <v>70212.45</v>
      </c>
      <c r="N258" s="43">
        <v>-49073.64</v>
      </c>
      <c r="O258" s="44">
        <v>-2.321494918588132</v>
      </c>
    </row>
    <row r="259" ht="22.5" customHeight="1">
      <c r="B259" s="41" t="s">
        <v>287</v>
      </c>
      <c r="C259" s="41" t="s">
        <v>25</v>
      </c>
      <c r="D259" s="41" t="s">
        <v>54</v>
      </c>
      <c r="E259" s="41" t="s">
        <v>22</v>
      </c>
      <c r="F259" s="41" t="s">
        <v>27</v>
      </c>
      <c r="G259" s="41" t="s">
        <v>31</v>
      </c>
      <c r="H259" s="42">
        <v>45181.0</v>
      </c>
      <c r="I259" s="41">
        <v>215.0</v>
      </c>
      <c r="J259" s="43">
        <v>183.58</v>
      </c>
      <c r="K259" s="43">
        <v>271.99</v>
      </c>
      <c r="L259" s="43">
        <v>39469.700000000004</v>
      </c>
      <c r="M259" s="43">
        <v>58477.85</v>
      </c>
      <c r="N259" s="43">
        <v>-19008.149999999994</v>
      </c>
      <c r="O259" s="44">
        <v>-0.4815884083233466</v>
      </c>
    </row>
    <row r="260" ht="22.5" customHeight="1">
      <c r="B260" s="41" t="s">
        <v>288</v>
      </c>
      <c r="C260" s="41" t="s">
        <v>14</v>
      </c>
      <c r="D260" s="41" t="s">
        <v>29</v>
      </c>
      <c r="E260" s="41" t="s">
        <v>30</v>
      </c>
      <c r="F260" s="41" t="s">
        <v>27</v>
      </c>
      <c r="G260" s="41" t="s">
        <v>18</v>
      </c>
      <c r="H260" s="42">
        <v>45182.0</v>
      </c>
      <c r="I260" s="41">
        <v>464.0</v>
      </c>
      <c r="J260" s="43">
        <v>453.42</v>
      </c>
      <c r="K260" s="43">
        <v>302.99</v>
      </c>
      <c r="L260" s="43">
        <v>210386.88</v>
      </c>
      <c r="M260" s="43">
        <v>140587.36000000002</v>
      </c>
      <c r="N260" s="43">
        <v>69799.51999999999</v>
      </c>
      <c r="O260" s="44">
        <v>0.33176745622160464</v>
      </c>
    </row>
    <row r="261" ht="22.5" customHeight="1">
      <c r="B261" s="41" t="s">
        <v>289</v>
      </c>
      <c r="C261" s="41" t="s">
        <v>14</v>
      </c>
      <c r="D261" s="41" t="s">
        <v>54</v>
      </c>
      <c r="E261" s="41" t="s">
        <v>26</v>
      </c>
      <c r="F261" s="41" t="s">
        <v>17</v>
      </c>
      <c r="G261" s="41" t="s">
        <v>23</v>
      </c>
      <c r="H261" s="42">
        <v>45183.0</v>
      </c>
      <c r="I261" s="41">
        <v>282.0</v>
      </c>
      <c r="J261" s="43">
        <v>249.64520588235297</v>
      </c>
      <c r="K261" s="43">
        <v>337.1</v>
      </c>
      <c r="L261" s="43">
        <v>70399.94805882353</v>
      </c>
      <c r="M261" s="43">
        <v>95062.20000000001</v>
      </c>
      <c r="N261" s="43">
        <v>-24662.25194117648</v>
      </c>
      <c r="O261" s="44">
        <v>-0.35031633717356775</v>
      </c>
    </row>
    <row r="262" ht="22.5" customHeight="1">
      <c r="B262" s="41" t="s">
        <v>290</v>
      </c>
      <c r="C262" s="41" t="s">
        <v>52</v>
      </c>
      <c r="D262" s="41" t="s">
        <v>34</v>
      </c>
      <c r="E262" s="41" t="s">
        <v>46</v>
      </c>
      <c r="F262" s="41" t="s">
        <v>17</v>
      </c>
      <c r="G262" s="41" t="s">
        <v>23</v>
      </c>
      <c r="H262" s="42">
        <v>45184.0</v>
      </c>
      <c r="I262" s="41">
        <v>391.0</v>
      </c>
      <c r="J262" s="43">
        <v>280.54</v>
      </c>
      <c r="K262" s="43">
        <v>189.19</v>
      </c>
      <c r="L262" s="43">
        <v>109691.14000000001</v>
      </c>
      <c r="M262" s="43">
        <v>73973.29</v>
      </c>
      <c r="N262" s="43">
        <v>35717.85000000002</v>
      </c>
      <c r="O262" s="44">
        <v>0.3256220146859629</v>
      </c>
    </row>
    <row r="263" ht="22.5" customHeight="1">
      <c r="B263" s="41" t="s">
        <v>291</v>
      </c>
      <c r="C263" s="41" t="s">
        <v>20</v>
      </c>
      <c r="D263" s="41" t="s">
        <v>54</v>
      </c>
      <c r="E263" s="41" t="s">
        <v>16</v>
      </c>
      <c r="F263" s="41" t="s">
        <v>17</v>
      </c>
      <c r="G263" s="41" t="s">
        <v>18</v>
      </c>
      <c r="H263" s="42">
        <v>45185.0</v>
      </c>
      <c r="I263" s="41">
        <v>245.0</v>
      </c>
      <c r="J263" s="43">
        <v>131.54</v>
      </c>
      <c r="K263" s="43">
        <v>201.82</v>
      </c>
      <c r="L263" s="43">
        <v>32227.3</v>
      </c>
      <c r="M263" s="43">
        <v>49445.9</v>
      </c>
      <c r="N263" s="43">
        <v>-17218.600000000002</v>
      </c>
      <c r="O263" s="44">
        <v>-0.5342861487000153</v>
      </c>
    </row>
    <row r="264" ht="22.5" customHeight="1">
      <c r="B264" s="41" t="s">
        <v>292</v>
      </c>
      <c r="C264" s="41" t="s">
        <v>14</v>
      </c>
      <c r="D264" s="41" t="s">
        <v>15</v>
      </c>
      <c r="E264" s="41" t="s">
        <v>30</v>
      </c>
      <c r="F264" s="41" t="s">
        <v>17</v>
      </c>
      <c r="G264" s="41" t="s">
        <v>18</v>
      </c>
      <c r="H264" s="42">
        <v>45186.0</v>
      </c>
      <c r="I264" s="41">
        <v>349.0</v>
      </c>
      <c r="J264" s="43">
        <v>154.52</v>
      </c>
      <c r="K264" s="43">
        <v>51.64</v>
      </c>
      <c r="L264" s="43">
        <v>53927.48</v>
      </c>
      <c r="M264" s="43">
        <v>18022.36</v>
      </c>
      <c r="N264" s="43">
        <v>35905.12</v>
      </c>
      <c r="O264" s="44">
        <v>0.6658037794460264</v>
      </c>
    </row>
    <row r="265" ht="22.5" customHeight="1">
      <c r="B265" s="41" t="s">
        <v>293</v>
      </c>
      <c r="C265" s="41" t="s">
        <v>25</v>
      </c>
      <c r="D265" s="41" t="s">
        <v>21</v>
      </c>
      <c r="E265" s="41" t="s">
        <v>22</v>
      </c>
      <c r="F265" s="41" t="s">
        <v>27</v>
      </c>
      <c r="G265" s="41" t="s">
        <v>31</v>
      </c>
      <c r="H265" s="42">
        <v>45187.0</v>
      </c>
      <c r="I265" s="41">
        <v>237.0</v>
      </c>
      <c r="J265" s="43">
        <v>249.64520588235297</v>
      </c>
      <c r="K265" s="43">
        <v>155.38</v>
      </c>
      <c r="L265" s="43">
        <v>59165.91379411765</v>
      </c>
      <c r="M265" s="43">
        <v>36825.06</v>
      </c>
      <c r="N265" s="43">
        <v>22340.853794117655</v>
      </c>
      <c r="O265" s="44">
        <v>0.3775966998812551</v>
      </c>
    </row>
    <row r="266" ht="22.5" customHeight="1">
      <c r="B266" s="41" t="s">
        <v>294</v>
      </c>
      <c r="C266" s="41" t="s">
        <v>52</v>
      </c>
      <c r="D266" s="41" t="s">
        <v>54</v>
      </c>
      <c r="E266" s="41" t="s">
        <v>30</v>
      </c>
      <c r="F266" s="41" t="s">
        <v>27</v>
      </c>
      <c r="G266" s="41" t="s">
        <v>18</v>
      </c>
      <c r="H266" s="42">
        <v>45188.0</v>
      </c>
      <c r="I266" s="41">
        <v>18.0</v>
      </c>
      <c r="J266" s="43">
        <v>426.33</v>
      </c>
      <c r="K266" s="43">
        <v>258.06</v>
      </c>
      <c r="L266" s="43">
        <v>7673.94</v>
      </c>
      <c r="M266" s="43">
        <v>4645.08</v>
      </c>
      <c r="N266" s="43">
        <v>3028.8599999999997</v>
      </c>
      <c r="O266" s="44">
        <v>0.3946942509323763</v>
      </c>
    </row>
    <row r="267" ht="22.5" customHeight="1">
      <c r="B267" s="41" t="s">
        <v>295</v>
      </c>
      <c r="C267" s="41" t="s">
        <v>25</v>
      </c>
      <c r="D267" s="41" t="s">
        <v>54</v>
      </c>
      <c r="E267" s="41" t="s">
        <v>46</v>
      </c>
      <c r="F267" s="41" t="s">
        <v>27</v>
      </c>
      <c r="G267" s="41" t="s">
        <v>23</v>
      </c>
      <c r="H267" s="42">
        <v>45189.0</v>
      </c>
      <c r="I267" s="41">
        <v>175.0</v>
      </c>
      <c r="J267" s="43">
        <v>337.36</v>
      </c>
      <c r="K267" s="43">
        <v>312.6</v>
      </c>
      <c r="L267" s="43">
        <v>59038.0</v>
      </c>
      <c r="M267" s="43">
        <v>54705.00000000001</v>
      </c>
      <c r="N267" s="43">
        <v>4332.999999999993</v>
      </c>
      <c r="O267" s="44">
        <v>0.0733934076357599</v>
      </c>
    </row>
    <row r="268" ht="22.5" customHeight="1">
      <c r="B268" s="41" t="s">
        <v>296</v>
      </c>
      <c r="C268" s="41" t="s">
        <v>25</v>
      </c>
      <c r="D268" s="41" t="s">
        <v>21</v>
      </c>
      <c r="E268" s="41" t="s">
        <v>39</v>
      </c>
      <c r="F268" s="41" t="s">
        <v>17</v>
      </c>
      <c r="G268" s="41" t="s">
        <v>18</v>
      </c>
      <c r="H268" s="42">
        <v>45190.0</v>
      </c>
      <c r="I268" s="41">
        <v>441.0</v>
      </c>
      <c r="J268" s="43">
        <v>405.72</v>
      </c>
      <c r="K268" s="43">
        <v>88.45</v>
      </c>
      <c r="L268" s="43">
        <v>178922.52000000002</v>
      </c>
      <c r="M268" s="43">
        <v>39006.450000000004</v>
      </c>
      <c r="N268" s="43">
        <v>139916.07</v>
      </c>
      <c r="O268" s="44">
        <v>0.7819925071477866</v>
      </c>
    </row>
    <row r="269" ht="22.5" customHeight="1">
      <c r="B269" s="41" t="s">
        <v>297</v>
      </c>
      <c r="C269" s="41" t="s">
        <v>14</v>
      </c>
      <c r="D269" s="41" t="s">
        <v>15</v>
      </c>
      <c r="E269" s="41" t="s">
        <v>26</v>
      </c>
      <c r="F269" s="41" t="s">
        <v>27</v>
      </c>
      <c r="G269" s="41" t="s">
        <v>31</v>
      </c>
      <c r="H269" s="42">
        <v>45191.0</v>
      </c>
      <c r="I269" s="41">
        <v>453.0</v>
      </c>
      <c r="J269" s="43">
        <v>384.49</v>
      </c>
      <c r="K269" s="43">
        <v>56.85</v>
      </c>
      <c r="L269" s="43">
        <v>174173.97</v>
      </c>
      <c r="M269" s="43">
        <v>25753.05</v>
      </c>
      <c r="N269" s="43">
        <v>148420.92</v>
      </c>
      <c r="O269" s="44">
        <v>0.8521417982262218</v>
      </c>
    </row>
    <row r="270" ht="22.5" customHeight="1">
      <c r="B270" s="41" t="s">
        <v>298</v>
      </c>
      <c r="C270" s="41" t="s">
        <v>52</v>
      </c>
      <c r="D270" s="41" t="s">
        <v>29</v>
      </c>
      <c r="E270" s="41" t="s">
        <v>30</v>
      </c>
      <c r="F270" s="41" t="s">
        <v>17</v>
      </c>
      <c r="G270" s="41" t="s">
        <v>31</v>
      </c>
      <c r="H270" s="42">
        <v>45192.0</v>
      </c>
      <c r="I270" s="41">
        <v>328.0</v>
      </c>
      <c r="J270" s="43">
        <v>79.1</v>
      </c>
      <c r="K270" s="43">
        <v>265.89</v>
      </c>
      <c r="L270" s="43">
        <v>25944.8</v>
      </c>
      <c r="M270" s="43">
        <v>87211.92</v>
      </c>
      <c r="N270" s="43">
        <v>-61267.119999999995</v>
      </c>
      <c r="O270" s="44">
        <v>-2.361441213653603</v>
      </c>
    </row>
    <row r="271" ht="22.5" customHeight="1">
      <c r="B271" s="41" t="s">
        <v>299</v>
      </c>
      <c r="C271" s="41" t="s">
        <v>20</v>
      </c>
      <c r="D271" s="41" t="s">
        <v>54</v>
      </c>
      <c r="E271" s="41" t="s">
        <v>46</v>
      </c>
      <c r="F271" s="41" t="s">
        <v>27</v>
      </c>
      <c r="G271" s="41" t="s">
        <v>31</v>
      </c>
      <c r="H271" s="42">
        <v>45193.0</v>
      </c>
      <c r="I271" s="41">
        <v>223.0</v>
      </c>
      <c r="J271" s="43">
        <v>214.85</v>
      </c>
      <c r="K271" s="43">
        <v>2.75</v>
      </c>
      <c r="L271" s="43">
        <v>47911.549999999996</v>
      </c>
      <c r="M271" s="43">
        <v>613.25</v>
      </c>
      <c r="N271" s="43">
        <v>47298.299999999996</v>
      </c>
      <c r="O271" s="44">
        <v>0.9872003723528043</v>
      </c>
    </row>
    <row r="272" ht="22.5" customHeight="1">
      <c r="B272" s="41" t="s">
        <v>300</v>
      </c>
      <c r="C272" s="41" t="s">
        <v>20</v>
      </c>
      <c r="D272" s="41" t="s">
        <v>21</v>
      </c>
      <c r="E272" s="41" t="s">
        <v>16</v>
      </c>
      <c r="F272" s="41" t="s">
        <v>17</v>
      </c>
      <c r="G272" s="41" t="s">
        <v>31</v>
      </c>
      <c r="H272" s="42">
        <v>45194.0</v>
      </c>
      <c r="I272" s="41">
        <v>126.0</v>
      </c>
      <c r="J272" s="43">
        <v>80.73</v>
      </c>
      <c r="K272" s="43">
        <v>72.99</v>
      </c>
      <c r="L272" s="43">
        <v>10171.980000000001</v>
      </c>
      <c r="M272" s="43">
        <v>9196.74</v>
      </c>
      <c r="N272" s="43">
        <v>975.2400000000016</v>
      </c>
      <c r="O272" s="44">
        <v>0.09587513935340036</v>
      </c>
    </row>
    <row r="273" ht="22.5" customHeight="1">
      <c r="B273" s="41" t="s">
        <v>301</v>
      </c>
      <c r="C273" s="41" t="s">
        <v>14</v>
      </c>
      <c r="D273" s="41" t="s">
        <v>34</v>
      </c>
      <c r="E273" s="41" t="s">
        <v>22</v>
      </c>
      <c r="F273" s="41" t="s">
        <v>17</v>
      </c>
      <c r="G273" s="41" t="s">
        <v>31</v>
      </c>
      <c r="H273" s="42">
        <v>45195.0</v>
      </c>
      <c r="I273" s="41">
        <v>395.0</v>
      </c>
      <c r="J273" s="43">
        <v>121.44</v>
      </c>
      <c r="K273" s="43">
        <v>13.57</v>
      </c>
      <c r="L273" s="43">
        <v>47968.799999999996</v>
      </c>
      <c r="M273" s="43">
        <v>5360.150000000001</v>
      </c>
      <c r="N273" s="43">
        <v>42608.649999999994</v>
      </c>
      <c r="O273" s="44">
        <v>0.8882575757575757</v>
      </c>
    </row>
    <row r="274" ht="22.5" customHeight="1">
      <c r="B274" s="41" t="s">
        <v>302</v>
      </c>
      <c r="C274" s="41" t="s">
        <v>14</v>
      </c>
      <c r="D274" s="41" t="s">
        <v>21</v>
      </c>
      <c r="E274" s="41" t="s">
        <v>30</v>
      </c>
      <c r="F274" s="41" t="s">
        <v>27</v>
      </c>
      <c r="G274" s="41" t="s">
        <v>18</v>
      </c>
      <c r="H274" s="42">
        <v>45196.0</v>
      </c>
      <c r="I274" s="41">
        <v>353.0</v>
      </c>
      <c r="J274" s="43">
        <v>435.28</v>
      </c>
      <c r="K274" s="43">
        <v>68.42</v>
      </c>
      <c r="L274" s="43">
        <v>153653.84</v>
      </c>
      <c r="M274" s="43">
        <v>24152.260000000002</v>
      </c>
      <c r="N274" s="43">
        <v>129501.57999999999</v>
      </c>
      <c r="O274" s="44">
        <v>0.8428138209887888</v>
      </c>
    </row>
    <row r="275" ht="22.5" customHeight="1">
      <c r="B275" s="41" t="s">
        <v>303</v>
      </c>
      <c r="C275" s="41" t="s">
        <v>52</v>
      </c>
      <c r="D275" s="41" t="s">
        <v>34</v>
      </c>
      <c r="E275" s="41" t="s">
        <v>30</v>
      </c>
      <c r="F275" s="41" t="s">
        <v>27</v>
      </c>
      <c r="G275" s="41" t="s">
        <v>18</v>
      </c>
      <c r="H275" s="42">
        <v>45197.0</v>
      </c>
      <c r="I275" s="41">
        <v>81.0</v>
      </c>
      <c r="J275" s="43">
        <v>239.08</v>
      </c>
      <c r="K275" s="43">
        <v>74.17</v>
      </c>
      <c r="L275" s="43">
        <v>19365.48</v>
      </c>
      <c r="M275" s="43">
        <v>6007.77</v>
      </c>
      <c r="N275" s="43">
        <v>13357.71</v>
      </c>
      <c r="O275" s="44">
        <v>0.6897691149406057</v>
      </c>
    </row>
    <row r="276" ht="22.5" customHeight="1">
      <c r="B276" s="41" t="s">
        <v>304</v>
      </c>
      <c r="C276" s="41" t="s">
        <v>20</v>
      </c>
      <c r="D276" s="41" t="s">
        <v>15</v>
      </c>
      <c r="E276" s="41" t="s">
        <v>26</v>
      </c>
      <c r="F276" s="41" t="s">
        <v>27</v>
      </c>
      <c r="G276" s="41" t="s">
        <v>18</v>
      </c>
      <c r="H276" s="42">
        <v>45198.0</v>
      </c>
      <c r="I276" s="41">
        <v>404.0</v>
      </c>
      <c r="J276" s="43">
        <v>270.0</v>
      </c>
      <c r="K276" s="43">
        <v>156.29</v>
      </c>
      <c r="L276" s="43">
        <v>109080.0</v>
      </c>
      <c r="M276" s="43">
        <v>63141.159999999996</v>
      </c>
      <c r="N276" s="43">
        <v>45938.840000000004</v>
      </c>
      <c r="O276" s="44">
        <v>0.42114814814814816</v>
      </c>
    </row>
    <row r="277" ht="22.5" customHeight="1">
      <c r="B277" s="41" t="s">
        <v>305</v>
      </c>
      <c r="C277" s="41" t="s">
        <v>20</v>
      </c>
      <c r="D277" s="41" t="s">
        <v>29</v>
      </c>
      <c r="E277" s="41" t="s">
        <v>26</v>
      </c>
      <c r="F277" s="41" t="s">
        <v>27</v>
      </c>
      <c r="G277" s="41" t="s">
        <v>18</v>
      </c>
      <c r="H277" s="42">
        <v>45199.0</v>
      </c>
      <c r="I277" s="41">
        <v>73.0</v>
      </c>
      <c r="J277" s="43">
        <v>93.33</v>
      </c>
      <c r="K277" s="43">
        <v>162.13</v>
      </c>
      <c r="L277" s="43">
        <v>6813.09</v>
      </c>
      <c r="M277" s="43">
        <v>11835.49</v>
      </c>
      <c r="N277" s="43">
        <v>-5022.4</v>
      </c>
      <c r="O277" s="44">
        <v>-0.7371691846137362</v>
      </c>
    </row>
    <row r="278" ht="22.5" customHeight="1">
      <c r="B278" s="41" t="s">
        <v>306</v>
      </c>
      <c r="C278" s="41" t="s">
        <v>20</v>
      </c>
      <c r="D278" s="41" t="s">
        <v>21</v>
      </c>
      <c r="E278" s="41" t="s">
        <v>16</v>
      </c>
      <c r="F278" s="41" t="s">
        <v>17</v>
      </c>
      <c r="G278" s="41" t="s">
        <v>31</v>
      </c>
      <c r="H278" s="42">
        <v>45200.0</v>
      </c>
      <c r="I278" s="41">
        <v>214.0</v>
      </c>
      <c r="J278" s="43">
        <v>159.57</v>
      </c>
      <c r="K278" s="43">
        <v>349.96</v>
      </c>
      <c r="L278" s="43">
        <v>34147.979999999996</v>
      </c>
      <c r="M278" s="43">
        <v>74891.44</v>
      </c>
      <c r="N278" s="43">
        <v>-40743.46000000001</v>
      </c>
      <c r="O278" s="44">
        <v>-1.1931440747007587</v>
      </c>
    </row>
    <row r="279" ht="22.5" customHeight="1">
      <c r="B279" s="41" t="s">
        <v>307</v>
      </c>
      <c r="C279" s="41" t="s">
        <v>25</v>
      </c>
      <c r="D279" s="41" t="s">
        <v>54</v>
      </c>
      <c r="E279" s="41" t="s">
        <v>16</v>
      </c>
      <c r="F279" s="41" t="s">
        <v>27</v>
      </c>
      <c r="G279" s="41" t="s">
        <v>23</v>
      </c>
      <c r="H279" s="42">
        <v>45201.0</v>
      </c>
      <c r="I279" s="41">
        <v>218.0</v>
      </c>
      <c r="J279" s="43">
        <v>118.97</v>
      </c>
      <c r="K279" s="43">
        <v>205.02</v>
      </c>
      <c r="L279" s="43">
        <v>25935.46</v>
      </c>
      <c r="M279" s="43">
        <v>44694.36</v>
      </c>
      <c r="N279" s="43">
        <v>-18758.9</v>
      </c>
      <c r="O279" s="44">
        <v>-0.7232915861141465</v>
      </c>
    </row>
    <row r="280" ht="22.5" customHeight="1">
      <c r="B280" s="41" t="s">
        <v>308</v>
      </c>
      <c r="C280" s="41" t="s">
        <v>20</v>
      </c>
      <c r="D280" s="41" t="s">
        <v>15</v>
      </c>
      <c r="E280" s="41" t="s">
        <v>46</v>
      </c>
      <c r="F280" s="41" t="s">
        <v>27</v>
      </c>
      <c r="G280" s="41" t="s">
        <v>18</v>
      </c>
      <c r="H280" s="42">
        <v>45202.0</v>
      </c>
      <c r="I280" s="41">
        <v>81.0</v>
      </c>
      <c r="J280" s="43">
        <v>107.06</v>
      </c>
      <c r="K280" s="43">
        <v>289.92</v>
      </c>
      <c r="L280" s="43">
        <v>8671.86</v>
      </c>
      <c r="M280" s="43">
        <v>23483.52</v>
      </c>
      <c r="N280" s="43">
        <v>-14811.66</v>
      </c>
      <c r="O280" s="44">
        <v>-1.7080141976461796</v>
      </c>
    </row>
    <row r="281" ht="22.5" customHeight="1">
      <c r="B281" s="41" t="s">
        <v>309</v>
      </c>
      <c r="C281" s="41" t="s">
        <v>25</v>
      </c>
      <c r="D281" s="41" t="s">
        <v>21</v>
      </c>
      <c r="E281" s="41" t="s">
        <v>46</v>
      </c>
      <c r="F281" s="41" t="s">
        <v>27</v>
      </c>
      <c r="G281" s="41" t="s">
        <v>23</v>
      </c>
      <c r="H281" s="42">
        <v>45203.0</v>
      </c>
      <c r="I281" s="41">
        <v>286.0</v>
      </c>
      <c r="J281" s="43">
        <v>320.79</v>
      </c>
      <c r="K281" s="43">
        <v>43.45</v>
      </c>
      <c r="L281" s="43">
        <v>91745.94</v>
      </c>
      <c r="M281" s="43">
        <v>12426.7</v>
      </c>
      <c r="N281" s="43">
        <v>79319.24</v>
      </c>
      <c r="O281" s="44">
        <v>0.8645531344493282</v>
      </c>
    </row>
    <row r="282" ht="22.5" customHeight="1">
      <c r="B282" s="41" t="s">
        <v>310</v>
      </c>
      <c r="C282" s="41" t="s">
        <v>52</v>
      </c>
      <c r="D282" s="41" t="s">
        <v>54</v>
      </c>
      <c r="E282" s="41" t="s">
        <v>16</v>
      </c>
      <c r="F282" s="41" t="s">
        <v>17</v>
      </c>
      <c r="G282" s="41" t="s">
        <v>18</v>
      </c>
      <c r="H282" s="42">
        <v>45204.0</v>
      </c>
      <c r="I282" s="41">
        <v>283.0</v>
      </c>
      <c r="J282" s="43">
        <v>132.16</v>
      </c>
      <c r="K282" s="43">
        <v>91.72</v>
      </c>
      <c r="L282" s="43">
        <v>37401.28</v>
      </c>
      <c r="M282" s="43">
        <v>25956.76</v>
      </c>
      <c r="N282" s="43">
        <v>11444.52</v>
      </c>
      <c r="O282" s="44">
        <v>0.30599273607748184</v>
      </c>
    </row>
    <row r="283" ht="22.5" customHeight="1">
      <c r="B283" s="41" t="s">
        <v>311</v>
      </c>
      <c r="C283" s="41" t="s">
        <v>25</v>
      </c>
      <c r="D283" s="41" t="s">
        <v>21</v>
      </c>
      <c r="E283" s="41" t="s">
        <v>16</v>
      </c>
      <c r="F283" s="41" t="s">
        <v>17</v>
      </c>
      <c r="G283" s="41" t="s">
        <v>18</v>
      </c>
      <c r="H283" s="42">
        <v>45205.0</v>
      </c>
      <c r="I283" s="41">
        <v>487.0</v>
      </c>
      <c r="J283" s="43">
        <v>317.85</v>
      </c>
      <c r="K283" s="43">
        <v>281.77</v>
      </c>
      <c r="L283" s="43">
        <v>154792.95</v>
      </c>
      <c r="M283" s="43">
        <v>137221.99</v>
      </c>
      <c r="N283" s="43">
        <v>17570.96000000002</v>
      </c>
      <c r="O283" s="44">
        <v>0.11351266320591487</v>
      </c>
    </row>
    <row r="284" ht="22.5" customHeight="1">
      <c r="B284" s="41" t="s">
        <v>312</v>
      </c>
      <c r="C284" s="41" t="s">
        <v>52</v>
      </c>
      <c r="D284" s="41" t="s">
        <v>34</v>
      </c>
      <c r="E284" s="41" t="s">
        <v>22</v>
      </c>
      <c r="F284" s="41" t="s">
        <v>27</v>
      </c>
      <c r="G284" s="41" t="s">
        <v>23</v>
      </c>
      <c r="H284" s="42">
        <v>45206.0</v>
      </c>
      <c r="I284" s="41">
        <v>329.0</v>
      </c>
      <c r="J284" s="43">
        <v>33.94</v>
      </c>
      <c r="K284" s="43">
        <v>23.02</v>
      </c>
      <c r="L284" s="43">
        <v>11166.259999999998</v>
      </c>
      <c r="M284" s="43">
        <v>7573.58</v>
      </c>
      <c r="N284" s="43">
        <v>3592.6799999999985</v>
      </c>
      <c r="O284" s="44">
        <v>0.32174425456688266</v>
      </c>
    </row>
    <row r="285" ht="22.5" customHeight="1">
      <c r="B285" s="41" t="s">
        <v>313</v>
      </c>
      <c r="C285" s="41" t="s">
        <v>20</v>
      </c>
      <c r="D285" s="41" t="s">
        <v>21</v>
      </c>
      <c r="E285" s="41" t="s">
        <v>26</v>
      </c>
      <c r="F285" s="41" t="s">
        <v>17</v>
      </c>
      <c r="G285" s="41" t="s">
        <v>31</v>
      </c>
      <c r="H285" s="42">
        <v>45207.0</v>
      </c>
      <c r="I285" s="41">
        <v>347.0</v>
      </c>
      <c r="J285" s="43">
        <v>75.18</v>
      </c>
      <c r="K285" s="43">
        <v>195.67</v>
      </c>
      <c r="L285" s="43">
        <v>26087.460000000003</v>
      </c>
      <c r="M285" s="43">
        <v>67897.48999999999</v>
      </c>
      <c r="N285" s="43">
        <v>-41810.029999999984</v>
      </c>
      <c r="O285" s="44">
        <v>-1.602686884809789</v>
      </c>
    </row>
    <row r="286" ht="22.5" customHeight="1">
      <c r="B286" s="41" t="s">
        <v>314</v>
      </c>
      <c r="C286" s="41" t="s">
        <v>20</v>
      </c>
      <c r="D286" s="41" t="s">
        <v>21</v>
      </c>
      <c r="E286" s="41" t="s">
        <v>46</v>
      </c>
      <c r="F286" s="41" t="s">
        <v>27</v>
      </c>
      <c r="G286" s="41" t="s">
        <v>18</v>
      </c>
      <c r="H286" s="42">
        <v>45208.0</v>
      </c>
      <c r="I286" s="41">
        <v>375.0</v>
      </c>
      <c r="J286" s="43">
        <v>140.9</v>
      </c>
      <c r="K286" s="43">
        <v>240.55</v>
      </c>
      <c r="L286" s="43">
        <v>52837.5</v>
      </c>
      <c r="M286" s="43">
        <v>90206.25</v>
      </c>
      <c r="N286" s="43">
        <v>-37368.75</v>
      </c>
      <c r="O286" s="44">
        <v>-0.7072391767210788</v>
      </c>
    </row>
    <row r="287" ht="22.5" customHeight="1">
      <c r="B287" s="41" t="s">
        <v>315</v>
      </c>
      <c r="C287" s="41" t="s">
        <v>52</v>
      </c>
      <c r="D287" s="41" t="s">
        <v>21</v>
      </c>
      <c r="E287" s="41" t="s">
        <v>26</v>
      </c>
      <c r="F287" s="41" t="s">
        <v>17</v>
      </c>
      <c r="G287" s="41" t="s">
        <v>18</v>
      </c>
      <c r="H287" s="42">
        <v>45209.0</v>
      </c>
      <c r="I287" s="41">
        <v>104.0</v>
      </c>
      <c r="J287" s="43">
        <v>300.54</v>
      </c>
      <c r="K287" s="43">
        <v>241.65</v>
      </c>
      <c r="L287" s="43">
        <v>31256.160000000003</v>
      </c>
      <c r="M287" s="43">
        <v>25131.600000000002</v>
      </c>
      <c r="N287" s="43">
        <v>6124.560000000001</v>
      </c>
      <c r="O287" s="44">
        <v>0.1959472948692354</v>
      </c>
    </row>
    <row r="288" ht="22.5" customHeight="1">
      <c r="B288" s="41" t="s">
        <v>316</v>
      </c>
      <c r="C288" s="41" t="s">
        <v>14</v>
      </c>
      <c r="D288" s="41" t="s">
        <v>15</v>
      </c>
      <c r="E288" s="41" t="s">
        <v>39</v>
      </c>
      <c r="F288" s="41" t="s">
        <v>17</v>
      </c>
      <c r="G288" s="41" t="s">
        <v>18</v>
      </c>
      <c r="H288" s="42">
        <v>45210.0</v>
      </c>
      <c r="I288" s="41">
        <v>175.0</v>
      </c>
      <c r="J288" s="43">
        <v>339.54</v>
      </c>
      <c r="K288" s="43">
        <v>11.13</v>
      </c>
      <c r="L288" s="43">
        <v>59419.5</v>
      </c>
      <c r="M288" s="43">
        <v>1947.7500000000002</v>
      </c>
      <c r="N288" s="43">
        <v>57471.75</v>
      </c>
      <c r="O288" s="44">
        <v>0.9672203569535254</v>
      </c>
    </row>
    <row r="289" ht="22.5" customHeight="1">
      <c r="B289" s="41" t="s">
        <v>317</v>
      </c>
      <c r="C289" s="41" t="s">
        <v>52</v>
      </c>
      <c r="D289" s="41" t="s">
        <v>21</v>
      </c>
      <c r="E289" s="41" t="s">
        <v>16</v>
      </c>
      <c r="F289" s="41" t="s">
        <v>17</v>
      </c>
      <c r="G289" s="41" t="s">
        <v>23</v>
      </c>
      <c r="H289" s="42">
        <v>45211.0</v>
      </c>
      <c r="I289" s="41">
        <v>41.0</v>
      </c>
      <c r="J289" s="43">
        <v>224.14</v>
      </c>
      <c r="K289" s="43">
        <v>130.2</v>
      </c>
      <c r="L289" s="43">
        <v>9189.74</v>
      </c>
      <c r="M289" s="43">
        <v>5338.2</v>
      </c>
      <c r="N289" s="43">
        <v>3851.54</v>
      </c>
      <c r="O289" s="44">
        <v>0.41911305434103685</v>
      </c>
    </row>
    <row r="290" ht="22.5" customHeight="1">
      <c r="B290" s="41" t="s">
        <v>318</v>
      </c>
      <c r="C290" s="41" t="s">
        <v>14</v>
      </c>
      <c r="D290" s="41" t="s">
        <v>54</v>
      </c>
      <c r="E290" s="41" t="s">
        <v>22</v>
      </c>
      <c r="F290" s="41" t="s">
        <v>17</v>
      </c>
      <c r="G290" s="41" t="s">
        <v>31</v>
      </c>
      <c r="H290" s="42">
        <v>45212.0</v>
      </c>
      <c r="I290" s="41">
        <v>20.0</v>
      </c>
      <c r="J290" s="43">
        <v>225.67</v>
      </c>
      <c r="K290" s="43">
        <v>255.32</v>
      </c>
      <c r="L290" s="43">
        <v>4513.4</v>
      </c>
      <c r="M290" s="43">
        <v>5106.4</v>
      </c>
      <c r="N290" s="43">
        <v>-593.0</v>
      </c>
      <c r="O290" s="44">
        <v>-0.13138653786502416</v>
      </c>
    </row>
    <row r="291" ht="22.5" customHeight="1">
      <c r="B291" s="41" t="s">
        <v>319</v>
      </c>
      <c r="C291" s="41" t="s">
        <v>25</v>
      </c>
      <c r="D291" s="41" t="s">
        <v>34</v>
      </c>
      <c r="E291" s="41" t="s">
        <v>30</v>
      </c>
      <c r="F291" s="41" t="s">
        <v>27</v>
      </c>
      <c r="G291" s="41" t="s">
        <v>23</v>
      </c>
      <c r="H291" s="42">
        <v>45213.0</v>
      </c>
      <c r="I291" s="41">
        <v>310.0</v>
      </c>
      <c r="J291" s="43">
        <v>363.64</v>
      </c>
      <c r="K291" s="43">
        <v>61.3</v>
      </c>
      <c r="L291" s="43">
        <v>112728.4</v>
      </c>
      <c r="M291" s="43">
        <v>19003.0</v>
      </c>
      <c r="N291" s="43">
        <v>93725.4</v>
      </c>
      <c r="O291" s="44">
        <v>0.8314266857331427</v>
      </c>
    </row>
    <row r="292" ht="22.5" customHeight="1">
      <c r="B292" s="41" t="s">
        <v>320</v>
      </c>
      <c r="C292" s="41" t="s">
        <v>25</v>
      </c>
      <c r="D292" s="41" t="s">
        <v>34</v>
      </c>
      <c r="E292" s="41" t="s">
        <v>22</v>
      </c>
      <c r="F292" s="41" t="s">
        <v>27</v>
      </c>
      <c r="G292" s="41" t="s">
        <v>23</v>
      </c>
      <c r="H292" s="42">
        <v>45214.0</v>
      </c>
      <c r="I292" s="41">
        <v>226.0</v>
      </c>
      <c r="J292" s="43">
        <v>249.64520588235297</v>
      </c>
      <c r="K292" s="43">
        <v>278.78</v>
      </c>
      <c r="L292" s="43">
        <v>56419.81652941177</v>
      </c>
      <c r="M292" s="43">
        <v>63004.27999999999</v>
      </c>
      <c r="N292" s="43">
        <v>-6584.46347058822</v>
      </c>
      <c r="O292" s="44">
        <v>-0.11670480117842505</v>
      </c>
    </row>
    <row r="293" ht="22.5" customHeight="1">
      <c r="B293" s="41" t="s">
        <v>321</v>
      </c>
      <c r="C293" s="41" t="s">
        <v>25</v>
      </c>
      <c r="D293" s="41" t="s">
        <v>21</v>
      </c>
      <c r="E293" s="41" t="s">
        <v>22</v>
      </c>
      <c r="F293" s="41" t="s">
        <v>27</v>
      </c>
      <c r="G293" s="41" t="s">
        <v>31</v>
      </c>
      <c r="H293" s="42">
        <v>45215.0</v>
      </c>
      <c r="I293" s="41">
        <v>255.9029411764706</v>
      </c>
      <c r="J293" s="43">
        <v>173.84</v>
      </c>
      <c r="K293" s="43">
        <v>298.88</v>
      </c>
      <c r="L293" s="43">
        <v>44486.16729411765</v>
      </c>
      <c r="M293" s="43">
        <v>76484.27105882353</v>
      </c>
      <c r="N293" s="43">
        <v>-31998.103764705884</v>
      </c>
      <c r="O293" s="44">
        <v>-0.7192820984813622</v>
      </c>
    </row>
    <row r="294" ht="22.5" customHeight="1">
      <c r="B294" s="41" t="s">
        <v>322</v>
      </c>
      <c r="C294" s="41" t="s">
        <v>20</v>
      </c>
      <c r="D294" s="41" t="s">
        <v>15</v>
      </c>
      <c r="E294" s="41" t="s">
        <v>26</v>
      </c>
      <c r="F294" s="41" t="s">
        <v>17</v>
      </c>
      <c r="G294" s="41" t="s">
        <v>23</v>
      </c>
      <c r="H294" s="42">
        <v>45216.0</v>
      </c>
      <c r="I294" s="41">
        <v>111.0</v>
      </c>
      <c r="J294" s="43">
        <v>410.26</v>
      </c>
      <c r="K294" s="43">
        <v>392.82</v>
      </c>
      <c r="L294" s="43">
        <v>45538.86</v>
      </c>
      <c r="M294" s="43">
        <v>43603.02</v>
      </c>
      <c r="N294" s="43">
        <v>1935.8400000000038</v>
      </c>
      <c r="O294" s="44">
        <v>0.04250962804075473</v>
      </c>
    </row>
    <row r="295" ht="22.5" customHeight="1">
      <c r="B295" s="41" t="s">
        <v>323</v>
      </c>
      <c r="C295" s="41" t="s">
        <v>25</v>
      </c>
      <c r="D295" s="41" t="s">
        <v>15</v>
      </c>
      <c r="E295" s="41" t="s">
        <v>22</v>
      </c>
      <c r="F295" s="41" t="s">
        <v>27</v>
      </c>
      <c r="G295" s="41" t="s">
        <v>31</v>
      </c>
      <c r="H295" s="42">
        <v>45217.0</v>
      </c>
      <c r="I295" s="41">
        <v>434.0</v>
      </c>
      <c r="J295" s="43">
        <v>303.59</v>
      </c>
      <c r="K295" s="43">
        <v>85.52</v>
      </c>
      <c r="L295" s="43">
        <v>131758.06</v>
      </c>
      <c r="M295" s="43">
        <v>37115.68</v>
      </c>
      <c r="N295" s="43">
        <v>94642.38</v>
      </c>
      <c r="O295" s="44">
        <v>0.7183042919727264</v>
      </c>
    </row>
    <row r="296" ht="22.5" customHeight="1">
      <c r="B296" s="41" t="s">
        <v>324</v>
      </c>
      <c r="C296" s="41" t="s">
        <v>14</v>
      </c>
      <c r="D296" s="41" t="s">
        <v>54</v>
      </c>
      <c r="E296" s="41" t="s">
        <v>46</v>
      </c>
      <c r="F296" s="41" t="s">
        <v>27</v>
      </c>
      <c r="G296" s="41" t="s">
        <v>18</v>
      </c>
      <c r="H296" s="42">
        <v>45218.0</v>
      </c>
      <c r="I296" s="41">
        <v>401.0</v>
      </c>
      <c r="J296" s="43">
        <v>171.93</v>
      </c>
      <c r="K296" s="43">
        <v>330.4</v>
      </c>
      <c r="L296" s="43">
        <v>68943.93000000001</v>
      </c>
      <c r="M296" s="43">
        <v>132490.4</v>
      </c>
      <c r="N296" s="43">
        <v>-63546.46999999999</v>
      </c>
      <c r="O296" s="44">
        <v>-0.9217123247833418</v>
      </c>
    </row>
    <row r="297" ht="22.5" customHeight="1">
      <c r="B297" s="41" t="s">
        <v>325</v>
      </c>
      <c r="C297" s="41" t="s">
        <v>25</v>
      </c>
      <c r="D297" s="41" t="s">
        <v>21</v>
      </c>
      <c r="E297" s="41" t="s">
        <v>26</v>
      </c>
      <c r="F297" s="41" t="s">
        <v>27</v>
      </c>
      <c r="G297" s="41" t="s">
        <v>31</v>
      </c>
      <c r="H297" s="42">
        <v>45219.0</v>
      </c>
      <c r="I297" s="41">
        <v>276.0</v>
      </c>
      <c r="J297" s="43">
        <v>453.23</v>
      </c>
      <c r="K297" s="43">
        <v>209.08</v>
      </c>
      <c r="L297" s="43">
        <v>125091.48000000001</v>
      </c>
      <c r="M297" s="43">
        <v>57706.08</v>
      </c>
      <c r="N297" s="43">
        <v>67385.40000000001</v>
      </c>
      <c r="O297" s="44">
        <v>0.5386889658672197</v>
      </c>
    </row>
    <row r="298" ht="22.5" customHeight="1">
      <c r="B298" s="41" t="s">
        <v>326</v>
      </c>
      <c r="C298" s="41" t="s">
        <v>52</v>
      </c>
      <c r="D298" s="41" t="s">
        <v>34</v>
      </c>
      <c r="E298" s="41" t="s">
        <v>46</v>
      </c>
      <c r="F298" s="41" t="s">
        <v>17</v>
      </c>
      <c r="G298" s="41" t="s">
        <v>18</v>
      </c>
      <c r="H298" s="42">
        <v>45220.0</v>
      </c>
      <c r="I298" s="41">
        <v>255.9029411764706</v>
      </c>
      <c r="J298" s="43">
        <v>387.45</v>
      </c>
      <c r="K298" s="43">
        <v>150.64</v>
      </c>
      <c r="L298" s="43">
        <v>99149.59455882353</v>
      </c>
      <c r="M298" s="43">
        <v>38549.219058823524</v>
      </c>
      <c r="N298" s="43">
        <v>60600.37550000001</v>
      </c>
      <c r="O298" s="44">
        <v>0.6112014453477869</v>
      </c>
    </row>
    <row r="299" ht="22.5" customHeight="1">
      <c r="B299" s="41" t="s">
        <v>327</v>
      </c>
      <c r="C299" s="41" t="s">
        <v>52</v>
      </c>
      <c r="D299" s="41" t="s">
        <v>15</v>
      </c>
      <c r="E299" s="41" t="s">
        <v>30</v>
      </c>
      <c r="F299" s="41" t="s">
        <v>17</v>
      </c>
      <c r="G299" s="41" t="s">
        <v>23</v>
      </c>
      <c r="H299" s="42">
        <v>45221.0</v>
      </c>
      <c r="I299" s="41">
        <v>188.0</v>
      </c>
      <c r="J299" s="43">
        <v>136.12</v>
      </c>
      <c r="K299" s="43">
        <v>50.71</v>
      </c>
      <c r="L299" s="43">
        <v>25590.56</v>
      </c>
      <c r="M299" s="43">
        <v>9533.48</v>
      </c>
      <c r="N299" s="43">
        <v>16057.080000000002</v>
      </c>
      <c r="O299" s="44">
        <v>0.6274610637672642</v>
      </c>
    </row>
    <row r="300" ht="22.5" customHeight="1">
      <c r="B300" s="41" t="s">
        <v>328</v>
      </c>
      <c r="C300" s="41" t="s">
        <v>20</v>
      </c>
      <c r="D300" s="41" t="s">
        <v>21</v>
      </c>
      <c r="E300" s="41" t="s">
        <v>26</v>
      </c>
      <c r="F300" s="41" t="s">
        <v>17</v>
      </c>
      <c r="G300" s="41" t="s">
        <v>23</v>
      </c>
      <c r="H300" s="42">
        <v>45222.0</v>
      </c>
      <c r="I300" s="41">
        <v>97.0</v>
      </c>
      <c r="J300" s="43">
        <v>324.42</v>
      </c>
      <c r="K300" s="43">
        <v>294.73</v>
      </c>
      <c r="L300" s="43">
        <v>31468.74</v>
      </c>
      <c r="M300" s="43">
        <v>28588.81</v>
      </c>
      <c r="N300" s="43">
        <v>2879.9300000000003</v>
      </c>
      <c r="O300" s="44">
        <v>0.09151716910178165</v>
      </c>
    </row>
    <row r="301" ht="22.5" customHeight="1">
      <c r="B301" s="41" t="s">
        <v>329</v>
      </c>
      <c r="C301" s="41" t="s">
        <v>52</v>
      </c>
      <c r="D301" s="41" t="s">
        <v>15</v>
      </c>
      <c r="E301" s="41" t="s">
        <v>30</v>
      </c>
      <c r="F301" s="41" t="s">
        <v>27</v>
      </c>
      <c r="G301" s="41" t="s">
        <v>18</v>
      </c>
      <c r="H301" s="42">
        <v>45223.0</v>
      </c>
      <c r="I301" s="41">
        <v>50.0</v>
      </c>
      <c r="J301" s="43">
        <v>299.9</v>
      </c>
      <c r="K301" s="43">
        <v>95.87</v>
      </c>
      <c r="L301" s="43">
        <v>14994.999999999998</v>
      </c>
      <c r="M301" s="43">
        <v>4793.5</v>
      </c>
      <c r="N301" s="43">
        <v>10201.499999999998</v>
      </c>
      <c r="O301" s="44">
        <v>0.6803267755918639</v>
      </c>
    </row>
    <row r="302" ht="22.5" customHeight="1">
      <c r="B302" s="41" t="s">
        <v>330</v>
      </c>
      <c r="C302" s="41" t="s">
        <v>14</v>
      </c>
      <c r="D302" s="41" t="s">
        <v>15</v>
      </c>
      <c r="E302" s="41" t="s">
        <v>26</v>
      </c>
      <c r="F302" s="41" t="s">
        <v>27</v>
      </c>
      <c r="G302" s="41" t="s">
        <v>23</v>
      </c>
      <c r="H302" s="42">
        <v>45224.0</v>
      </c>
      <c r="I302" s="41">
        <v>410.0</v>
      </c>
      <c r="J302" s="43">
        <v>203.59</v>
      </c>
      <c r="K302" s="43">
        <v>149.83</v>
      </c>
      <c r="L302" s="43">
        <v>83471.9</v>
      </c>
      <c r="M302" s="43">
        <v>61430.3</v>
      </c>
      <c r="N302" s="43">
        <v>22041.59999999999</v>
      </c>
      <c r="O302" s="44">
        <v>0.264060120831082</v>
      </c>
    </row>
    <row r="303" ht="22.5" customHeight="1">
      <c r="B303" s="41" t="s">
        <v>331</v>
      </c>
      <c r="C303" s="41" t="s">
        <v>25</v>
      </c>
      <c r="D303" s="41" t="s">
        <v>34</v>
      </c>
      <c r="E303" s="41" t="s">
        <v>16</v>
      </c>
      <c r="F303" s="41" t="s">
        <v>27</v>
      </c>
      <c r="G303" s="41" t="s">
        <v>31</v>
      </c>
      <c r="H303" s="42">
        <v>45225.0</v>
      </c>
      <c r="I303" s="41">
        <v>85.0</v>
      </c>
      <c r="J303" s="43">
        <v>186.64</v>
      </c>
      <c r="K303" s="43">
        <v>26.89</v>
      </c>
      <c r="L303" s="43">
        <v>15864.4</v>
      </c>
      <c r="M303" s="43">
        <v>2285.65</v>
      </c>
      <c r="N303" s="43">
        <v>13578.75</v>
      </c>
      <c r="O303" s="44">
        <v>0.8559258465495071</v>
      </c>
    </row>
    <row r="304" ht="22.5" customHeight="1">
      <c r="B304" s="41" t="s">
        <v>332</v>
      </c>
      <c r="C304" s="41" t="s">
        <v>20</v>
      </c>
      <c r="D304" s="41" t="s">
        <v>29</v>
      </c>
      <c r="E304" s="41" t="s">
        <v>22</v>
      </c>
      <c r="F304" s="41" t="s">
        <v>17</v>
      </c>
      <c r="G304" s="41" t="s">
        <v>18</v>
      </c>
      <c r="H304" s="42">
        <v>45226.0</v>
      </c>
      <c r="I304" s="41">
        <v>386.0</v>
      </c>
      <c r="J304" s="43">
        <v>175.06</v>
      </c>
      <c r="K304" s="43">
        <v>320.94</v>
      </c>
      <c r="L304" s="43">
        <v>67573.16</v>
      </c>
      <c r="M304" s="43">
        <v>123882.84</v>
      </c>
      <c r="N304" s="43">
        <v>-56309.67999999999</v>
      </c>
      <c r="O304" s="44">
        <v>-0.8333142922426595</v>
      </c>
    </row>
    <row r="305" ht="22.5" customHeight="1">
      <c r="B305" s="41" t="s">
        <v>333</v>
      </c>
      <c r="C305" s="41" t="s">
        <v>25</v>
      </c>
      <c r="D305" s="41" t="s">
        <v>54</v>
      </c>
      <c r="E305" s="41" t="s">
        <v>16</v>
      </c>
      <c r="F305" s="41" t="s">
        <v>17</v>
      </c>
      <c r="G305" s="41" t="s">
        <v>23</v>
      </c>
      <c r="H305" s="42">
        <v>45227.0</v>
      </c>
      <c r="I305" s="41">
        <v>55.0</v>
      </c>
      <c r="J305" s="43">
        <v>310.49</v>
      </c>
      <c r="K305" s="43">
        <v>307.1</v>
      </c>
      <c r="L305" s="43">
        <v>17076.95</v>
      </c>
      <c r="M305" s="43">
        <v>16890.5</v>
      </c>
      <c r="N305" s="43">
        <v>186.45000000000073</v>
      </c>
      <c r="O305" s="44">
        <v>0.010918226029823869</v>
      </c>
    </row>
    <row r="306" ht="22.5" customHeight="1">
      <c r="B306" s="41" t="s">
        <v>334</v>
      </c>
      <c r="C306" s="41" t="s">
        <v>25</v>
      </c>
      <c r="D306" s="41" t="s">
        <v>54</v>
      </c>
      <c r="E306" s="41" t="s">
        <v>30</v>
      </c>
      <c r="F306" s="41" t="s">
        <v>27</v>
      </c>
      <c r="G306" s="41" t="s">
        <v>18</v>
      </c>
      <c r="H306" s="42">
        <v>45228.0</v>
      </c>
      <c r="I306" s="41">
        <v>169.0</v>
      </c>
      <c r="J306" s="43">
        <v>223.99</v>
      </c>
      <c r="K306" s="43">
        <v>293.98</v>
      </c>
      <c r="L306" s="43">
        <v>37854.310000000005</v>
      </c>
      <c r="M306" s="43">
        <v>49682.62</v>
      </c>
      <c r="N306" s="43">
        <v>-11828.309999999998</v>
      </c>
      <c r="O306" s="44">
        <v>-0.312469306665476</v>
      </c>
    </row>
    <row r="307" ht="22.5" customHeight="1">
      <c r="B307" s="41" t="s">
        <v>335</v>
      </c>
      <c r="C307" s="41" t="s">
        <v>14</v>
      </c>
      <c r="D307" s="41" t="s">
        <v>34</v>
      </c>
      <c r="E307" s="41" t="s">
        <v>22</v>
      </c>
      <c r="F307" s="41" t="s">
        <v>17</v>
      </c>
      <c r="G307" s="41" t="s">
        <v>31</v>
      </c>
      <c r="H307" s="42">
        <v>45229.0</v>
      </c>
      <c r="I307" s="41">
        <v>472.0</v>
      </c>
      <c r="J307" s="43">
        <v>416.77</v>
      </c>
      <c r="K307" s="43">
        <v>121.18</v>
      </c>
      <c r="L307" s="43">
        <v>196715.44</v>
      </c>
      <c r="M307" s="43">
        <v>57196.96000000001</v>
      </c>
      <c r="N307" s="43">
        <v>139518.47999999998</v>
      </c>
      <c r="O307" s="44">
        <v>0.7092401084531035</v>
      </c>
    </row>
    <row r="308" ht="22.5" customHeight="1">
      <c r="B308" s="41" t="s">
        <v>336</v>
      </c>
      <c r="C308" s="41" t="s">
        <v>52</v>
      </c>
      <c r="D308" s="41" t="s">
        <v>15</v>
      </c>
      <c r="E308" s="41" t="s">
        <v>26</v>
      </c>
      <c r="F308" s="41" t="s">
        <v>17</v>
      </c>
      <c r="G308" s="41" t="s">
        <v>31</v>
      </c>
      <c r="H308" s="42">
        <v>45230.0</v>
      </c>
      <c r="I308" s="41">
        <v>89.0</v>
      </c>
      <c r="J308" s="43">
        <v>336.45</v>
      </c>
      <c r="K308" s="43">
        <v>71.05</v>
      </c>
      <c r="L308" s="43">
        <v>29944.05</v>
      </c>
      <c r="M308" s="43">
        <v>6323.45</v>
      </c>
      <c r="N308" s="43">
        <v>23620.6</v>
      </c>
      <c r="O308" s="44">
        <v>0.7888244910090653</v>
      </c>
    </row>
    <row r="309" ht="22.5" customHeight="1">
      <c r="B309" s="41" t="s">
        <v>337</v>
      </c>
      <c r="C309" s="41" t="s">
        <v>52</v>
      </c>
      <c r="D309" s="41" t="s">
        <v>21</v>
      </c>
      <c r="E309" s="41" t="s">
        <v>22</v>
      </c>
      <c r="F309" s="41" t="s">
        <v>17</v>
      </c>
      <c r="G309" s="41" t="s">
        <v>23</v>
      </c>
      <c r="H309" s="42">
        <v>45231.0</v>
      </c>
      <c r="I309" s="41">
        <v>319.0</v>
      </c>
      <c r="J309" s="43">
        <v>39.62</v>
      </c>
      <c r="K309" s="43">
        <v>255.75</v>
      </c>
      <c r="L309" s="43">
        <v>12638.779999999999</v>
      </c>
      <c r="M309" s="43">
        <v>81584.25</v>
      </c>
      <c r="N309" s="43">
        <v>-68945.47</v>
      </c>
      <c r="O309" s="44">
        <v>-5.455073195355881</v>
      </c>
    </row>
    <row r="310" ht="22.5" customHeight="1">
      <c r="B310" s="41" t="s">
        <v>338</v>
      </c>
      <c r="C310" s="41" t="s">
        <v>25</v>
      </c>
      <c r="D310" s="41" t="s">
        <v>15</v>
      </c>
      <c r="E310" s="41" t="s">
        <v>39</v>
      </c>
      <c r="F310" s="41" t="s">
        <v>17</v>
      </c>
      <c r="G310" s="41" t="s">
        <v>31</v>
      </c>
      <c r="H310" s="42">
        <v>45232.0</v>
      </c>
      <c r="I310" s="41">
        <v>95.0</v>
      </c>
      <c r="J310" s="43">
        <v>321.88</v>
      </c>
      <c r="K310" s="43">
        <v>199.47</v>
      </c>
      <c r="L310" s="43">
        <v>30578.6</v>
      </c>
      <c r="M310" s="43">
        <v>18949.65</v>
      </c>
      <c r="N310" s="43">
        <v>11628.949999999997</v>
      </c>
      <c r="O310" s="44">
        <v>0.3802970050950664</v>
      </c>
    </row>
    <row r="311" ht="22.5" customHeight="1">
      <c r="B311" s="41" t="s">
        <v>339</v>
      </c>
      <c r="C311" s="41" t="s">
        <v>20</v>
      </c>
      <c r="D311" s="41" t="s">
        <v>34</v>
      </c>
      <c r="E311" s="41" t="s">
        <v>39</v>
      </c>
      <c r="F311" s="41" t="s">
        <v>27</v>
      </c>
      <c r="G311" s="41" t="s">
        <v>18</v>
      </c>
      <c r="H311" s="42">
        <v>45233.0</v>
      </c>
      <c r="I311" s="41">
        <v>101.0</v>
      </c>
      <c r="J311" s="43">
        <v>139.22</v>
      </c>
      <c r="K311" s="43">
        <v>72.94</v>
      </c>
      <c r="L311" s="43">
        <v>14061.22</v>
      </c>
      <c r="M311" s="43">
        <v>7366.94</v>
      </c>
      <c r="N311" s="43">
        <v>6694.28</v>
      </c>
      <c r="O311" s="44">
        <v>0.47608102284154574</v>
      </c>
    </row>
    <row r="312" ht="22.5" customHeight="1">
      <c r="B312" s="41" t="s">
        <v>340</v>
      </c>
      <c r="C312" s="41" t="s">
        <v>52</v>
      </c>
      <c r="D312" s="41" t="s">
        <v>54</v>
      </c>
      <c r="E312" s="41" t="s">
        <v>39</v>
      </c>
      <c r="F312" s="41" t="s">
        <v>17</v>
      </c>
      <c r="G312" s="41" t="s">
        <v>31</v>
      </c>
      <c r="H312" s="42">
        <v>45234.0</v>
      </c>
      <c r="I312" s="41">
        <v>157.0</v>
      </c>
      <c r="J312" s="43">
        <v>249.64520588235297</v>
      </c>
      <c r="K312" s="43">
        <v>274.99</v>
      </c>
      <c r="L312" s="43">
        <v>39194.29732352942</v>
      </c>
      <c r="M312" s="43">
        <v>43173.43</v>
      </c>
      <c r="N312" s="43">
        <v>-3979.132676470581</v>
      </c>
      <c r="O312" s="44">
        <v>-0.10152325588655975</v>
      </c>
    </row>
    <row r="313" ht="22.5" customHeight="1">
      <c r="B313" s="41" t="s">
        <v>341</v>
      </c>
      <c r="C313" s="41" t="s">
        <v>20</v>
      </c>
      <c r="D313" s="41" t="s">
        <v>15</v>
      </c>
      <c r="E313" s="41" t="s">
        <v>22</v>
      </c>
      <c r="F313" s="41" t="s">
        <v>17</v>
      </c>
      <c r="G313" s="41" t="s">
        <v>18</v>
      </c>
      <c r="H313" s="42">
        <v>45235.0</v>
      </c>
      <c r="I313" s="41">
        <v>170.0</v>
      </c>
      <c r="J313" s="43">
        <v>341.67</v>
      </c>
      <c r="K313" s="43">
        <v>396.47</v>
      </c>
      <c r="L313" s="43">
        <v>58083.9</v>
      </c>
      <c r="M313" s="43">
        <v>67399.90000000001</v>
      </c>
      <c r="N313" s="43">
        <v>-9316.000000000007</v>
      </c>
      <c r="O313" s="44">
        <v>-0.16038867913483784</v>
      </c>
    </row>
    <row r="314" ht="22.5" customHeight="1">
      <c r="B314" s="41" t="s">
        <v>342</v>
      </c>
      <c r="C314" s="41" t="s">
        <v>52</v>
      </c>
      <c r="D314" s="41" t="s">
        <v>54</v>
      </c>
      <c r="E314" s="41" t="s">
        <v>46</v>
      </c>
      <c r="F314" s="41" t="s">
        <v>17</v>
      </c>
      <c r="G314" s="41" t="s">
        <v>18</v>
      </c>
      <c r="H314" s="42">
        <v>45236.0</v>
      </c>
      <c r="I314" s="41">
        <v>211.0</v>
      </c>
      <c r="J314" s="43">
        <v>119.26</v>
      </c>
      <c r="K314" s="43">
        <v>299.39</v>
      </c>
      <c r="L314" s="43">
        <v>25163.86</v>
      </c>
      <c r="M314" s="43">
        <v>63171.28999999999</v>
      </c>
      <c r="N314" s="43">
        <v>-38007.42999999999</v>
      </c>
      <c r="O314" s="44">
        <v>-1.5103974509475093</v>
      </c>
    </row>
    <row r="315" ht="22.5" customHeight="1">
      <c r="B315" s="41" t="s">
        <v>343</v>
      </c>
      <c r="C315" s="41" t="s">
        <v>20</v>
      </c>
      <c r="D315" s="41" t="s">
        <v>21</v>
      </c>
      <c r="E315" s="41" t="s">
        <v>30</v>
      </c>
      <c r="F315" s="41" t="s">
        <v>17</v>
      </c>
      <c r="G315" s="41" t="s">
        <v>31</v>
      </c>
      <c r="H315" s="42">
        <v>45237.0</v>
      </c>
      <c r="I315" s="41">
        <v>433.0</v>
      </c>
      <c r="J315" s="43">
        <v>231.15</v>
      </c>
      <c r="K315" s="43">
        <v>296.51</v>
      </c>
      <c r="L315" s="43">
        <v>100087.95</v>
      </c>
      <c r="M315" s="43">
        <v>128388.83</v>
      </c>
      <c r="N315" s="43">
        <v>-28300.880000000005</v>
      </c>
      <c r="O315" s="44">
        <v>-0.28276011248107297</v>
      </c>
    </row>
    <row r="316" ht="15.75" customHeight="1">
      <c r="B316" s="41" t="s">
        <v>344</v>
      </c>
      <c r="C316" s="41" t="s">
        <v>14</v>
      </c>
      <c r="D316" s="41" t="s">
        <v>54</v>
      </c>
      <c r="E316" s="41" t="s">
        <v>16</v>
      </c>
      <c r="F316" s="41" t="s">
        <v>27</v>
      </c>
      <c r="G316" s="41" t="s">
        <v>23</v>
      </c>
      <c r="H316" s="42">
        <v>45238.0</v>
      </c>
      <c r="I316" s="41">
        <v>425.0</v>
      </c>
      <c r="J316" s="43">
        <v>99.21</v>
      </c>
      <c r="K316" s="43">
        <v>380.22</v>
      </c>
      <c r="L316" s="43">
        <v>42164.25</v>
      </c>
      <c r="M316" s="43">
        <v>161593.5</v>
      </c>
      <c r="N316" s="43">
        <v>-119429.25</v>
      </c>
      <c r="O316" s="44">
        <v>-2.832476564862413</v>
      </c>
    </row>
    <row r="317" ht="15.75" customHeight="1">
      <c r="B317" s="41" t="s">
        <v>345</v>
      </c>
      <c r="C317" s="41" t="s">
        <v>20</v>
      </c>
      <c r="D317" s="41" t="s">
        <v>54</v>
      </c>
      <c r="E317" s="41" t="s">
        <v>26</v>
      </c>
      <c r="F317" s="41" t="s">
        <v>27</v>
      </c>
      <c r="G317" s="41" t="s">
        <v>31</v>
      </c>
      <c r="H317" s="42">
        <v>45239.0</v>
      </c>
      <c r="I317" s="41">
        <v>251.0</v>
      </c>
      <c r="J317" s="43">
        <v>30.91</v>
      </c>
      <c r="K317" s="43">
        <v>82.77</v>
      </c>
      <c r="L317" s="43">
        <v>7758.41</v>
      </c>
      <c r="M317" s="43">
        <v>20775.27</v>
      </c>
      <c r="N317" s="43">
        <v>-13016.86</v>
      </c>
      <c r="O317" s="44">
        <v>-1.6777741831122615</v>
      </c>
    </row>
    <row r="318" ht="15.75" customHeight="1">
      <c r="B318" s="41" t="s">
        <v>346</v>
      </c>
      <c r="C318" s="41" t="s">
        <v>14</v>
      </c>
      <c r="D318" s="41" t="s">
        <v>29</v>
      </c>
      <c r="E318" s="41" t="s">
        <v>22</v>
      </c>
      <c r="F318" s="41" t="s">
        <v>17</v>
      </c>
      <c r="G318" s="41" t="s">
        <v>18</v>
      </c>
      <c r="H318" s="42">
        <v>45240.0</v>
      </c>
      <c r="I318" s="41">
        <v>255.9029411764706</v>
      </c>
      <c r="J318" s="43">
        <v>192.35</v>
      </c>
      <c r="K318" s="43">
        <v>227.09</v>
      </c>
      <c r="L318" s="43">
        <v>49222.93073529412</v>
      </c>
      <c r="M318" s="43">
        <v>58112.998911764706</v>
      </c>
      <c r="N318" s="43">
        <v>-8890.068176470588</v>
      </c>
      <c r="O318" s="44">
        <v>-0.18060826618144007</v>
      </c>
    </row>
    <row r="319" ht="15.75" customHeight="1">
      <c r="B319" s="41" t="s">
        <v>347</v>
      </c>
      <c r="C319" s="41" t="s">
        <v>14</v>
      </c>
      <c r="D319" s="41" t="s">
        <v>29</v>
      </c>
      <c r="E319" s="41" t="s">
        <v>16</v>
      </c>
      <c r="F319" s="41" t="s">
        <v>17</v>
      </c>
      <c r="G319" s="41" t="s">
        <v>18</v>
      </c>
      <c r="H319" s="42">
        <v>45241.0</v>
      </c>
      <c r="I319" s="41">
        <v>11.0</v>
      </c>
      <c r="J319" s="43">
        <v>184.66</v>
      </c>
      <c r="K319" s="43">
        <v>391.9</v>
      </c>
      <c r="L319" s="43">
        <v>2031.26</v>
      </c>
      <c r="M319" s="43">
        <v>4310.9</v>
      </c>
      <c r="N319" s="43">
        <v>-2279.6399999999994</v>
      </c>
      <c r="O319" s="44">
        <v>-1.1222787826275313</v>
      </c>
    </row>
    <row r="320" ht="15.75" customHeight="1">
      <c r="B320" s="41" t="s">
        <v>348</v>
      </c>
      <c r="C320" s="41" t="s">
        <v>20</v>
      </c>
      <c r="D320" s="41" t="s">
        <v>29</v>
      </c>
      <c r="E320" s="41" t="s">
        <v>26</v>
      </c>
      <c r="F320" s="41" t="s">
        <v>17</v>
      </c>
      <c r="G320" s="41" t="s">
        <v>31</v>
      </c>
      <c r="H320" s="42">
        <v>45242.0</v>
      </c>
      <c r="I320" s="41">
        <v>234.0</v>
      </c>
      <c r="J320" s="43">
        <v>497.76</v>
      </c>
      <c r="K320" s="43">
        <v>67.79</v>
      </c>
      <c r="L320" s="43">
        <v>116475.84</v>
      </c>
      <c r="M320" s="43">
        <v>15862.86</v>
      </c>
      <c r="N320" s="43">
        <v>100612.98</v>
      </c>
      <c r="O320" s="44">
        <v>0.863809868209579</v>
      </c>
    </row>
    <row r="321" ht="15.75" customHeight="1">
      <c r="B321" s="41" t="s">
        <v>349</v>
      </c>
      <c r="C321" s="41" t="s">
        <v>14</v>
      </c>
      <c r="D321" s="41" t="s">
        <v>54</v>
      </c>
      <c r="E321" s="41" t="s">
        <v>26</v>
      </c>
      <c r="F321" s="41" t="s">
        <v>17</v>
      </c>
      <c r="G321" s="41" t="s">
        <v>23</v>
      </c>
      <c r="H321" s="42">
        <v>45243.0</v>
      </c>
      <c r="I321" s="41">
        <v>255.9029411764706</v>
      </c>
      <c r="J321" s="43">
        <v>225.94</v>
      </c>
      <c r="K321" s="43">
        <v>280.7</v>
      </c>
      <c r="L321" s="43">
        <v>57818.710529411765</v>
      </c>
      <c r="M321" s="43">
        <v>71831.95558823529</v>
      </c>
      <c r="N321" s="43">
        <v>-14013.245058823522</v>
      </c>
      <c r="O321" s="44">
        <v>-0.24236522970700175</v>
      </c>
    </row>
    <row r="322" ht="15.75" customHeight="1">
      <c r="B322" s="41" t="s">
        <v>350</v>
      </c>
      <c r="C322" s="41" t="s">
        <v>25</v>
      </c>
      <c r="D322" s="41" t="s">
        <v>34</v>
      </c>
      <c r="E322" s="41" t="s">
        <v>46</v>
      </c>
      <c r="F322" s="41" t="s">
        <v>17</v>
      </c>
      <c r="G322" s="41" t="s">
        <v>23</v>
      </c>
      <c r="H322" s="42">
        <v>45244.0</v>
      </c>
      <c r="I322" s="41">
        <v>242.0</v>
      </c>
      <c r="J322" s="43">
        <v>170.12</v>
      </c>
      <c r="K322" s="43">
        <v>235.15</v>
      </c>
      <c r="L322" s="43">
        <v>41169.04</v>
      </c>
      <c r="M322" s="43">
        <v>56906.3</v>
      </c>
      <c r="N322" s="43">
        <v>-15737.260000000002</v>
      </c>
      <c r="O322" s="44">
        <v>-0.38225958147190225</v>
      </c>
    </row>
    <row r="323" ht="15.75" customHeight="1">
      <c r="B323" s="41" t="s">
        <v>351</v>
      </c>
      <c r="C323" s="41" t="s">
        <v>14</v>
      </c>
      <c r="D323" s="41" t="s">
        <v>54</v>
      </c>
      <c r="E323" s="41" t="s">
        <v>30</v>
      </c>
      <c r="F323" s="41" t="s">
        <v>17</v>
      </c>
      <c r="G323" s="41" t="s">
        <v>18</v>
      </c>
      <c r="H323" s="42">
        <v>45245.0</v>
      </c>
      <c r="I323" s="41">
        <v>470.0</v>
      </c>
      <c r="J323" s="43">
        <v>292.34</v>
      </c>
      <c r="K323" s="43">
        <v>235.42</v>
      </c>
      <c r="L323" s="43">
        <v>137399.8</v>
      </c>
      <c r="M323" s="43">
        <v>110647.4</v>
      </c>
      <c r="N323" s="43">
        <v>26752.399999999994</v>
      </c>
      <c r="O323" s="44">
        <v>0.1947047957857289</v>
      </c>
    </row>
    <row r="324" ht="15.75" customHeight="1">
      <c r="B324" s="41" t="s">
        <v>352</v>
      </c>
      <c r="C324" s="41" t="s">
        <v>52</v>
      </c>
      <c r="D324" s="41" t="s">
        <v>34</v>
      </c>
      <c r="E324" s="41" t="s">
        <v>30</v>
      </c>
      <c r="F324" s="41" t="s">
        <v>27</v>
      </c>
      <c r="G324" s="41" t="s">
        <v>18</v>
      </c>
      <c r="H324" s="42">
        <v>45246.0</v>
      </c>
      <c r="I324" s="41">
        <v>423.0</v>
      </c>
      <c r="J324" s="43">
        <v>48.94</v>
      </c>
      <c r="K324" s="43">
        <v>279.67</v>
      </c>
      <c r="L324" s="43">
        <v>20701.62</v>
      </c>
      <c r="M324" s="43">
        <v>118300.41</v>
      </c>
      <c r="N324" s="43">
        <v>-97598.79000000001</v>
      </c>
      <c r="O324" s="44">
        <v>-4.714548426644872</v>
      </c>
    </row>
    <row r="325" ht="15.75" customHeight="1">
      <c r="B325" s="41" t="s">
        <v>353</v>
      </c>
      <c r="C325" s="41" t="s">
        <v>20</v>
      </c>
      <c r="D325" s="41" t="s">
        <v>34</v>
      </c>
      <c r="E325" s="41" t="s">
        <v>16</v>
      </c>
      <c r="F325" s="41" t="s">
        <v>17</v>
      </c>
      <c r="G325" s="41" t="s">
        <v>23</v>
      </c>
      <c r="H325" s="42">
        <v>45247.0</v>
      </c>
      <c r="I325" s="41">
        <v>426.0</v>
      </c>
      <c r="J325" s="43">
        <v>481.02</v>
      </c>
      <c r="K325" s="43">
        <v>371.99</v>
      </c>
      <c r="L325" s="43">
        <v>204914.52</v>
      </c>
      <c r="M325" s="43">
        <v>158467.74</v>
      </c>
      <c r="N325" s="43">
        <v>46446.78</v>
      </c>
      <c r="O325" s="44">
        <v>0.22666417196790156</v>
      </c>
    </row>
    <row r="326" ht="15.75" customHeight="1">
      <c r="B326" s="41" t="s">
        <v>354</v>
      </c>
      <c r="C326" s="41" t="s">
        <v>25</v>
      </c>
      <c r="D326" s="41" t="s">
        <v>29</v>
      </c>
      <c r="E326" s="41" t="s">
        <v>30</v>
      </c>
      <c r="F326" s="41" t="s">
        <v>27</v>
      </c>
      <c r="G326" s="41" t="s">
        <v>31</v>
      </c>
      <c r="H326" s="42">
        <v>45248.0</v>
      </c>
      <c r="I326" s="41">
        <v>86.0</v>
      </c>
      <c r="J326" s="43">
        <v>319.31</v>
      </c>
      <c r="K326" s="43">
        <v>313.47</v>
      </c>
      <c r="L326" s="43">
        <v>27460.66</v>
      </c>
      <c r="M326" s="43">
        <v>26958.420000000002</v>
      </c>
      <c r="N326" s="43">
        <v>502.23999999999796</v>
      </c>
      <c r="O326" s="44">
        <v>0.01828943659766364</v>
      </c>
    </row>
    <row r="327" ht="15.75" customHeight="1">
      <c r="B327" s="41" t="s">
        <v>355</v>
      </c>
      <c r="C327" s="41" t="s">
        <v>20</v>
      </c>
      <c r="D327" s="41" t="s">
        <v>15</v>
      </c>
      <c r="E327" s="41" t="s">
        <v>22</v>
      </c>
      <c r="F327" s="41" t="s">
        <v>27</v>
      </c>
      <c r="G327" s="41" t="s">
        <v>18</v>
      </c>
      <c r="H327" s="42">
        <v>45249.0</v>
      </c>
      <c r="I327" s="41">
        <v>125.0</v>
      </c>
      <c r="J327" s="43">
        <v>378.64</v>
      </c>
      <c r="K327" s="43">
        <v>24.34</v>
      </c>
      <c r="L327" s="43">
        <v>47330.0</v>
      </c>
      <c r="M327" s="43">
        <v>3042.5</v>
      </c>
      <c r="N327" s="43">
        <v>44287.5</v>
      </c>
      <c r="O327" s="44">
        <v>0.9357173040354955</v>
      </c>
    </row>
    <row r="328" ht="15.75" customHeight="1">
      <c r="B328" s="41" t="s">
        <v>356</v>
      </c>
      <c r="C328" s="41" t="s">
        <v>52</v>
      </c>
      <c r="D328" s="41" t="s">
        <v>21</v>
      </c>
      <c r="E328" s="41" t="s">
        <v>39</v>
      </c>
      <c r="F328" s="41" t="s">
        <v>17</v>
      </c>
      <c r="G328" s="41" t="s">
        <v>18</v>
      </c>
      <c r="H328" s="42">
        <v>45250.0</v>
      </c>
      <c r="I328" s="41">
        <v>163.0</v>
      </c>
      <c r="J328" s="43">
        <v>89.39</v>
      </c>
      <c r="K328" s="43">
        <v>341.39</v>
      </c>
      <c r="L328" s="43">
        <v>14570.57</v>
      </c>
      <c r="M328" s="43">
        <v>55646.57</v>
      </c>
      <c r="N328" s="43">
        <v>-41076.0</v>
      </c>
      <c r="O328" s="44">
        <v>-2.8191072826938135</v>
      </c>
    </row>
    <row r="329" ht="15.75" customHeight="1">
      <c r="B329" s="41" t="s">
        <v>357</v>
      </c>
      <c r="C329" s="41" t="s">
        <v>52</v>
      </c>
      <c r="D329" s="41" t="s">
        <v>29</v>
      </c>
      <c r="E329" s="41" t="s">
        <v>16</v>
      </c>
      <c r="F329" s="41" t="s">
        <v>27</v>
      </c>
      <c r="G329" s="41" t="s">
        <v>23</v>
      </c>
      <c r="H329" s="42">
        <v>45251.0</v>
      </c>
      <c r="I329" s="41">
        <v>415.0</v>
      </c>
      <c r="J329" s="43">
        <v>207.69</v>
      </c>
      <c r="K329" s="43">
        <v>91.77</v>
      </c>
      <c r="L329" s="43">
        <v>86191.35</v>
      </c>
      <c r="M329" s="43">
        <v>38084.549999999996</v>
      </c>
      <c r="N329" s="43">
        <v>48106.80000000001</v>
      </c>
      <c r="O329" s="44">
        <v>0.558139534883721</v>
      </c>
    </row>
    <row r="330" ht="15.75" customHeight="1">
      <c r="B330" s="41" t="s">
        <v>358</v>
      </c>
      <c r="C330" s="41" t="s">
        <v>52</v>
      </c>
      <c r="D330" s="41" t="s">
        <v>29</v>
      </c>
      <c r="E330" s="41" t="s">
        <v>30</v>
      </c>
      <c r="F330" s="41" t="s">
        <v>27</v>
      </c>
      <c r="G330" s="41" t="s">
        <v>31</v>
      </c>
      <c r="H330" s="42">
        <v>45252.0</v>
      </c>
      <c r="I330" s="41">
        <v>112.0</v>
      </c>
      <c r="J330" s="43">
        <v>214.23</v>
      </c>
      <c r="K330" s="43">
        <v>152.01</v>
      </c>
      <c r="L330" s="43">
        <v>23993.76</v>
      </c>
      <c r="M330" s="43">
        <v>17025.12</v>
      </c>
      <c r="N330" s="43">
        <v>6968.639999999999</v>
      </c>
      <c r="O330" s="44">
        <v>0.2904355132334407</v>
      </c>
    </row>
    <row r="331" ht="15.75" customHeight="1">
      <c r="B331" s="41" t="s">
        <v>359</v>
      </c>
      <c r="C331" s="41" t="s">
        <v>14</v>
      </c>
      <c r="D331" s="41" t="s">
        <v>15</v>
      </c>
      <c r="E331" s="41" t="s">
        <v>22</v>
      </c>
      <c r="F331" s="41" t="s">
        <v>27</v>
      </c>
      <c r="G331" s="41" t="s">
        <v>23</v>
      </c>
      <c r="H331" s="42">
        <v>45253.0</v>
      </c>
      <c r="I331" s="41">
        <v>203.0</v>
      </c>
      <c r="J331" s="43">
        <v>411.79</v>
      </c>
      <c r="K331" s="43">
        <v>185.77</v>
      </c>
      <c r="L331" s="43">
        <v>83593.37000000001</v>
      </c>
      <c r="M331" s="43">
        <v>37711.310000000005</v>
      </c>
      <c r="N331" s="43">
        <v>45882.060000000005</v>
      </c>
      <c r="O331" s="44">
        <v>0.5488719978629885</v>
      </c>
    </row>
    <row r="332" ht="15.75" customHeight="1">
      <c r="B332" s="41" t="s">
        <v>360</v>
      </c>
      <c r="C332" s="41" t="s">
        <v>14</v>
      </c>
      <c r="D332" s="41" t="s">
        <v>21</v>
      </c>
      <c r="E332" s="41" t="s">
        <v>46</v>
      </c>
      <c r="F332" s="41" t="s">
        <v>27</v>
      </c>
      <c r="G332" s="41" t="s">
        <v>31</v>
      </c>
      <c r="H332" s="42">
        <v>45254.0</v>
      </c>
      <c r="I332" s="41">
        <v>255.9029411764706</v>
      </c>
      <c r="J332" s="43">
        <v>5.61</v>
      </c>
      <c r="K332" s="43">
        <v>193.4</v>
      </c>
      <c r="L332" s="43">
        <v>1435.6155</v>
      </c>
      <c r="M332" s="43">
        <v>49491.62882352941</v>
      </c>
      <c r="N332" s="43">
        <v>-48056.01332352941</v>
      </c>
      <c r="O332" s="44">
        <v>-33.474153297682705</v>
      </c>
    </row>
    <row r="333" ht="15.75" customHeight="1">
      <c r="B333" s="41" t="s">
        <v>361</v>
      </c>
      <c r="C333" s="41" t="s">
        <v>20</v>
      </c>
      <c r="D333" s="41" t="s">
        <v>54</v>
      </c>
      <c r="E333" s="41" t="s">
        <v>16</v>
      </c>
      <c r="F333" s="41" t="s">
        <v>27</v>
      </c>
      <c r="G333" s="41" t="s">
        <v>31</v>
      </c>
      <c r="H333" s="42">
        <v>45255.0</v>
      </c>
      <c r="I333" s="41">
        <v>368.0</v>
      </c>
      <c r="J333" s="43">
        <v>153.92</v>
      </c>
      <c r="K333" s="43">
        <v>175.2</v>
      </c>
      <c r="L333" s="43">
        <v>56642.56</v>
      </c>
      <c r="M333" s="43">
        <v>64473.6</v>
      </c>
      <c r="N333" s="43">
        <v>-7831.040000000001</v>
      </c>
      <c r="O333" s="44">
        <v>-0.13825363825363826</v>
      </c>
    </row>
    <row r="334" ht="15.75" customHeight="1">
      <c r="B334" s="41" t="s">
        <v>362</v>
      </c>
      <c r="C334" s="41" t="s">
        <v>20</v>
      </c>
      <c r="D334" s="41" t="s">
        <v>54</v>
      </c>
      <c r="E334" s="41" t="s">
        <v>46</v>
      </c>
      <c r="F334" s="41" t="s">
        <v>27</v>
      </c>
      <c r="G334" s="41" t="s">
        <v>31</v>
      </c>
      <c r="H334" s="42">
        <v>45256.0</v>
      </c>
      <c r="I334" s="41">
        <v>99.0</v>
      </c>
      <c r="J334" s="43">
        <v>490.71</v>
      </c>
      <c r="K334" s="43">
        <v>375.07</v>
      </c>
      <c r="L334" s="43">
        <v>48580.29</v>
      </c>
      <c r="M334" s="43">
        <v>37131.93</v>
      </c>
      <c r="N334" s="43">
        <v>11448.36</v>
      </c>
      <c r="O334" s="44">
        <v>0.2356585355912861</v>
      </c>
    </row>
    <row r="335" ht="15.75" customHeight="1">
      <c r="B335" s="41" t="s">
        <v>363</v>
      </c>
      <c r="C335" s="41" t="s">
        <v>25</v>
      </c>
      <c r="D335" s="41" t="s">
        <v>29</v>
      </c>
      <c r="E335" s="41" t="s">
        <v>46</v>
      </c>
      <c r="F335" s="41" t="s">
        <v>17</v>
      </c>
      <c r="G335" s="41" t="s">
        <v>18</v>
      </c>
      <c r="H335" s="42">
        <v>45257.0</v>
      </c>
      <c r="I335" s="41">
        <v>183.0</v>
      </c>
      <c r="J335" s="43">
        <v>240.07</v>
      </c>
      <c r="K335" s="43">
        <v>283.0</v>
      </c>
      <c r="L335" s="43">
        <v>43932.81</v>
      </c>
      <c r="M335" s="43">
        <v>51789.0</v>
      </c>
      <c r="N335" s="43">
        <v>-7856.190000000002</v>
      </c>
      <c r="O335" s="44">
        <v>-0.17882284333736</v>
      </c>
    </row>
    <row r="336" ht="15.75" customHeight="1">
      <c r="B336" s="41" t="s">
        <v>364</v>
      </c>
      <c r="C336" s="41" t="s">
        <v>39</v>
      </c>
      <c r="D336" s="41" t="s">
        <v>21</v>
      </c>
      <c r="E336" s="41" t="s">
        <v>46</v>
      </c>
      <c r="F336" s="41" t="s">
        <v>27</v>
      </c>
      <c r="G336" s="41" t="s">
        <v>23</v>
      </c>
      <c r="H336" s="42">
        <v>45258.0</v>
      </c>
      <c r="I336" s="41">
        <v>131.0</v>
      </c>
      <c r="J336" s="43">
        <v>194.35</v>
      </c>
      <c r="K336" s="43">
        <v>253.21</v>
      </c>
      <c r="L336" s="43">
        <v>25459.85</v>
      </c>
      <c r="M336" s="43">
        <v>33170.51</v>
      </c>
      <c r="N336" s="43">
        <v>-7710.6600000000035</v>
      </c>
      <c r="O336" s="44">
        <v>-0.3028556727553385</v>
      </c>
    </row>
    <row r="337" ht="15.75" customHeight="1">
      <c r="B337" s="41" t="s">
        <v>365</v>
      </c>
      <c r="C337" s="41" t="s">
        <v>20</v>
      </c>
      <c r="D337" s="41" t="s">
        <v>29</v>
      </c>
      <c r="E337" s="41" t="s">
        <v>26</v>
      </c>
      <c r="F337" s="41" t="s">
        <v>27</v>
      </c>
      <c r="G337" s="41" t="s">
        <v>23</v>
      </c>
      <c r="H337" s="42">
        <v>45259.0</v>
      </c>
      <c r="I337" s="41">
        <v>152.0</v>
      </c>
      <c r="J337" s="43">
        <v>64.32</v>
      </c>
      <c r="K337" s="43">
        <v>21.84</v>
      </c>
      <c r="L337" s="43">
        <v>9776.64</v>
      </c>
      <c r="M337" s="43">
        <v>3319.68</v>
      </c>
      <c r="N337" s="43">
        <v>6456.959999999999</v>
      </c>
      <c r="O337" s="44">
        <v>0.6604477611940298</v>
      </c>
    </row>
    <row r="338" ht="15.75" customHeight="1">
      <c r="B338" s="41" t="s">
        <v>366</v>
      </c>
      <c r="C338" s="41" t="s">
        <v>14</v>
      </c>
      <c r="D338" s="41" t="s">
        <v>34</v>
      </c>
      <c r="E338" s="41" t="s">
        <v>26</v>
      </c>
      <c r="F338" s="41" t="s">
        <v>27</v>
      </c>
      <c r="G338" s="41" t="s">
        <v>31</v>
      </c>
      <c r="H338" s="42">
        <v>45260.0</v>
      </c>
      <c r="I338" s="41">
        <v>491.0</v>
      </c>
      <c r="J338" s="43">
        <v>487.21</v>
      </c>
      <c r="K338" s="43">
        <v>361.76</v>
      </c>
      <c r="L338" s="43">
        <v>239220.11</v>
      </c>
      <c r="M338" s="43">
        <v>177624.16</v>
      </c>
      <c r="N338" s="43">
        <v>61595.94999999998</v>
      </c>
      <c r="O338" s="44">
        <v>0.2574865047925945</v>
      </c>
    </row>
    <row r="339" ht="15.75" customHeight="1">
      <c r="B339" s="41" t="s">
        <v>367</v>
      </c>
      <c r="C339" s="41" t="s">
        <v>52</v>
      </c>
      <c r="D339" s="41" t="s">
        <v>29</v>
      </c>
      <c r="E339" s="41" t="s">
        <v>46</v>
      </c>
      <c r="F339" s="41" t="s">
        <v>17</v>
      </c>
      <c r="G339" s="41" t="s">
        <v>18</v>
      </c>
      <c r="H339" s="42">
        <v>45261.0</v>
      </c>
      <c r="I339" s="41">
        <v>115.0</v>
      </c>
      <c r="J339" s="43">
        <v>14.91</v>
      </c>
      <c r="K339" s="43">
        <v>363.94</v>
      </c>
      <c r="L339" s="43">
        <v>1714.65</v>
      </c>
      <c r="M339" s="43">
        <v>41853.1</v>
      </c>
      <c r="N339" s="43">
        <v>-40138.45</v>
      </c>
      <c r="O339" s="44">
        <v>-23.409121395036884</v>
      </c>
    </row>
    <row r="340" ht="15.75" customHeight="1">
      <c r="B340" s="41" t="s">
        <v>368</v>
      </c>
      <c r="C340" s="41" t="s">
        <v>20</v>
      </c>
      <c r="D340" s="41" t="s">
        <v>29</v>
      </c>
      <c r="E340" s="41" t="s">
        <v>16</v>
      </c>
      <c r="F340" s="41" t="s">
        <v>27</v>
      </c>
      <c r="G340" s="41" t="s">
        <v>18</v>
      </c>
      <c r="H340" s="42">
        <v>45262.0</v>
      </c>
      <c r="I340" s="41">
        <v>384.0</v>
      </c>
      <c r="J340" s="43">
        <v>369.9</v>
      </c>
      <c r="K340" s="43">
        <v>312.52</v>
      </c>
      <c r="L340" s="43">
        <v>142041.59999999998</v>
      </c>
      <c r="M340" s="43">
        <v>120007.68</v>
      </c>
      <c r="N340" s="43">
        <v>22033.919999999984</v>
      </c>
      <c r="O340" s="44">
        <v>0.15512300621789665</v>
      </c>
    </row>
    <row r="341" ht="15.75" customHeight="1">
      <c r="B341" s="41" t="s">
        <v>369</v>
      </c>
      <c r="C341" s="41" t="s">
        <v>25</v>
      </c>
      <c r="D341" s="41" t="s">
        <v>54</v>
      </c>
      <c r="E341" s="41" t="s">
        <v>22</v>
      </c>
      <c r="F341" s="41" t="s">
        <v>17</v>
      </c>
      <c r="G341" s="41" t="s">
        <v>23</v>
      </c>
      <c r="H341" s="42">
        <v>45263.0</v>
      </c>
      <c r="I341" s="41">
        <v>437.0</v>
      </c>
      <c r="J341" s="43">
        <v>385.46</v>
      </c>
      <c r="K341" s="43">
        <v>4.8</v>
      </c>
      <c r="L341" s="43">
        <v>168446.02</v>
      </c>
      <c r="M341" s="43">
        <v>2097.6</v>
      </c>
      <c r="N341" s="43">
        <v>166348.41999999998</v>
      </c>
      <c r="O341" s="44">
        <v>0.9875473460281222</v>
      </c>
    </row>
    <row r="342" ht="15.75" customHeight="1">
      <c r="B342" s="41" t="s">
        <v>370</v>
      </c>
      <c r="C342" s="41" t="s">
        <v>14</v>
      </c>
      <c r="D342" s="41" t="s">
        <v>54</v>
      </c>
      <c r="E342" s="41" t="s">
        <v>22</v>
      </c>
      <c r="F342" s="41" t="s">
        <v>27</v>
      </c>
      <c r="G342" s="41" t="s">
        <v>18</v>
      </c>
      <c r="H342" s="42">
        <v>45264.0</v>
      </c>
      <c r="I342" s="41">
        <v>314.0</v>
      </c>
      <c r="J342" s="43">
        <v>125.61</v>
      </c>
      <c r="K342" s="43">
        <v>24.8</v>
      </c>
      <c r="L342" s="43">
        <v>39441.54</v>
      </c>
      <c r="M342" s="43">
        <v>7787.2</v>
      </c>
      <c r="N342" s="43">
        <v>31654.34</v>
      </c>
      <c r="O342" s="44">
        <v>0.8025634901679802</v>
      </c>
    </row>
    <row r="343" ht="15.75" customHeight="1">
      <c r="B343" s="41" t="s">
        <v>371</v>
      </c>
      <c r="C343" s="41" t="s">
        <v>20</v>
      </c>
      <c r="D343" s="41" t="s">
        <v>54</v>
      </c>
      <c r="E343" s="41" t="s">
        <v>30</v>
      </c>
      <c r="F343" s="41" t="s">
        <v>17</v>
      </c>
      <c r="G343" s="41" t="s">
        <v>18</v>
      </c>
      <c r="H343" s="42">
        <v>45265.0</v>
      </c>
      <c r="I343" s="41">
        <v>369.0</v>
      </c>
      <c r="J343" s="43">
        <v>337.42</v>
      </c>
      <c r="K343" s="43">
        <v>91.64</v>
      </c>
      <c r="L343" s="43">
        <v>124507.98000000001</v>
      </c>
      <c r="M343" s="43">
        <v>33815.16</v>
      </c>
      <c r="N343" s="43">
        <v>90692.82</v>
      </c>
      <c r="O343" s="44">
        <v>0.7284096971133899</v>
      </c>
    </row>
    <row r="344" ht="15.75" customHeight="1">
      <c r="B344" s="41" t="s">
        <v>372</v>
      </c>
      <c r="C344" s="41" t="s">
        <v>20</v>
      </c>
      <c r="D344" s="41" t="s">
        <v>34</v>
      </c>
      <c r="E344" s="41" t="s">
        <v>16</v>
      </c>
      <c r="F344" s="41" t="s">
        <v>17</v>
      </c>
      <c r="G344" s="41" t="s">
        <v>31</v>
      </c>
      <c r="H344" s="42">
        <v>45266.0</v>
      </c>
      <c r="I344" s="41">
        <v>468.0</v>
      </c>
      <c r="J344" s="43">
        <v>51.0</v>
      </c>
      <c r="K344" s="43">
        <v>54.28</v>
      </c>
      <c r="L344" s="43">
        <v>23868.0</v>
      </c>
      <c r="M344" s="43">
        <v>25403.04</v>
      </c>
      <c r="N344" s="43">
        <v>-1535.0400000000009</v>
      </c>
      <c r="O344" s="44">
        <v>-0.06431372549019612</v>
      </c>
    </row>
    <row r="345" ht="15.75" customHeight="1">
      <c r="B345" s="41" t="s">
        <v>373</v>
      </c>
      <c r="C345" s="41" t="s">
        <v>14</v>
      </c>
      <c r="D345" s="41" t="s">
        <v>54</v>
      </c>
      <c r="E345" s="41" t="s">
        <v>26</v>
      </c>
      <c r="F345" s="41" t="s">
        <v>27</v>
      </c>
      <c r="G345" s="41" t="s">
        <v>18</v>
      </c>
      <c r="H345" s="42">
        <v>45267.0</v>
      </c>
      <c r="I345" s="41">
        <v>326.0</v>
      </c>
      <c r="J345" s="43">
        <v>132.24</v>
      </c>
      <c r="K345" s="43">
        <v>160.74</v>
      </c>
      <c r="L345" s="43">
        <v>43110.240000000005</v>
      </c>
      <c r="M345" s="43">
        <v>52401.240000000005</v>
      </c>
      <c r="N345" s="43">
        <v>-9291.0</v>
      </c>
      <c r="O345" s="44">
        <v>-0.21551724137931033</v>
      </c>
    </row>
    <row r="346" ht="15.75" customHeight="1">
      <c r="B346" s="41" t="s">
        <v>374</v>
      </c>
      <c r="C346" s="41" t="s">
        <v>20</v>
      </c>
      <c r="D346" s="41" t="s">
        <v>21</v>
      </c>
      <c r="E346" s="41" t="s">
        <v>46</v>
      </c>
      <c r="F346" s="41" t="s">
        <v>27</v>
      </c>
      <c r="G346" s="41" t="s">
        <v>31</v>
      </c>
      <c r="H346" s="42">
        <v>45268.0</v>
      </c>
      <c r="I346" s="41">
        <v>460.0</v>
      </c>
      <c r="J346" s="43">
        <v>395.01</v>
      </c>
      <c r="K346" s="43">
        <v>369.2</v>
      </c>
      <c r="L346" s="43">
        <v>181704.6</v>
      </c>
      <c r="M346" s="43">
        <v>169832.0</v>
      </c>
      <c r="N346" s="43">
        <v>11872.600000000006</v>
      </c>
      <c r="O346" s="44">
        <v>0.06534011797169695</v>
      </c>
    </row>
    <row r="347" ht="15.75" customHeight="1">
      <c r="B347" s="41" t="s">
        <v>375</v>
      </c>
      <c r="C347" s="41" t="s">
        <v>14</v>
      </c>
      <c r="D347" s="41" t="s">
        <v>15</v>
      </c>
      <c r="E347" s="41" t="s">
        <v>30</v>
      </c>
      <c r="F347" s="41" t="s">
        <v>17</v>
      </c>
      <c r="G347" s="41" t="s">
        <v>23</v>
      </c>
      <c r="H347" s="42">
        <v>45269.0</v>
      </c>
      <c r="I347" s="41">
        <v>132.0</v>
      </c>
      <c r="J347" s="43">
        <v>433.02</v>
      </c>
      <c r="K347" s="43">
        <v>189.88</v>
      </c>
      <c r="L347" s="43">
        <v>57158.64</v>
      </c>
      <c r="M347" s="43">
        <v>25064.16</v>
      </c>
      <c r="N347" s="43">
        <v>32094.48</v>
      </c>
      <c r="O347" s="44">
        <v>0.5614983141656275</v>
      </c>
    </row>
    <row r="348" ht="15.75" customHeight="1">
      <c r="B348" s="41" t="s">
        <v>376</v>
      </c>
      <c r="C348" s="41" t="s">
        <v>52</v>
      </c>
      <c r="D348" s="41" t="s">
        <v>21</v>
      </c>
      <c r="E348" s="41" t="s">
        <v>22</v>
      </c>
      <c r="F348" s="41" t="s">
        <v>27</v>
      </c>
      <c r="G348" s="41" t="s">
        <v>18</v>
      </c>
      <c r="H348" s="42">
        <v>45270.0</v>
      </c>
      <c r="I348" s="41">
        <v>399.0</v>
      </c>
      <c r="J348" s="43">
        <v>306.2</v>
      </c>
      <c r="K348" s="43">
        <v>7.33</v>
      </c>
      <c r="L348" s="43">
        <v>122173.79999999999</v>
      </c>
      <c r="M348" s="43">
        <v>2924.67</v>
      </c>
      <c r="N348" s="43">
        <v>119249.12999999999</v>
      </c>
      <c r="O348" s="44">
        <v>0.9760613977792293</v>
      </c>
    </row>
    <row r="349" ht="15.75" customHeight="1">
      <c r="B349" s="41" t="s">
        <v>377</v>
      </c>
      <c r="C349" s="41" t="s">
        <v>14</v>
      </c>
      <c r="D349" s="41" t="s">
        <v>21</v>
      </c>
      <c r="E349" s="41" t="s">
        <v>26</v>
      </c>
      <c r="F349" s="41" t="s">
        <v>17</v>
      </c>
      <c r="G349" s="41" t="s">
        <v>23</v>
      </c>
      <c r="H349" s="42">
        <v>45271.0</v>
      </c>
      <c r="I349" s="41">
        <v>18.0</v>
      </c>
      <c r="J349" s="43">
        <v>255.89</v>
      </c>
      <c r="K349" s="43">
        <v>114.53</v>
      </c>
      <c r="L349" s="43">
        <v>4606.0199999999995</v>
      </c>
      <c r="M349" s="43">
        <v>2061.54</v>
      </c>
      <c r="N349" s="43">
        <v>2544.4799999999996</v>
      </c>
      <c r="O349" s="44">
        <v>0.5524248700613544</v>
      </c>
    </row>
    <row r="350" ht="15.75" customHeight="1">
      <c r="B350" s="41" t="s">
        <v>378</v>
      </c>
      <c r="C350" s="41" t="s">
        <v>14</v>
      </c>
      <c r="D350" s="41" t="s">
        <v>54</v>
      </c>
      <c r="E350" s="41" t="s">
        <v>26</v>
      </c>
      <c r="F350" s="41" t="s">
        <v>17</v>
      </c>
      <c r="G350" s="41" t="s">
        <v>23</v>
      </c>
      <c r="H350" s="42">
        <v>45272.0</v>
      </c>
      <c r="I350" s="41">
        <v>271.0</v>
      </c>
      <c r="J350" s="43">
        <v>83.86</v>
      </c>
      <c r="K350" s="43">
        <v>19.75</v>
      </c>
      <c r="L350" s="43">
        <v>22726.06</v>
      </c>
      <c r="M350" s="43">
        <v>5352.25</v>
      </c>
      <c r="N350" s="43">
        <v>17373.81</v>
      </c>
      <c r="O350" s="44">
        <v>0.7644884331027904</v>
      </c>
    </row>
    <row r="351" ht="15.75" customHeight="1">
      <c r="B351" s="41" t="s">
        <v>379</v>
      </c>
      <c r="C351" s="41" t="s">
        <v>39</v>
      </c>
      <c r="D351" s="41" t="s">
        <v>15</v>
      </c>
      <c r="E351" s="41" t="s">
        <v>46</v>
      </c>
      <c r="F351" s="41" t="s">
        <v>17</v>
      </c>
      <c r="G351" s="41" t="s">
        <v>18</v>
      </c>
      <c r="H351" s="42">
        <v>45273.0</v>
      </c>
      <c r="I351" s="41">
        <v>82.0</v>
      </c>
      <c r="J351" s="43">
        <v>36.24</v>
      </c>
      <c r="K351" s="43">
        <v>16.44</v>
      </c>
      <c r="L351" s="43">
        <v>2971.6800000000003</v>
      </c>
      <c r="M351" s="43">
        <v>1348.0800000000002</v>
      </c>
      <c r="N351" s="43">
        <v>1623.6000000000001</v>
      </c>
      <c r="O351" s="44">
        <v>0.5463576158940397</v>
      </c>
    </row>
    <row r="352" ht="15.75" customHeight="1">
      <c r="B352" s="41" t="s">
        <v>380</v>
      </c>
      <c r="C352" s="41" t="s">
        <v>20</v>
      </c>
      <c r="D352" s="41" t="s">
        <v>15</v>
      </c>
      <c r="E352" s="41" t="s">
        <v>22</v>
      </c>
      <c r="F352" s="41" t="s">
        <v>17</v>
      </c>
      <c r="G352" s="41" t="s">
        <v>18</v>
      </c>
      <c r="H352" s="42">
        <v>45274.0</v>
      </c>
      <c r="I352" s="41">
        <v>368.0</v>
      </c>
      <c r="J352" s="43">
        <v>63.24</v>
      </c>
      <c r="K352" s="43">
        <v>111.74</v>
      </c>
      <c r="L352" s="43">
        <v>23272.32</v>
      </c>
      <c r="M352" s="43">
        <v>41120.32</v>
      </c>
      <c r="N352" s="43">
        <v>-17848.0</v>
      </c>
      <c r="O352" s="44">
        <v>-0.7669196710942442</v>
      </c>
    </row>
    <row r="353" ht="15.75" customHeight="1">
      <c r="B353" s="41" t="s">
        <v>381</v>
      </c>
      <c r="C353" s="41" t="s">
        <v>20</v>
      </c>
      <c r="D353" s="41" t="s">
        <v>15</v>
      </c>
      <c r="E353" s="41" t="s">
        <v>16</v>
      </c>
      <c r="F353" s="41" t="s">
        <v>17</v>
      </c>
      <c r="G353" s="41" t="s">
        <v>23</v>
      </c>
      <c r="H353" s="42">
        <v>45275.0</v>
      </c>
      <c r="I353" s="41">
        <v>232.0</v>
      </c>
      <c r="J353" s="43">
        <v>117.54</v>
      </c>
      <c r="K353" s="43">
        <v>111.69</v>
      </c>
      <c r="L353" s="43">
        <v>27269.280000000002</v>
      </c>
      <c r="M353" s="43">
        <v>25912.079999999998</v>
      </c>
      <c r="N353" s="43">
        <v>1357.2000000000044</v>
      </c>
      <c r="O353" s="44">
        <v>0.049770290964778106</v>
      </c>
    </row>
    <row r="354" ht="15.75" customHeight="1">
      <c r="B354" s="41" t="s">
        <v>382</v>
      </c>
      <c r="C354" s="41" t="s">
        <v>14</v>
      </c>
      <c r="D354" s="41" t="s">
        <v>34</v>
      </c>
      <c r="E354" s="41" t="s">
        <v>26</v>
      </c>
      <c r="F354" s="41" t="s">
        <v>27</v>
      </c>
      <c r="G354" s="41" t="s">
        <v>18</v>
      </c>
      <c r="H354" s="42">
        <v>45276.0</v>
      </c>
      <c r="I354" s="41">
        <v>425.0</v>
      </c>
      <c r="J354" s="43">
        <v>174.13</v>
      </c>
      <c r="K354" s="43">
        <v>315.28</v>
      </c>
      <c r="L354" s="43">
        <v>74005.25</v>
      </c>
      <c r="M354" s="43">
        <v>133994.0</v>
      </c>
      <c r="N354" s="43">
        <v>-59988.75</v>
      </c>
      <c r="O354" s="44">
        <v>-0.8106012749095504</v>
      </c>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dataValidations>
    <dataValidation type="list" allowBlank="1" showErrorMessage="1" sqref="B5:B354">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F5:F354">
      <formula1>"Online,Offline"</formula1>
    </dataValidation>
    <dataValidation type="list" allowBlank="1" showErrorMessage="1" sqref="C5:C354">
      <formula1>"East,West,North,Unknown,South"</formula1>
    </dataValidation>
    <dataValidation type="list" allowBlank="1" showErrorMessage="1" sqref="D5:D354">
      <formula1>"Germany,India,USA,UK,Australia"</formula1>
    </dataValidation>
    <dataValidation type="list" allowBlank="1" showErrorMessage="1" sqref="E5:E354">
      <formula1>"Beverages,Food,Clothing,Furniture,Electronics,Unknown"</formula1>
    </dataValidation>
    <dataValidation type="list" allowBlank="1" showErrorMessage="1" sqref="G5:G354">
      <formula1>"High,Low,Medium"</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10.0"/>
    <col customWidth="1" min="4" max="4" width="8.63"/>
    <col customWidth="1" min="5" max="5" width="9.5"/>
    <col customWidth="1" min="6" max="6" width="16.63"/>
    <col customWidth="1" min="7" max="7" width="14.25"/>
    <col customWidth="1" min="8" max="8" width="14.38"/>
    <col customWidth="1" min="9" max="9" width="17.5"/>
    <col customWidth="1" min="10" max="10" width="11.13"/>
    <col customWidth="1" min="11" max="11" width="10.88"/>
    <col customWidth="1" min="12" max="12" width="10.5"/>
    <col customWidth="1" min="13" max="15" width="8.63"/>
    <col customWidth="1" min="16" max="16" width="12.25"/>
    <col customWidth="1" min="17" max="20" width="8.63"/>
  </cols>
  <sheetData>
    <row r="1" ht="14.25" customHeight="1">
      <c r="I1" s="46"/>
      <c r="J1" s="47"/>
      <c r="K1" s="47"/>
      <c r="L1" s="47"/>
    </row>
    <row r="2" ht="14.25" customHeight="1">
      <c r="C2" s="37" t="s">
        <v>440</v>
      </c>
      <c r="D2" s="36"/>
      <c r="E2" s="36"/>
      <c r="F2" s="36"/>
      <c r="G2" s="36"/>
      <c r="H2" s="36"/>
      <c r="I2" s="36"/>
      <c r="J2" s="47"/>
      <c r="K2" s="47"/>
      <c r="L2" s="47"/>
      <c r="R2" s="25" t="s">
        <v>441</v>
      </c>
    </row>
    <row r="3" ht="14.25" customHeight="1">
      <c r="I3" s="46"/>
      <c r="J3" s="47"/>
      <c r="K3" s="47"/>
      <c r="L3" s="47"/>
    </row>
    <row r="4" ht="14.25" customHeight="1">
      <c r="C4" s="48" t="s">
        <v>442</v>
      </c>
      <c r="D4" s="36"/>
      <c r="I4" s="46"/>
      <c r="J4" s="47"/>
      <c r="K4" s="47"/>
      <c r="L4" s="47"/>
      <c r="R4" s="27" t="s">
        <v>443</v>
      </c>
    </row>
    <row r="5" ht="14.25" customHeight="1">
      <c r="I5" s="46"/>
      <c r="J5" s="47"/>
      <c r="K5" s="47"/>
      <c r="L5" s="47"/>
      <c r="R5" s="49" t="s">
        <v>444</v>
      </c>
    </row>
    <row r="6" ht="14.25" customHeight="1">
      <c r="C6" s="37" t="s">
        <v>445</v>
      </c>
      <c r="D6" s="36"/>
      <c r="E6" s="36"/>
      <c r="F6" s="36"/>
      <c r="G6" s="36"/>
      <c r="H6" s="36"/>
      <c r="I6" s="36"/>
      <c r="J6" s="36"/>
      <c r="K6" s="47"/>
      <c r="L6" s="47"/>
      <c r="R6" s="49" t="s">
        <v>446</v>
      </c>
    </row>
    <row r="7" ht="14.25" customHeight="1">
      <c r="C7" s="37" t="s">
        <v>447</v>
      </c>
      <c r="D7" s="36"/>
      <c r="E7" s="36"/>
      <c r="F7" s="36"/>
      <c r="G7" s="36"/>
      <c r="H7" s="36"/>
      <c r="I7" s="36"/>
      <c r="J7" s="36"/>
      <c r="K7" s="47"/>
      <c r="L7" s="47"/>
      <c r="R7" s="49" t="s">
        <v>448</v>
      </c>
    </row>
    <row r="8" ht="14.25" customHeight="1">
      <c r="I8" s="46"/>
      <c r="J8" s="47"/>
      <c r="K8" s="47"/>
      <c r="L8" s="47"/>
      <c r="R8" s="49" t="s">
        <v>449</v>
      </c>
    </row>
    <row r="9" ht="14.25" customHeight="1">
      <c r="C9" s="50" t="s">
        <v>450</v>
      </c>
      <c r="I9" s="46"/>
      <c r="J9" s="47"/>
      <c r="K9" s="47"/>
      <c r="L9" s="47"/>
      <c r="R9" s="49" t="s">
        <v>451</v>
      </c>
    </row>
    <row r="10" ht="14.25" customHeight="1">
      <c r="C10" s="37" t="s">
        <v>452</v>
      </c>
      <c r="D10" s="36"/>
      <c r="E10" s="36"/>
      <c r="F10" s="36"/>
      <c r="G10" s="36"/>
      <c r="H10" s="36"/>
      <c r="I10" s="36"/>
      <c r="J10" s="36"/>
      <c r="K10" s="36"/>
      <c r="L10" s="36"/>
    </row>
    <row r="11" ht="14.25" customHeight="1">
      <c r="C11" s="37" t="s">
        <v>453</v>
      </c>
      <c r="D11" s="36"/>
      <c r="E11" s="36"/>
      <c r="F11" s="36"/>
      <c r="G11" s="36"/>
      <c r="H11" s="36"/>
      <c r="I11" s="36"/>
      <c r="J11" s="36"/>
      <c r="K11" s="36"/>
      <c r="L11" s="36"/>
      <c r="R11" s="27"/>
    </row>
    <row r="12" ht="14.25" customHeight="1">
      <c r="I12" s="46"/>
      <c r="J12" s="47"/>
      <c r="K12" s="47"/>
      <c r="L12" s="47"/>
      <c r="R12" s="51" t="s">
        <v>454</v>
      </c>
    </row>
    <row r="13" ht="14.25" customHeight="1">
      <c r="C13" s="38" t="s">
        <v>0</v>
      </c>
      <c r="D13" s="38" t="s">
        <v>1</v>
      </c>
      <c r="E13" s="38" t="s">
        <v>2</v>
      </c>
      <c r="F13" s="38" t="s">
        <v>3</v>
      </c>
      <c r="G13" s="38" t="s">
        <v>4</v>
      </c>
      <c r="H13" s="38" t="s">
        <v>5</v>
      </c>
      <c r="I13" s="38" t="s">
        <v>6</v>
      </c>
      <c r="J13" s="38" t="s">
        <v>7</v>
      </c>
      <c r="K13" s="39" t="s">
        <v>8</v>
      </c>
      <c r="L13" s="39" t="s">
        <v>9</v>
      </c>
      <c r="M13" s="39" t="s">
        <v>10</v>
      </c>
      <c r="N13" s="39" t="s">
        <v>11</v>
      </c>
      <c r="O13" s="39" t="s">
        <v>12</v>
      </c>
      <c r="P13" s="38" t="s">
        <v>383</v>
      </c>
      <c r="R13" s="27" t="s">
        <v>455</v>
      </c>
    </row>
    <row r="14" ht="14.25" customHeight="1">
      <c r="C14" s="40" t="s">
        <v>13</v>
      </c>
      <c r="D14" s="41" t="s">
        <v>14</v>
      </c>
      <c r="E14" s="41" t="s">
        <v>15</v>
      </c>
      <c r="F14" s="41" t="s">
        <v>16</v>
      </c>
      <c r="G14" s="41" t="s">
        <v>17</v>
      </c>
      <c r="H14" s="41" t="s">
        <v>18</v>
      </c>
      <c r="I14" s="42">
        <v>44927.0</v>
      </c>
      <c r="J14" s="41">
        <v>235.0</v>
      </c>
      <c r="K14" s="43">
        <v>152.92</v>
      </c>
      <c r="L14" s="43">
        <v>153.6</v>
      </c>
      <c r="M14" s="43">
        <v>35936.2</v>
      </c>
      <c r="N14" s="43">
        <v>36096.0</v>
      </c>
      <c r="O14" s="43">
        <v>-159.8000000000029</v>
      </c>
      <c r="P14" s="44">
        <v>-0.00444676955270738</v>
      </c>
      <c r="R14" s="27" t="s">
        <v>456</v>
      </c>
    </row>
    <row r="15" ht="14.25" customHeight="1">
      <c r="C15" s="41" t="s">
        <v>19</v>
      </c>
      <c r="D15" s="41" t="s">
        <v>20</v>
      </c>
      <c r="E15" s="41" t="s">
        <v>21</v>
      </c>
      <c r="F15" s="41" t="s">
        <v>22</v>
      </c>
      <c r="G15" s="41" t="s">
        <v>17</v>
      </c>
      <c r="H15" s="41" t="s">
        <v>23</v>
      </c>
      <c r="I15" s="42">
        <v>44928.0</v>
      </c>
      <c r="J15" s="41">
        <v>341.0</v>
      </c>
      <c r="K15" s="43">
        <v>467.92</v>
      </c>
      <c r="L15" s="43">
        <v>139.84</v>
      </c>
      <c r="M15" s="43">
        <v>159560.72</v>
      </c>
      <c r="N15" s="43">
        <v>47685.44</v>
      </c>
      <c r="O15" s="43">
        <v>111875.28</v>
      </c>
      <c r="P15" s="44">
        <v>0.7011454949564028</v>
      </c>
      <c r="R15" s="27" t="s">
        <v>457</v>
      </c>
    </row>
    <row r="16" ht="14.25" customHeight="1">
      <c r="C16" s="41" t="s">
        <v>24</v>
      </c>
      <c r="D16" s="41" t="s">
        <v>25</v>
      </c>
      <c r="E16" s="41" t="s">
        <v>21</v>
      </c>
      <c r="F16" s="41" t="s">
        <v>26</v>
      </c>
      <c r="G16" s="41" t="s">
        <v>27</v>
      </c>
      <c r="H16" s="41" t="s">
        <v>18</v>
      </c>
      <c r="I16" s="42">
        <v>44929.0</v>
      </c>
      <c r="J16" s="41">
        <v>179.0</v>
      </c>
      <c r="K16" s="43">
        <v>473.94</v>
      </c>
      <c r="L16" s="43">
        <v>97.14</v>
      </c>
      <c r="M16" s="43">
        <v>84835.26</v>
      </c>
      <c r="N16" s="43">
        <v>17388.06</v>
      </c>
      <c r="O16" s="43">
        <v>67447.2</v>
      </c>
      <c r="P16" s="44">
        <v>0.7950373464995569</v>
      </c>
      <c r="R16" s="27" t="s">
        <v>458</v>
      </c>
    </row>
    <row r="17" ht="14.25" customHeight="1">
      <c r="C17" s="41" t="s">
        <v>28</v>
      </c>
      <c r="D17" s="41" t="s">
        <v>14</v>
      </c>
      <c r="E17" s="41" t="s">
        <v>29</v>
      </c>
      <c r="F17" s="41" t="s">
        <v>30</v>
      </c>
      <c r="G17" s="41" t="s">
        <v>27</v>
      </c>
      <c r="H17" s="41" t="s">
        <v>31</v>
      </c>
      <c r="I17" s="42">
        <v>44930.0</v>
      </c>
      <c r="J17" s="41">
        <v>18.0</v>
      </c>
      <c r="K17" s="43">
        <v>314.53</v>
      </c>
      <c r="L17" s="43">
        <v>204.87</v>
      </c>
      <c r="M17" s="43">
        <v>5661.539999999999</v>
      </c>
      <c r="N17" s="43">
        <v>3687.66</v>
      </c>
      <c r="O17" s="43">
        <v>1973.8799999999992</v>
      </c>
      <c r="P17" s="44">
        <v>0.3486471878676119</v>
      </c>
      <c r="R17" s="27" t="s">
        <v>459</v>
      </c>
    </row>
    <row r="18" ht="14.25" customHeight="1">
      <c r="C18" s="41" t="s">
        <v>32</v>
      </c>
      <c r="D18" s="41" t="s">
        <v>14</v>
      </c>
      <c r="E18" s="41" t="s">
        <v>21</v>
      </c>
      <c r="F18" s="41" t="s">
        <v>30</v>
      </c>
      <c r="G18" s="41" t="s">
        <v>27</v>
      </c>
      <c r="H18" s="41" t="s">
        <v>31</v>
      </c>
      <c r="I18" s="42">
        <v>44931.0</v>
      </c>
      <c r="J18" s="41">
        <v>472.0</v>
      </c>
      <c r="K18" s="43">
        <v>392.79</v>
      </c>
      <c r="L18" s="43">
        <v>330.46</v>
      </c>
      <c r="M18" s="43">
        <v>185396.88</v>
      </c>
      <c r="N18" s="43">
        <v>155977.12</v>
      </c>
      <c r="O18" s="43">
        <v>29419.76000000001</v>
      </c>
      <c r="P18" s="44">
        <v>0.15868530257898628</v>
      </c>
      <c r="R18" s="27" t="s">
        <v>460</v>
      </c>
    </row>
    <row r="19" ht="14.25" customHeight="1">
      <c r="C19" s="41" t="s">
        <v>33</v>
      </c>
      <c r="D19" s="41" t="s">
        <v>20</v>
      </c>
      <c r="E19" s="41" t="s">
        <v>34</v>
      </c>
      <c r="F19" s="41" t="s">
        <v>26</v>
      </c>
      <c r="G19" s="41" t="s">
        <v>17</v>
      </c>
      <c r="H19" s="41" t="s">
        <v>18</v>
      </c>
      <c r="I19" s="42">
        <v>44932.0</v>
      </c>
      <c r="J19" s="41">
        <v>49.0</v>
      </c>
      <c r="K19" s="43">
        <v>308.07</v>
      </c>
      <c r="L19" s="43">
        <v>113.32</v>
      </c>
      <c r="M19" s="43">
        <v>15095.43</v>
      </c>
      <c r="N19" s="43">
        <v>5552.679999999999</v>
      </c>
      <c r="O19" s="43">
        <v>9542.75</v>
      </c>
      <c r="P19" s="44">
        <v>0.6321615217320739</v>
      </c>
    </row>
    <row r="20" ht="14.25" customHeight="1">
      <c r="C20" s="41" t="s">
        <v>35</v>
      </c>
      <c r="D20" s="41" t="s">
        <v>25</v>
      </c>
      <c r="E20" s="41" t="s">
        <v>15</v>
      </c>
      <c r="F20" s="41" t="s">
        <v>26</v>
      </c>
      <c r="G20" s="41" t="s">
        <v>17</v>
      </c>
      <c r="H20" s="41" t="s">
        <v>23</v>
      </c>
      <c r="I20" s="42">
        <v>44933.0</v>
      </c>
      <c r="J20" s="41">
        <v>34.0</v>
      </c>
      <c r="K20" s="43">
        <v>244.78</v>
      </c>
      <c r="L20" s="43">
        <v>377.07</v>
      </c>
      <c r="M20" s="43">
        <v>8322.52</v>
      </c>
      <c r="N20" s="43">
        <v>12820.38</v>
      </c>
      <c r="O20" s="43">
        <v>-4497.859999999999</v>
      </c>
      <c r="P20" s="44">
        <v>-0.5404444807582317</v>
      </c>
    </row>
    <row r="21" ht="14.25" customHeight="1">
      <c r="C21" s="41" t="s">
        <v>36</v>
      </c>
      <c r="D21" s="41" t="s">
        <v>25</v>
      </c>
      <c r="E21" s="41" t="s">
        <v>21</v>
      </c>
      <c r="F21" s="41" t="s">
        <v>16</v>
      </c>
      <c r="G21" s="41" t="s">
        <v>17</v>
      </c>
      <c r="H21" s="41" t="s">
        <v>18</v>
      </c>
      <c r="I21" s="42">
        <v>44934.0</v>
      </c>
      <c r="J21" s="41">
        <v>270.0</v>
      </c>
      <c r="K21" s="43">
        <v>332.11</v>
      </c>
      <c r="L21" s="43">
        <v>349.59</v>
      </c>
      <c r="M21" s="43">
        <v>89669.7</v>
      </c>
      <c r="N21" s="43">
        <v>94389.29999999999</v>
      </c>
      <c r="O21" s="43">
        <v>-4719.599999999991</v>
      </c>
      <c r="P21" s="44">
        <v>-0.05263316371081861</v>
      </c>
    </row>
    <row r="22" ht="14.25" customHeight="1">
      <c r="C22" s="41" t="s">
        <v>37</v>
      </c>
      <c r="D22" s="41" t="s">
        <v>14</v>
      </c>
      <c r="E22" s="41" t="s">
        <v>21</v>
      </c>
      <c r="F22" s="41" t="s">
        <v>16</v>
      </c>
      <c r="G22" s="41" t="s">
        <v>17</v>
      </c>
      <c r="H22" s="41" t="s">
        <v>23</v>
      </c>
      <c r="I22" s="42">
        <v>44935.0</v>
      </c>
      <c r="J22" s="41">
        <v>404.0</v>
      </c>
      <c r="K22" s="43">
        <v>278.74</v>
      </c>
      <c r="L22" s="43">
        <v>66.38</v>
      </c>
      <c r="M22" s="43">
        <v>112610.96</v>
      </c>
      <c r="N22" s="43">
        <v>26817.519999999997</v>
      </c>
      <c r="O22" s="43">
        <v>85793.44</v>
      </c>
      <c r="P22" s="44">
        <v>0.7618569276027839</v>
      </c>
    </row>
    <row r="23" ht="14.25" hidden="1" customHeight="1">
      <c r="C23" s="41" t="s">
        <v>38</v>
      </c>
      <c r="D23" s="41" t="s">
        <v>39</v>
      </c>
      <c r="E23" s="41" t="s">
        <v>29</v>
      </c>
      <c r="F23" s="41" t="s">
        <v>30</v>
      </c>
      <c r="G23" s="41" t="s">
        <v>17</v>
      </c>
      <c r="H23" s="41" t="s">
        <v>31</v>
      </c>
      <c r="I23" s="42">
        <v>44936.0</v>
      </c>
      <c r="J23" s="41">
        <v>452.0</v>
      </c>
      <c r="K23" s="43">
        <v>300.75</v>
      </c>
      <c r="L23" s="43">
        <v>314.94</v>
      </c>
      <c r="M23" s="43">
        <v>135939.0</v>
      </c>
      <c r="N23" s="43">
        <v>142352.88</v>
      </c>
      <c r="O23" s="43">
        <v>-6413.880000000005</v>
      </c>
      <c r="P23" s="44">
        <v>-0.047182044887780585</v>
      </c>
    </row>
    <row r="24" ht="14.25" customHeight="1">
      <c r="C24" s="41" t="s">
        <v>40</v>
      </c>
      <c r="D24" s="41" t="s">
        <v>14</v>
      </c>
      <c r="E24" s="41" t="s">
        <v>29</v>
      </c>
      <c r="F24" s="41" t="s">
        <v>22</v>
      </c>
      <c r="G24" s="41" t="s">
        <v>17</v>
      </c>
      <c r="H24" s="41" t="s">
        <v>23</v>
      </c>
      <c r="I24" s="42">
        <v>44937.0</v>
      </c>
      <c r="J24" s="41">
        <v>235.0</v>
      </c>
      <c r="K24" s="43">
        <v>393.0</v>
      </c>
      <c r="L24" s="43">
        <v>230.69</v>
      </c>
      <c r="M24" s="43">
        <v>92355.0</v>
      </c>
      <c r="N24" s="43">
        <v>54212.15</v>
      </c>
      <c r="O24" s="43">
        <v>38142.85</v>
      </c>
      <c r="P24" s="44">
        <v>0.41300254452926205</v>
      </c>
    </row>
    <row r="25" ht="14.25" customHeight="1">
      <c r="C25" s="41" t="s">
        <v>41</v>
      </c>
      <c r="D25" s="41" t="s">
        <v>14</v>
      </c>
      <c r="E25" s="41" t="s">
        <v>34</v>
      </c>
      <c r="F25" s="41" t="s">
        <v>30</v>
      </c>
      <c r="G25" s="41" t="s">
        <v>27</v>
      </c>
      <c r="H25" s="41" t="s">
        <v>31</v>
      </c>
      <c r="I25" s="42">
        <v>44938.0</v>
      </c>
      <c r="J25" s="41">
        <v>481.0</v>
      </c>
      <c r="K25" s="43">
        <v>243.05</v>
      </c>
      <c r="L25" s="43">
        <v>227.5</v>
      </c>
      <c r="M25" s="43">
        <v>116907.05</v>
      </c>
      <c r="N25" s="43">
        <v>109427.5</v>
      </c>
      <c r="O25" s="43">
        <v>7479.550000000003</v>
      </c>
      <c r="P25" s="44">
        <v>0.06397860522526232</v>
      </c>
    </row>
    <row r="26" ht="14.25" customHeight="1">
      <c r="C26" s="41" t="s">
        <v>42</v>
      </c>
      <c r="D26" s="41" t="s">
        <v>14</v>
      </c>
      <c r="E26" s="41" t="s">
        <v>15</v>
      </c>
      <c r="F26" s="41" t="s">
        <v>22</v>
      </c>
      <c r="G26" s="41" t="s">
        <v>27</v>
      </c>
      <c r="H26" s="41" t="s">
        <v>23</v>
      </c>
      <c r="I26" s="42">
        <v>44939.0</v>
      </c>
      <c r="J26" s="41">
        <v>133.0</v>
      </c>
      <c r="K26" s="43">
        <v>25.17</v>
      </c>
      <c r="L26" s="43">
        <v>157.64</v>
      </c>
      <c r="M26" s="43">
        <v>3347.61</v>
      </c>
      <c r="N26" s="43">
        <v>20966.12</v>
      </c>
      <c r="O26" s="43">
        <v>-17618.51</v>
      </c>
      <c r="P26" s="44">
        <v>-5.263011521652761</v>
      </c>
    </row>
    <row r="27" ht="14.25" customHeight="1">
      <c r="C27" s="41" t="s">
        <v>43</v>
      </c>
      <c r="D27" s="41" t="s">
        <v>14</v>
      </c>
      <c r="E27" s="41" t="s">
        <v>29</v>
      </c>
      <c r="F27" s="41" t="s">
        <v>22</v>
      </c>
      <c r="G27" s="41" t="s">
        <v>27</v>
      </c>
      <c r="H27" s="41" t="s">
        <v>23</v>
      </c>
      <c r="I27" s="42">
        <v>44940.0</v>
      </c>
      <c r="J27" s="41">
        <v>472.0</v>
      </c>
      <c r="K27" s="43">
        <v>86.18</v>
      </c>
      <c r="L27" s="43">
        <v>201.46</v>
      </c>
      <c r="M27" s="43">
        <v>40676.96000000001</v>
      </c>
      <c r="N27" s="43">
        <v>95089.12000000001</v>
      </c>
      <c r="O27" s="43">
        <v>-54412.16</v>
      </c>
      <c r="P27" s="44">
        <v>-1.337665351589696</v>
      </c>
    </row>
    <row r="28" ht="14.25" customHeight="1">
      <c r="C28" s="41" t="s">
        <v>44</v>
      </c>
      <c r="D28" s="41" t="s">
        <v>20</v>
      </c>
      <c r="E28" s="41" t="s">
        <v>21</v>
      </c>
      <c r="F28" s="41" t="s">
        <v>16</v>
      </c>
      <c r="G28" s="41" t="s">
        <v>27</v>
      </c>
      <c r="H28" s="41" t="s">
        <v>23</v>
      </c>
      <c r="I28" s="42">
        <v>44941.0</v>
      </c>
      <c r="J28" s="41">
        <v>47.0</v>
      </c>
      <c r="K28" s="43">
        <v>222.11</v>
      </c>
      <c r="L28" s="43">
        <v>160.08</v>
      </c>
      <c r="M28" s="43">
        <v>10439.17</v>
      </c>
      <c r="N28" s="43">
        <v>7523.76</v>
      </c>
      <c r="O28" s="43">
        <v>2915.41</v>
      </c>
      <c r="P28" s="44">
        <v>0.27927603439737064</v>
      </c>
    </row>
    <row r="29" ht="14.25" customHeight="1">
      <c r="C29" s="41" t="s">
        <v>45</v>
      </c>
      <c r="D29" s="41" t="s">
        <v>25</v>
      </c>
      <c r="E29" s="41" t="s">
        <v>15</v>
      </c>
      <c r="F29" s="41" t="s">
        <v>46</v>
      </c>
      <c r="G29" s="41" t="s">
        <v>17</v>
      </c>
      <c r="H29" s="41" t="s">
        <v>18</v>
      </c>
      <c r="I29" s="42">
        <v>44942.0</v>
      </c>
      <c r="J29" s="41">
        <v>337.0</v>
      </c>
      <c r="K29" s="43">
        <v>363.79</v>
      </c>
      <c r="L29" s="43">
        <v>216.81</v>
      </c>
      <c r="M29" s="43">
        <v>122597.23000000001</v>
      </c>
      <c r="N29" s="43">
        <v>73064.97</v>
      </c>
      <c r="O29" s="43">
        <v>49532.26000000001</v>
      </c>
      <c r="P29" s="44">
        <v>0.4040242997333627</v>
      </c>
    </row>
    <row r="30" ht="14.25" customHeight="1">
      <c r="C30" s="41" t="s">
        <v>47</v>
      </c>
      <c r="D30" s="41" t="s">
        <v>20</v>
      </c>
      <c r="E30" s="41" t="s">
        <v>15</v>
      </c>
      <c r="F30" s="41" t="s">
        <v>46</v>
      </c>
      <c r="G30" s="41" t="s">
        <v>17</v>
      </c>
      <c r="H30" s="41" t="s">
        <v>18</v>
      </c>
      <c r="I30" s="42">
        <v>44943.0</v>
      </c>
      <c r="J30" s="41">
        <v>260.0</v>
      </c>
      <c r="K30" s="43">
        <v>298.67</v>
      </c>
      <c r="L30" s="43">
        <v>251.92</v>
      </c>
      <c r="M30" s="43">
        <v>77654.2</v>
      </c>
      <c r="N30" s="43">
        <v>65499.2</v>
      </c>
      <c r="O30" s="43">
        <v>12155.0</v>
      </c>
      <c r="P30" s="44">
        <v>0.15652727090099441</v>
      </c>
    </row>
    <row r="31" ht="14.25" hidden="1" customHeight="1">
      <c r="C31" s="41" t="s">
        <v>48</v>
      </c>
      <c r="D31" s="41" t="s">
        <v>39</v>
      </c>
      <c r="E31" s="41" t="s">
        <v>21</v>
      </c>
      <c r="F31" s="41" t="s">
        <v>26</v>
      </c>
      <c r="G31" s="41" t="s">
        <v>27</v>
      </c>
      <c r="H31" s="41" t="s">
        <v>31</v>
      </c>
      <c r="I31" s="42">
        <v>44944.0</v>
      </c>
      <c r="J31" s="41">
        <v>398.0</v>
      </c>
      <c r="K31" s="43">
        <v>326.9</v>
      </c>
      <c r="L31" s="43">
        <v>270.37</v>
      </c>
      <c r="M31" s="43">
        <v>130106.2</v>
      </c>
      <c r="N31" s="43">
        <v>107607.26</v>
      </c>
      <c r="O31" s="43">
        <v>22498.940000000002</v>
      </c>
      <c r="P31" s="44">
        <v>0.17292750076475988</v>
      </c>
    </row>
    <row r="32" ht="14.25" customHeight="1">
      <c r="C32" s="41" t="s">
        <v>49</v>
      </c>
      <c r="D32" s="41" t="s">
        <v>20</v>
      </c>
      <c r="E32" s="41" t="s">
        <v>29</v>
      </c>
      <c r="F32" s="41" t="s">
        <v>16</v>
      </c>
      <c r="G32" s="41" t="s">
        <v>17</v>
      </c>
      <c r="H32" s="41" t="s">
        <v>31</v>
      </c>
      <c r="I32" s="42">
        <v>44945.0</v>
      </c>
      <c r="J32" s="41">
        <v>185.0</v>
      </c>
      <c r="K32" s="43">
        <v>242.24</v>
      </c>
      <c r="L32" s="43">
        <v>213.93</v>
      </c>
      <c r="M32" s="43">
        <v>44814.4</v>
      </c>
      <c r="N32" s="43">
        <v>39577.05</v>
      </c>
      <c r="O32" s="43">
        <v>5237.3499999999985</v>
      </c>
      <c r="P32" s="44">
        <v>0.11686756935270802</v>
      </c>
    </row>
    <row r="33" ht="14.25" customHeight="1">
      <c r="C33" s="41" t="s">
        <v>50</v>
      </c>
      <c r="D33" s="41" t="s">
        <v>14</v>
      </c>
      <c r="E33" s="41" t="s">
        <v>21</v>
      </c>
      <c r="F33" s="41" t="s">
        <v>22</v>
      </c>
      <c r="G33" s="41" t="s">
        <v>27</v>
      </c>
      <c r="H33" s="41" t="s">
        <v>18</v>
      </c>
      <c r="I33" s="42">
        <v>44946.0</v>
      </c>
      <c r="J33" s="41">
        <v>99.0</v>
      </c>
      <c r="K33" s="43">
        <v>309.79</v>
      </c>
      <c r="L33" s="43">
        <v>289.13</v>
      </c>
      <c r="M33" s="43">
        <v>30669.210000000003</v>
      </c>
      <c r="N33" s="43">
        <v>28623.87</v>
      </c>
      <c r="O33" s="43">
        <v>2045.3400000000038</v>
      </c>
      <c r="P33" s="44">
        <v>0.06669033861648226</v>
      </c>
    </row>
    <row r="34" ht="14.25" customHeight="1">
      <c r="C34" s="41" t="s">
        <v>51</v>
      </c>
      <c r="D34" s="41" t="s">
        <v>52</v>
      </c>
      <c r="E34" s="41" t="s">
        <v>15</v>
      </c>
      <c r="F34" s="41" t="s">
        <v>46</v>
      </c>
      <c r="G34" s="41" t="s">
        <v>27</v>
      </c>
      <c r="H34" s="41" t="s">
        <v>31</v>
      </c>
      <c r="I34" s="42">
        <v>44947.0</v>
      </c>
      <c r="J34" s="41">
        <v>411.0</v>
      </c>
      <c r="K34" s="43">
        <v>167.86</v>
      </c>
      <c r="L34" s="43">
        <v>58.23</v>
      </c>
      <c r="M34" s="43">
        <v>68990.46</v>
      </c>
      <c r="N34" s="43">
        <v>23932.53</v>
      </c>
      <c r="O34" s="43">
        <v>45057.93000000001</v>
      </c>
      <c r="P34" s="44">
        <v>0.6531037769569881</v>
      </c>
    </row>
    <row r="35" ht="14.25" customHeight="1">
      <c r="C35" s="41" t="s">
        <v>53</v>
      </c>
      <c r="D35" s="41" t="s">
        <v>25</v>
      </c>
      <c r="E35" s="41" t="s">
        <v>54</v>
      </c>
      <c r="F35" s="41" t="s">
        <v>22</v>
      </c>
      <c r="G35" s="41" t="s">
        <v>27</v>
      </c>
      <c r="H35" s="41" t="s">
        <v>18</v>
      </c>
      <c r="I35" s="42">
        <v>44948.0</v>
      </c>
      <c r="J35" s="41">
        <v>463.0</v>
      </c>
      <c r="K35" s="43">
        <v>237.74</v>
      </c>
      <c r="L35" s="43">
        <v>86.37</v>
      </c>
      <c r="M35" s="43">
        <v>110073.62000000001</v>
      </c>
      <c r="N35" s="43">
        <v>39989.310000000005</v>
      </c>
      <c r="O35" s="43">
        <v>70084.31</v>
      </c>
      <c r="P35" s="44">
        <v>0.6367039623117691</v>
      </c>
    </row>
    <row r="36" ht="14.25" customHeight="1">
      <c r="C36" s="41" t="s">
        <v>55</v>
      </c>
      <c r="D36" s="41" t="s">
        <v>52</v>
      </c>
      <c r="E36" s="41" t="s">
        <v>54</v>
      </c>
      <c r="F36" s="41" t="s">
        <v>46</v>
      </c>
      <c r="G36" s="41" t="s">
        <v>17</v>
      </c>
      <c r="H36" s="41" t="s">
        <v>23</v>
      </c>
      <c r="I36" s="42">
        <v>44949.0</v>
      </c>
      <c r="J36" s="41">
        <v>46.0</v>
      </c>
      <c r="K36" s="43">
        <v>373.42</v>
      </c>
      <c r="L36" s="43">
        <v>327.86</v>
      </c>
      <c r="M36" s="43">
        <v>17177.32</v>
      </c>
      <c r="N36" s="43">
        <v>15081.560000000001</v>
      </c>
      <c r="O36" s="43">
        <v>2095.7599999999984</v>
      </c>
      <c r="P36" s="44">
        <v>0.1220073911413421</v>
      </c>
    </row>
    <row r="37" ht="14.25" customHeight="1">
      <c r="C37" s="41" t="s">
        <v>56</v>
      </c>
      <c r="D37" s="41" t="s">
        <v>20</v>
      </c>
      <c r="E37" s="41" t="s">
        <v>34</v>
      </c>
      <c r="F37" s="41" t="s">
        <v>46</v>
      </c>
      <c r="G37" s="41" t="s">
        <v>27</v>
      </c>
      <c r="H37" s="41" t="s">
        <v>31</v>
      </c>
      <c r="I37" s="42">
        <v>44950.0</v>
      </c>
      <c r="J37" s="41">
        <v>325.0</v>
      </c>
      <c r="K37" s="43">
        <v>436.56</v>
      </c>
      <c r="L37" s="43">
        <v>130.37</v>
      </c>
      <c r="M37" s="43">
        <v>141882.0</v>
      </c>
      <c r="N37" s="43">
        <v>42370.25</v>
      </c>
      <c r="O37" s="43">
        <v>99511.75</v>
      </c>
      <c r="P37" s="44">
        <v>0.7013698002565513</v>
      </c>
    </row>
    <row r="38" ht="14.25" hidden="1" customHeight="1">
      <c r="C38" s="41" t="s">
        <v>57</v>
      </c>
      <c r="D38" s="41" t="s">
        <v>20</v>
      </c>
      <c r="E38" s="41" t="s">
        <v>21</v>
      </c>
      <c r="F38" s="41" t="s">
        <v>39</v>
      </c>
      <c r="G38" s="41" t="s">
        <v>27</v>
      </c>
      <c r="H38" s="41" t="s">
        <v>31</v>
      </c>
      <c r="I38" s="42">
        <v>44951.0</v>
      </c>
      <c r="J38" s="41">
        <v>185.0</v>
      </c>
      <c r="K38" s="43">
        <v>219.66</v>
      </c>
      <c r="L38" s="43">
        <v>11.11</v>
      </c>
      <c r="M38" s="43">
        <v>40637.1</v>
      </c>
      <c r="N38" s="43">
        <v>2055.35</v>
      </c>
      <c r="O38" s="43">
        <v>38581.75</v>
      </c>
      <c r="P38" s="44">
        <v>0.9494218337430574</v>
      </c>
    </row>
    <row r="39" ht="14.25" customHeight="1">
      <c r="C39" s="41" t="s">
        <v>58</v>
      </c>
      <c r="D39" s="41" t="s">
        <v>52</v>
      </c>
      <c r="E39" s="41" t="s">
        <v>21</v>
      </c>
      <c r="F39" s="41" t="s">
        <v>16</v>
      </c>
      <c r="G39" s="41" t="s">
        <v>27</v>
      </c>
      <c r="H39" s="41" t="s">
        <v>18</v>
      </c>
      <c r="I39" s="42">
        <v>44952.0</v>
      </c>
      <c r="J39" s="41">
        <v>470.0</v>
      </c>
      <c r="K39" s="43">
        <v>26.61</v>
      </c>
      <c r="L39" s="43">
        <v>63.21</v>
      </c>
      <c r="M39" s="43">
        <v>12506.699999999999</v>
      </c>
      <c r="N39" s="43">
        <v>29708.7</v>
      </c>
      <c r="O39" s="43">
        <v>-17202.0</v>
      </c>
      <c r="P39" s="44">
        <v>-1.3754227733934612</v>
      </c>
    </row>
    <row r="40" ht="14.25" customHeight="1">
      <c r="C40" s="41" t="s">
        <v>59</v>
      </c>
      <c r="D40" s="41" t="s">
        <v>52</v>
      </c>
      <c r="E40" s="41" t="s">
        <v>34</v>
      </c>
      <c r="F40" s="41" t="s">
        <v>30</v>
      </c>
      <c r="G40" s="41" t="s">
        <v>17</v>
      </c>
      <c r="H40" s="41" t="s">
        <v>31</v>
      </c>
      <c r="I40" s="42">
        <v>44953.0</v>
      </c>
      <c r="J40" s="41">
        <v>293.0</v>
      </c>
      <c r="K40" s="43">
        <v>85.03</v>
      </c>
      <c r="L40" s="43">
        <v>91.0</v>
      </c>
      <c r="M40" s="43">
        <v>24913.79</v>
      </c>
      <c r="N40" s="43">
        <v>26663.0</v>
      </c>
      <c r="O40" s="43">
        <v>-1749.2099999999991</v>
      </c>
      <c r="P40" s="44">
        <v>-0.07021051393625775</v>
      </c>
    </row>
    <row r="41" ht="14.25" hidden="1" customHeight="1">
      <c r="C41" s="41" t="s">
        <v>60</v>
      </c>
      <c r="D41" s="41" t="s">
        <v>52</v>
      </c>
      <c r="E41" s="41" t="s">
        <v>34</v>
      </c>
      <c r="F41" s="41" t="s">
        <v>22</v>
      </c>
      <c r="G41" s="41" t="s">
        <v>17</v>
      </c>
      <c r="H41" s="41" t="s">
        <v>31</v>
      </c>
      <c r="I41" s="42">
        <v>44954.0</v>
      </c>
      <c r="J41" s="41">
        <v>462.0</v>
      </c>
      <c r="K41" s="43">
        <v>249.64520588235297</v>
      </c>
      <c r="L41" s="43">
        <v>383.01</v>
      </c>
      <c r="M41" s="43">
        <v>115336.08511764708</v>
      </c>
      <c r="N41" s="43">
        <v>176950.62</v>
      </c>
      <c r="O41" s="43">
        <v>-61614.53488235292</v>
      </c>
      <c r="P41" s="44">
        <v>-0.5342173251285911</v>
      </c>
    </row>
    <row r="42" ht="14.25" customHeight="1">
      <c r="C42" s="41" t="s">
        <v>61</v>
      </c>
      <c r="D42" s="41" t="s">
        <v>20</v>
      </c>
      <c r="E42" s="41" t="s">
        <v>34</v>
      </c>
      <c r="F42" s="41" t="s">
        <v>16</v>
      </c>
      <c r="G42" s="41" t="s">
        <v>27</v>
      </c>
      <c r="H42" s="41" t="s">
        <v>23</v>
      </c>
      <c r="I42" s="42">
        <v>44955.0</v>
      </c>
      <c r="J42" s="41">
        <v>470.0</v>
      </c>
      <c r="K42" s="43">
        <v>328.37</v>
      </c>
      <c r="L42" s="43">
        <v>230.07</v>
      </c>
      <c r="M42" s="43">
        <v>154333.9</v>
      </c>
      <c r="N42" s="43">
        <v>108132.9</v>
      </c>
      <c r="O42" s="43">
        <v>46201.0</v>
      </c>
      <c r="P42" s="44">
        <v>0.29935743216493593</v>
      </c>
    </row>
    <row r="43" ht="14.25" customHeight="1">
      <c r="C43" s="41" t="s">
        <v>62</v>
      </c>
      <c r="D43" s="41" t="s">
        <v>20</v>
      </c>
      <c r="E43" s="41" t="s">
        <v>15</v>
      </c>
      <c r="F43" s="41" t="s">
        <v>16</v>
      </c>
      <c r="G43" s="41" t="s">
        <v>17</v>
      </c>
      <c r="H43" s="41" t="s">
        <v>31</v>
      </c>
      <c r="I43" s="42">
        <v>44956.0</v>
      </c>
      <c r="J43" s="41">
        <v>90.0</v>
      </c>
      <c r="K43" s="43">
        <v>169.5</v>
      </c>
      <c r="L43" s="43">
        <v>373.23</v>
      </c>
      <c r="M43" s="43">
        <v>15255.0</v>
      </c>
      <c r="N43" s="43">
        <v>33590.700000000004</v>
      </c>
      <c r="O43" s="43">
        <v>-18335.700000000004</v>
      </c>
      <c r="P43" s="44">
        <v>-1.2019469026548675</v>
      </c>
    </row>
    <row r="44" ht="14.25" hidden="1" customHeight="1">
      <c r="C44" s="41" t="s">
        <v>63</v>
      </c>
      <c r="D44" s="41" t="s">
        <v>39</v>
      </c>
      <c r="E44" s="41" t="s">
        <v>21</v>
      </c>
      <c r="F44" s="41" t="s">
        <v>16</v>
      </c>
      <c r="G44" s="41" t="s">
        <v>17</v>
      </c>
      <c r="H44" s="41" t="s">
        <v>23</v>
      </c>
      <c r="I44" s="42">
        <v>44957.0</v>
      </c>
      <c r="J44" s="41">
        <v>123.0</v>
      </c>
      <c r="K44" s="43">
        <v>273.53</v>
      </c>
      <c r="L44" s="43">
        <v>230.92</v>
      </c>
      <c r="M44" s="43">
        <v>33644.189999999995</v>
      </c>
      <c r="N44" s="43">
        <v>28403.16</v>
      </c>
      <c r="O44" s="43">
        <v>5241.029999999995</v>
      </c>
      <c r="P44" s="44">
        <v>0.15577815961686092</v>
      </c>
    </row>
    <row r="45" ht="14.25" customHeight="1">
      <c r="C45" s="41" t="s">
        <v>64</v>
      </c>
      <c r="D45" s="41" t="s">
        <v>25</v>
      </c>
      <c r="E45" s="41" t="s">
        <v>15</v>
      </c>
      <c r="F45" s="41" t="s">
        <v>16</v>
      </c>
      <c r="G45" s="41" t="s">
        <v>17</v>
      </c>
      <c r="H45" s="41" t="s">
        <v>18</v>
      </c>
      <c r="I45" s="42">
        <v>44958.0</v>
      </c>
      <c r="J45" s="41">
        <v>49.0</v>
      </c>
      <c r="K45" s="43">
        <v>249.17</v>
      </c>
      <c r="L45" s="43">
        <v>192.78</v>
      </c>
      <c r="M45" s="43">
        <v>12209.33</v>
      </c>
      <c r="N45" s="43">
        <v>9446.22</v>
      </c>
      <c r="O45" s="43">
        <v>2763.1100000000006</v>
      </c>
      <c r="P45" s="44">
        <v>0.226311353694265</v>
      </c>
    </row>
    <row r="46" ht="14.25" customHeight="1">
      <c r="C46" s="41" t="s">
        <v>65</v>
      </c>
      <c r="D46" s="41" t="s">
        <v>20</v>
      </c>
      <c r="E46" s="41" t="s">
        <v>34</v>
      </c>
      <c r="F46" s="41" t="s">
        <v>16</v>
      </c>
      <c r="G46" s="41" t="s">
        <v>17</v>
      </c>
      <c r="H46" s="41" t="s">
        <v>31</v>
      </c>
      <c r="I46" s="42">
        <v>44959.0</v>
      </c>
      <c r="J46" s="41">
        <v>310.0</v>
      </c>
      <c r="K46" s="43">
        <v>45.36</v>
      </c>
      <c r="L46" s="43">
        <v>126.86</v>
      </c>
      <c r="M46" s="43">
        <v>14061.6</v>
      </c>
      <c r="N46" s="43">
        <v>39326.6</v>
      </c>
      <c r="O46" s="43">
        <v>-25265.0</v>
      </c>
      <c r="P46" s="44">
        <v>-1.79673721340388</v>
      </c>
    </row>
    <row r="47" ht="14.25" customHeight="1">
      <c r="C47" s="41" t="s">
        <v>66</v>
      </c>
      <c r="D47" s="41" t="s">
        <v>52</v>
      </c>
      <c r="E47" s="41" t="s">
        <v>21</v>
      </c>
      <c r="F47" s="41" t="s">
        <v>26</v>
      </c>
      <c r="G47" s="41" t="s">
        <v>17</v>
      </c>
      <c r="H47" s="41" t="s">
        <v>23</v>
      </c>
      <c r="I47" s="42">
        <v>44960.0</v>
      </c>
      <c r="J47" s="41">
        <v>233.0</v>
      </c>
      <c r="K47" s="43">
        <v>204.61</v>
      </c>
      <c r="L47" s="43">
        <v>243.34</v>
      </c>
      <c r="M47" s="43">
        <v>47674.130000000005</v>
      </c>
      <c r="N47" s="43">
        <v>56698.22</v>
      </c>
      <c r="O47" s="43">
        <v>-9024.089999999997</v>
      </c>
      <c r="P47" s="44">
        <v>-0.18928693612237907</v>
      </c>
    </row>
    <row r="48" ht="14.25" customHeight="1">
      <c r="C48" s="41" t="s">
        <v>67</v>
      </c>
      <c r="D48" s="41" t="s">
        <v>52</v>
      </c>
      <c r="E48" s="41" t="s">
        <v>15</v>
      </c>
      <c r="F48" s="41" t="s">
        <v>22</v>
      </c>
      <c r="G48" s="41" t="s">
        <v>17</v>
      </c>
      <c r="H48" s="41" t="s">
        <v>18</v>
      </c>
      <c r="I48" s="42">
        <v>44961.0</v>
      </c>
      <c r="J48" s="41">
        <v>327.0</v>
      </c>
      <c r="K48" s="43">
        <v>114.18</v>
      </c>
      <c r="L48" s="43">
        <v>57.4</v>
      </c>
      <c r="M48" s="43">
        <v>37336.86</v>
      </c>
      <c r="N48" s="43">
        <v>18769.8</v>
      </c>
      <c r="O48" s="43">
        <v>18567.06</v>
      </c>
      <c r="P48" s="44">
        <v>0.4972849886144684</v>
      </c>
    </row>
    <row r="49" ht="14.25" customHeight="1">
      <c r="C49" s="41" t="s">
        <v>68</v>
      </c>
      <c r="D49" s="41" t="s">
        <v>25</v>
      </c>
      <c r="E49" s="41" t="s">
        <v>15</v>
      </c>
      <c r="F49" s="41" t="s">
        <v>16</v>
      </c>
      <c r="G49" s="41" t="s">
        <v>17</v>
      </c>
      <c r="H49" s="41" t="s">
        <v>31</v>
      </c>
      <c r="I49" s="42">
        <v>44962.0</v>
      </c>
      <c r="J49" s="41">
        <v>358.0</v>
      </c>
      <c r="K49" s="43">
        <v>212.11</v>
      </c>
      <c r="L49" s="43">
        <v>359.51</v>
      </c>
      <c r="M49" s="43">
        <v>75935.38</v>
      </c>
      <c r="N49" s="43">
        <v>128704.58</v>
      </c>
      <c r="O49" s="43">
        <v>-52769.2</v>
      </c>
      <c r="P49" s="44">
        <v>-0.6949224459007118</v>
      </c>
    </row>
    <row r="50" ht="14.25" hidden="1" customHeight="1">
      <c r="C50" s="41" t="s">
        <v>69</v>
      </c>
      <c r="D50" s="41" t="s">
        <v>20</v>
      </c>
      <c r="E50" s="41" t="s">
        <v>34</v>
      </c>
      <c r="F50" s="41" t="s">
        <v>22</v>
      </c>
      <c r="G50" s="41" t="s">
        <v>17</v>
      </c>
      <c r="H50" s="41" t="s">
        <v>18</v>
      </c>
      <c r="I50" s="42">
        <v>44963.0</v>
      </c>
      <c r="J50" s="41">
        <v>124.0</v>
      </c>
      <c r="K50" s="43">
        <v>249.64520588235297</v>
      </c>
      <c r="L50" s="43">
        <v>332.07</v>
      </c>
      <c r="M50" s="43">
        <v>30956.005529411766</v>
      </c>
      <c r="N50" s="43">
        <v>41176.68</v>
      </c>
      <c r="O50" s="43">
        <v>-10220.674470588234</v>
      </c>
      <c r="P50" s="44">
        <v>-0.3301677427624639</v>
      </c>
    </row>
    <row r="51" ht="14.25" customHeight="1">
      <c r="C51" s="41" t="s">
        <v>70</v>
      </c>
      <c r="D51" s="41" t="s">
        <v>25</v>
      </c>
      <c r="E51" s="41" t="s">
        <v>21</v>
      </c>
      <c r="F51" s="41" t="s">
        <v>26</v>
      </c>
      <c r="G51" s="41" t="s">
        <v>17</v>
      </c>
      <c r="H51" s="41" t="s">
        <v>31</v>
      </c>
      <c r="I51" s="42">
        <v>44964.0</v>
      </c>
      <c r="J51" s="41">
        <v>195.0</v>
      </c>
      <c r="K51" s="43">
        <v>421.02</v>
      </c>
      <c r="L51" s="43">
        <v>128.38</v>
      </c>
      <c r="M51" s="43">
        <v>82098.9</v>
      </c>
      <c r="N51" s="43">
        <v>25034.1</v>
      </c>
      <c r="O51" s="43">
        <v>57064.799999999996</v>
      </c>
      <c r="P51" s="44">
        <v>0.6950738682247875</v>
      </c>
    </row>
    <row r="52" ht="14.25" hidden="1" customHeight="1">
      <c r="C52" s="41" t="s">
        <v>71</v>
      </c>
      <c r="D52" s="41" t="s">
        <v>25</v>
      </c>
      <c r="E52" s="41" t="s">
        <v>34</v>
      </c>
      <c r="F52" s="41" t="s">
        <v>26</v>
      </c>
      <c r="G52" s="41" t="s">
        <v>17</v>
      </c>
      <c r="H52" s="41" t="s">
        <v>18</v>
      </c>
      <c r="I52" s="42">
        <v>44965.0</v>
      </c>
      <c r="J52" s="45">
        <v>255.9029411764706</v>
      </c>
      <c r="K52" s="43">
        <v>91.23</v>
      </c>
      <c r="L52" s="43">
        <v>381.21</v>
      </c>
      <c r="M52" s="43">
        <v>23346.02532352941</v>
      </c>
      <c r="N52" s="43">
        <v>97552.76020588235</v>
      </c>
      <c r="O52" s="43">
        <v>-74206.73488235295</v>
      </c>
      <c r="P52" s="44">
        <v>-3.1785596843143704</v>
      </c>
    </row>
    <row r="53" ht="14.25" customHeight="1">
      <c r="C53" s="41" t="s">
        <v>72</v>
      </c>
      <c r="D53" s="41" t="s">
        <v>14</v>
      </c>
      <c r="E53" s="41" t="s">
        <v>21</v>
      </c>
      <c r="F53" s="41" t="s">
        <v>22</v>
      </c>
      <c r="G53" s="41" t="s">
        <v>27</v>
      </c>
      <c r="H53" s="41" t="s">
        <v>18</v>
      </c>
      <c r="I53" s="42">
        <v>44966.0</v>
      </c>
      <c r="J53" s="41">
        <v>65.0</v>
      </c>
      <c r="K53" s="43">
        <v>480.59</v>
      </c>
      <c r="L53" s="43">
        <v>330.43</v>
      </c>
      <c r="M53" s="43">
        <v>31238.35</v>
      </c>
      <c r="N53" s="43">
        <v>21477.95</v>
      </c>
      <c r="O53" s="43">
        <v>9760.399999999998</v>
      </c>
      <c r="P53" s="44">
        <v>0.31244928109199105</v>
      </c>
    </row>
    <row r="54" ht="14.25" customHeight="1">
      <c r="C54" s="41" t="s">
        <v>73</v>
      </c>
      <c r="D54" s="41" t="s">
        <v>14</v>
      </c>
      <c r="E54" s="41" t="s">
        <v>54</v>
      </c>
      <c r="F54" s="41" t="s">
        <v>46</v>
      </c>
      <c r="G54" s="41" t="s">
        <v>27</v>
      </c>
      <c r="H54" s="41" t="s">
        <v>23</v>
      </c>
      <c r="I54" s="42">
        <v>44967.0</v>
      </c>
      <c r="J54" s="41">
        <v>49.0</v>
      </c>
      <c r="K54" s="43">
        <v>210.87</v>
      </c>
      <c r="L54" s="43">
        <v>267.19</v>
      </c>
      <c r="M54" s="43">
        <v>10332.630000000001</v>
      </c>
      <c r="N54" s="43">
        <v>13092.31</v>
      </c>
      <c r="O54" s="43">
        <v>-2759.6799999999985</v>
      </c>
      <c r="P54" s="44">
        <v>-0.26708398539384437</v>
      </c>
    </row>
    <row r="55" ht="14.25" customHeight="1">
      <c r="C55" s="41" t="s">
        <v>74</v>
      </c>
      <c r="D55" s="41" t="s">
        <v>14</v>
      </c>
      <c r="E55" s="41" t="s">
        <v>29</v>
      </c>
      <c r="F55" s="41" t="s">
        <v>30</v>
      </c>
      <c r="G55" s="41" t="s">
        <v>17</v>
      </c>
      <c r="H55" s="41" t="s">
        <v>18</v>
      </c>
      <c r="I55" s="42">
        <v>44968.0</v>
      </c>
      <c r="J55" s="41">
        <v>363.0</v>
      </c>
      <c r="K55" s="43">
        <v>423.89</v>
      </c>
      <c r="L55" s="43">
        <v>50.46</v>
      </c>
      <c r="M55" s="43">
        <v>153872.07</v>
      </c>
      <c r="N55" s="43">
        <v>18316.98</v>
      </c>
      <c r="O55" s="43">
        <v>135555.09</v>
      </c>
      <c r="P55" s="44">
        <v>0.8809596829366109</v>
      </c>
    </row>
    <row r="56" ht="14.25" customHeight="1">
      <c r="C56" s="41" t="s">
        <v>75</v>
      </c>
      <c r="D56" s="41" t="s">
        <v>52</v>
      </c>
      <c r="E56" s="41" t="s">
        <v>29</v>
      </c>
      <c r="F56" s="41" t="s">
        <v>46</v>
      </c>
      <c r="G56" s="41" t="s">
        <v>27</v>
      </c>
      <c r="H56" s="41" t="s">
        <v>31</v>
      </c>
      <c r="I56" s="42">
        <v>44969.0</v>
      </c>
      <c r="J56" s="41">
        <v>49.0</v>
      </c>
      <c r="K56" s="43">
        <v>316.24</v>
      </c>
      <c r="L56" s="43">
        <v>192.34</v>
      </c>
      <c r="M56" s="43">
        <v>15495.76</v>
      </c>
      <c r="N56" s="43">
        <v>9424.66</v>
      </c>
      <c r="O56" s="43">
        <v>6071.1</v>
      </c>
      <c r="P56" s="44">
        <v>0.3917910447761194</v>
      </c>
    </row>
    <row r="57" ht="14.25" customHeight="1">
      <c r="C57" s="41" t="s">
        <v>76</v>
      </c>
      <c r="D57" s="41" t="s">
        <v>20</v>
      </c>
      <c r="E57" s="41" t="s">
        <v>29</v>
      </c>
      <c r="F57" s="41" t="s">
        <v>46</v>
      </c>
      <c r="G57" s="41" t="s">
        <v>27</v>
      </c>
      <c r="H57" s="41" t="s">
        <v>31</v>
      </c>
      <c r="I57" s="42">
        <v>44970.0</v>
      </c>
      <c r="J57" s="41">
        <v>356.0</v>
      </c>
      <c r="K57" s="43">
        <v>369.0</v>
      </c>
      <c r="L57" s="43">
        <v>203.43</v>
      </c>
      <c r="M57" s="43">
        <v>131364.0</v>
      </c>
      <c r="N57" s="43">
        <v>72421.08</v>
      </c>
      <c r="O57" s="43">
        <v>58942.92</v>
      </c>
      <c r="P57" s="44">
        <v>0.4486991869918699</v>
      </c>
    </row>
    <row r="58" ht="14.25" hidden="1" customHeight="1">
      <c r="C58" s="41" t="s">
        <v>77</v>
      </c>
      <c r="D58" s="41" t="s">
        <v>20</v>
      </c>
      <c r="E58" s="41" t="s">
        <v>34</v>
      </c>
      <c r="F58" s="41" t="s">
        <v>46</v>
      </c>
      <c r="G58" s="41" t="s">
        <v>17</v>
      </c>
      <c r="H58" s="41" t="s">
        <v>23</v>
      </c>
      <c r="I58" s="42">
        <v>44971.0</v>
      </c>
      <c r="J58" s="41">
        <v>470.0</v>
      </c>
      <c r="K58" s="43">
        <v>249.64520588235297</v>
      </c>
      <c r="L58" s="43">
        <v>94.56</v>
      </c>
      <c r="M58" s="43">
        <v>117333.2467647059</v>
      </c>
      <c r="N58" s="43">
        <v>44443.200000000004</v>
      </c>
      <c r="O58" s="43">
        <v>72890.04676470588</v>
      </c>
      <c r="P58" s="44">
        <v>0.6212224478103454</v>
      </c>
    </row>
    <row r="59" ht="14.25" customHeight="1">
      <c r="C59" s="41" t="s">
        <v>78</v>
      </c>
      <c r="D59" s="41" t="s">
        <v>20</v>
      </c>
      <c r="E59" s="41" t="s">
        <v>54</v>
      </c>
      <c r="F59" s="41" t="s">
        <v>16</v>
      </c>
      <c r="G59" s="41" t="s">
        <v>17</v>
      </c>
      <c r="H59" s="41" t="s">
        <v>31</v>
      </c>
      <c r="I59" s="42">
        <v>44972.0</v>
      </c>
      <c r="J59" s="41">
        <v>246.0</v>
      </c>
      <c r="K59" s="43">
        <v>254.9</v>
      </c>
      <c r="L59" s="43">
        <v>33.83</v>
      </c>
      <c r="M59" s="43">
        <v>62705.4</v>
      </c>
      <c r="N59" s="43">
        <v>8322.18</v>
      </c>
      <c r="O59" s="43">
        <v>54383.22</v>
      </c>
      <c r="P59" s="44">
        <v>0.8672812867791291</v>
      </c>
    </row>
    <row r="60" ht="14.25" customHeight="1">
      <c r="C60" s="41" t="s">
        <v>79</v>
      </c>
      <c r="D60" s="41" t="s">
        <v>20</v>
      </c>
      <c r="E60" s="41" t="s">
        <v>21</v>
      </c>
      <c r="F60" s="41" t="s">
        <v>26</v>
      </c>
      <c r="G60" s="41" t="s">
        <v>17</v>
      </c>
      <c r="H60" s="41" t="s">
        <v>31</v>
      </c>
      <c r="I60" s="42">
        <v>44973.0</v>
      </c>
      <c r="J60" s="41">
        <v>298.0</v>
      </c>
      <c r="K60" s="43">
        <v>273.93</v>
      </c>
      <c r="L60" s="43">
        <v>311.14</v>
      </c>
      <c r="M60" s="43">
        <v>81631.14</v>
      </c>
      <c r="N60" s="43">
        <v>92719.72</v>
      </c>
      <c r="O60" s="43">
        <v>-11088.580000000002</v>
      </c>
      <c r="P60" s="44">
        <v>-0.1358376227503377</v>
      </c>
    </row>
    <row r="61" ht="14.25" customHeight="1">
      <c r="C61" s="41" t="s">
        <v>80</v>
      </c>
      <c r="D61" s="41" t="s">
        <v>14</v>
      </c>
      <c r="E61" s="41" t="s">
        <v>15</v>
      </c>
      <c r="F61" s="41" t="s">
        <v>46</v>
      </c>
      <c r="G61" s="41" t="s">
        <v>27</v>
      </c>
      <c r="H61" s="41" t="s">
        <v>31</v>
      </c>
      <c r="I61" s="42">
        <v>44974.0</v>
      </c>
      <c r="J61" s="41">
        <v>271.0</v>
      </c>
      <c r="K61" s="43">
        <v>259.43</v>
      </c>
      <c r="L61" s="43">
        <v>50.57</v>
      </c>
      <c r="M61" s="43">
        <v>70305.53</v>
      </c>
      <c r="N61" s="43">
        <v>13704.47</v>
      </c>
      <c r="O61" s="43">
        <v>56601.06</v>
      </c>
      <c r="P61" s="44">
        <v>0.8050726592915237</v>
      </c>
    </row>
    <row r="62" ht="14.25" customHeight="1">
      <c r="C62" s="41" t="s">
        <v>81</v>
      </c>
      <c r="D62" s="41" t="s">
        <v>52</v>
      </c>
      <c r="E62" s="41" t="s">
        <v>21</v>
      </c>
      <c r="F62" s="41" t="s">
        <v>26</v>
      </c>
      <c r="G62" s="41" t="s">
        <v>27</v>
      </c>
      <c r="H62" s="41" t="s">
        <v>18</v>
      </c>
      <c r="I62" s="42">
        <v>44975.0</v>
      </c>
      <c r="J62" s="41">
        <v>225.0</v>
      </c>
      <c r="K62" s="43">
        <v>296.09</v>
      </c>
      <c r="L62" s="43">
        <v>238.53</v>
      </c>
      <c r="M62" s="43">
        <v>66620.25</v>
      </c>
      <c r="N62" s="43">
        <v>53669.25</v>
      </c>
      <c r="O62" s="43">
        <v>12951.0</v>
      </c>
      <c r="P62" s="44">
        <v>0.19440035124455401</v>
      </c>
    </row>
    <row r="63" ht="14.25" hidden="1" customHeight="1">
      <c r="C63" s="41" t="s">
        <v>82</v>
      </c>
      <c r="D63" s="41" t="s">
        <v>39</v>
      </c>
      <c r="E63" s="41" t="s">
        <v>15</v>
      </c>
      <c r="F63" s="41" t="s">
        <v>22</v>
      </c>
      <c r="G63" s="41" t="s">
        <v>17</v>
      </c>
      <c r="H63" s="41" t="s">
        <v>18</v>
      </c>
      <c r="I63" s="42">
        <v>44976.0</v>
      </c>
      <c r="J63" s="41">
        <v>156.0</v>
      </c>
      <c r="K63" s="43">
        <v>19.55</v>
      </c>
      <c r="L63" s="43">
        <v>374.71</v>
      </c>
      <c r="M63" s="43">
        <v>3049.8</v>
      </c>
      <c r="N63" s="43">
        <v>58454.759999999995</v>
      </c>
      <c r="O63" s="43">
        <v>-55404.95999999999</v>
      </c>
      <c r="P63" s="44">
        <v>-18.166751918158564</v>
      </c>
    </row>
    <row r="64" ht="14.25" customHeight="1">
      <c r="C64" s="41" t="s">
        <v>83</v>
      </c>
      <c r="D64" s="41" t="s">
        <v>14</v>
      </c>
      <c r="E64" s="41" t="s">
        <v>21</v>
      </c>
      <c r="F64" s="41" t="s">
        <v>30</v>
      </c>
      <c r="G64" s="41" t="s">
        <v>17</v>
      </c>
      <c r="H64" s="41" t="s">
        <v>31</v>
      </c>
      <c r="I64" s="42">
        <v>44977.0</v>
      </c>
      <c r="J64" s="41">
        <v>345.0</v>
      </c>
      <c r="K64" s="43">
        <v>200.78</v>
      </c>
      <c r="L64" s="43">
        <v>350.69</v>
      </c>
      <c r="M64" s="43">
        <v>69269.1</v>
      </c>
      <c r="N64" s="43">
        <v>120988.05</v>
      </c>
      <c r="O64" s="43">
        <v>-51718.95</v>
      </c>
      <c r="P64" s="44">
        <v>-0.7466381113656738</v>
      </c>
    </row>
    <row r="65" ht="14.25" customHeight="1">
      <c r="C65" s="41" t="s">
        <v>84</v>
      </c>
      <c r="D65" s="41" t="s">
        <v>52</v>
      </c>
      <c r="E65" s="41" t="s">
        <v>54</v>
      </c>
      <c r="F65" s="41" t="s">
        <v>22</v>
      </c>
      <c r="G65" s="41" t="s">
        <v>17</v>
      </c>
      <c r="H65" s="41" t="s">
        <v>23</v>
      </c>
      <c r="I65" s="42">
        <v>44978.0</v>
      </c>
      <c r="J65" s="41">
        <v>177.0</v>
      </c>
      <c r="K65" s="43">
        <v>305.06</v>
      </c>
      <c r="L65" s="43">
        <v>112.55</v>
      </c>
      <c r="M65" s="43">
        <v>53995.62</v>
      </c>
      <c r="N65" s="43">
        <v>19921.35</v>
      </c>
      <c r="O65" s="43">
        <v>34074.270000000004</v>
      </c>
      <c r="P65" s="44">
        <v>0.6310561856683932</v>
      </c>
    </row>
    <row r="66" ht="14.25" customHeight="1">
      <c r="C66" s="41" t="s">
        <v>85</v>
      </c>
      <c r="D66" s="41" t="s">
        <v>14</v>
      </c>
      <c r="E66" s="41" t="s">
        <v>15</v>
      </c>
      <c r="F66" s="41" t="s">
        <v>22</v>
      </c>
      <c r="G66" s="41" t="s">
        <v>27</v>
      </c>
      <c r="H66" s="41" t="s">
        <v>18</v>
      </c>
      <c r="I66" s="42">
        <v>44979.0</v>
      </c>
      <c r="J66" s="41">
        <v>101.0</v>
      </c>
      <c r="K66" s="43">
        <v>300.87</v>
      </c>
      <c r="L66" s="43">
        <v>340.88</v>
      </c>
      <c r="M66" s="43">
        <v>30387.87</v>
      </c>
      <c r="N66" s="43">
        <v>34428.88</v>
      </c>
      <c r="O66" s="43">
        <v>-4041.0099999999984</v>
      </c>
      <c r="P66" s="44">
        <v>-0.1329810217037258</v>
      </c>
    </row>
    <row r="67" ht="14.25" customHeight="1">
      <c r="C67" s="41" t="s">
        <v>86</v>
      </c>
      <c r="D67" s="41" t="s">
        <v>20</v>
      </c>
      <c r="E67" s="41" t="s">
        <v>34</v>
      </c>
      <c r="F67" s="41" t="s">
        <v>16</v>
      </c>
      <c r="G67" s="41" t="s">
        <v>27</v>
      </c>
      <c r="H67" s="41" t="s">
        <v>23</v>
      </c>
      <c r="I67" s="42">
        <v>44980.0</v>
      </c>
      <c r="J67" s="41">
        <v>362.0</v>
      </c>
      <c r="K67" s="43">
        <v>397.51</v>
      </c>
      <c r="L67" s="43">
        <v>2.13</v>
      </c>
      <c r="M67" s="43">
        <v>143898.62</v>
      </c>
      <c r="N67" s="43">
        <v>771.06</v>
      </c>
      <c r="O67" s="43">
        <v>143127.56</v>
      </c>
      <c r="P67" s="44">
        <v>0.9946416442353652</v>
      </c>
    </row>
    <row r="68" ht="14.25" customHeight="1">
      <c r="C68" s="41" t="s">
        <v>87</v>
      </c>
      <c r="D68" s="41" t="s">
        <v>14</v>
      </c>
      <c r="E68" s="41" t="s">
        <v>21</v>
      </c>
      <c r="F68" s="41" t="s">
        <v>30</v>
      </c>
      <c r="G68" s="41" t="s">
        <v>27</v>
      </c>
      <c r="H68" s="41" t="s">
        <v>31</v>
      </c>
      <c r="I68" s="42">
        <v>44981.0</v>
      </c>
      <c r="J68" s="41">
        <v>68.0</v>
      </c>
      <c r="K68" s="43">
        <v>329.23</v>
      </c>
      <c r="L68" s="43">
        <v>9.04</v>
      </c>
      <c r="M68" s="43">
        <v>22387.64</v>
      </c>
      <c r="N68" s="43">
        <v>614.7199999999999</v>
      </c>
      <c r="O68" s="43">
        <v>21772.92</v>
      </c>
      <c r="P68" s="44">
        <v>0.9725419919205418</v>
      </c>
    </row>
    <row r="69" ht="14.25" customHeight="1">
      <c r="C69" s="41" t="s">
        <v>88</v>
      </c>
      <c r="D69" s="41" t="s">
        <v>20</v>
      </c>
      <c r="E69" s="41" t="s">
        <v>21</v>
      </c>
      <c r="F69" s="41" t="s">
        <v>22</v>
      </c>
      <c r="G69" s="41" t="s">
        <v>27</v>
      </c>
      <c r="H69" s="41" t="s">
        <v>31</v>
      </c>
      <c r="I69" s="42">
        <v>44982.0</v>
      </c>
      <c r="J69" s="41">
        <v>68.0</v>
      </c>
      <c r="K69" s="43">
        <v>496.11</v>
      </c>
      <c r="L69" s="43">
        <v>241.82</v>
      </c>
      <c r="M69" s="43">
        <v>33735.48</v>
      </c>
      <c r="N69" s="43">
        <v>16443.76</v>
      </c>
      <c r="O69" s="43">
        <v>17291.720000000005</v>
      </c>
      <c r="P69" s="44">
        <v>0.5125677773074521</v>
      </c>
    </row>
    <row r="70" ht="14.25" customHeight="1">
      <c r="C70" s="41" t="s">
        <v>89</v>
      </c>
      <c r="D70" s="41" t="s">
        <v>20</v>
      </c>
      <c r="E70" s="41" t="s">
        <v>15</v>
      </c>
      <c r="F70" s="41" t="s">
        <v>22</v>
      </c>
      <c r="G70" s="41" t="s">
        <v>17</v>
      </c>
      <c r="H70" s="41" t="s">
        <v>18</v>
      </c>
      <c r="I70" s="42">
        <v>44983.0</v>
      </c>
      <c r="J70" s="41">
        <v>313.0</v>
      </c>
      <c r="K70" s="43">
        <v>145.51</v>
      </c>
      <c r="L70" s="43">
        <v>147.19</v>
      </c>
      <c r="M70" s="43">
        <v>45544.63</v>
      </c>
      <c r="N70" s="43">
        <v>46070.47</v>
      </c>
      <c r="O70" s="43">
        <v>-525.8400000000038</v>
      </c>
      <c r="P70" s="44">
        <v>-0.011545598240670828</v>
      </c>
    </row>
    <row r="71" ht="14.25" customHeight="1">
      <c r="C71" s="41" t="s">
        <v>90</v>
      </c>
      <c r="D71" s="41" t="s">
        <v>25</v>
      </c>
      <c r="E71" s="41" t="s">
        <v>34</v>
      </c>
      <c r="F71" s="41" t="s">
        <v>30</v>
      </c>
      <c r="G71" s="41" t="s">
        <v>17</v>
      </c>
      <c r="H71" s="41" t="s">
        <v>31</v>
      </c>
      <c r="I71" s="42">
        <v>44984.0</v>
      </c>
      <c r="J71" s="41">
        <v>178.0</v>
      </c>
      <c r="K71" s="43">
        <v>182.78</v>
      </c>
      <c r="L71" s="43">
        <v>155.81</v>
      </c>
      <c r="M71" s="43">
        <v>32534.84</v>
      </c>
      <c r="N71" s="43">
        <v>27734.18</v>
      </c>
      <c r="O71" s="43">
        <v>4800.66</v>
      </c>
      <c r="P71" s="44">
        <v>0.14755443702812124</v>
      </c>
    </row>
    <row r="72" ht="14.25" customHeight="1">
      <c r="C72" s="41" t="s">
        <v>91</v>
      </c>
      <c r="D72" s="41" t="s">
        <v>14</v>
      </c>
      <c r="E72" s="41" t="s">
        <v>34</v>
      </c>
      <c r="F72" s="41" t="s">
        <v>30</v>
      </c>
      <c r="G72" s="41" t="s">
        <v>17</v>
      </c>
      <c r="H72" s="41" t="s">
        <v>18</v>
      </c>
      <c r="I72" s="42">
        <v>44985.0</v>
      </c>
      <c r="J72" s="41">
        <v>278.0</v>
      </c>
      <c r="K72" s="43">
        <v>195.0</v>
      </c>
      <c r="L72" s="43">
        <v>226.65</v>
      </c>
      <c r="M72" s="43">
        <v>54210.0</v>
      </c>
      <c r="N72" s="43">
        <v>63008.700000000004</v>
      </c>
      <c r="O72" s="43">
        <v>-8798.700000000004</v>
      </c>
      <c r="P72" s="44">
        <v>-0.16230769230769237</v>
      </c>
    </row>
    <row r="73" ht="14.25" customHeight="1">
      <c r="C73" s="41" t="s">
        <v>92</v>
      </c>
      <c r="D73" s="41" t="s">
        <v>25</v>
      </c>
      <c r="E73" s="41" t="s">
        <v>54</v>
      </c>
      <c r="F73" s="41" t="s">
        <v>22</v>
      </c>
      <c r="G73" s="41" t="s">
        <v>17</v>
      </c>
      <c r="H73" s="41" t="s">
        <v>31</v>
      </c>
      <c r="I73" s="42">
        <v>44986.0</v>
      </c>
      <c r="J73" s="41">
        <v>372.0</v>
      </c>
      <c r="K73" s="43">
        <v>235.58</v>
      </c>
      <c r="L73" s="43">
        <v>78.33</v>
      </c>
      <c r="M73" s="43">
        <v>87635.76000000001</v>
      </c>
      <c r="N73" s="43">
        <v>29138.76</v>
      </c>
      <c r="O73" s="43">
        <v>58497.000000000015</v>
      </c>
      <c r="P73" s="44">
        <v>0.6675014856948808</v>
      </c>
    </row>
    <row r="74" ht="14.25" customHeight="1">
      <c r="C74" s="41" t="s">
        <v>93</v>
      </c>
      <c r="D74" s="41" t="s">
        <v>14</v>
      </c>
      <c r="E74" s="41" t="s">
        <v>34</v>
      </c>
      <c r="F74" s="41" t="s">
        <v>30</v>
      </c>
      <c r="G74" s="41" t="s">
        <v>27</v>
      </c>
      <c r="H74" s="41" t="s">
        <v>31</v>
      </c>
      <c r="I74" s="42">
        <v>44987.0</v>
      </c>
      <c r="J74" s="41">
        <v>54.0</v>
      </c>
      <c r="K74" s="43">
        <v>418.82</v>
      </c>
      <c r="L74" s="43">
        <v>86.28</v>
      </c>
      <c r="M74" s="43">
        <v>22616.28</v>
      </c>
      <c r="N74" s="43">
        <v>4659.12</v>
      </c>
      <c r="O74" s="43">
        <v>17957.16</v>
      </c>
      <c r="P74" s="44">
        <v>0.793992646005444</v>
      </c>
    </row>
    <row r="75" ht="14.25" customHeight="1">
      <c r="C75" s="41" t="s">
        <v>94</v>
      </c>
      <c r="D75" s="41" t="s">
        <v>14</v>
      </c>
      <c r="E75" s="41" t="s">
        <v>34</v>
      </c>
      <c r="F75" s="41" t="s">
        <v>22</v>
      </c>
      <c r="G75" s="41" t="s">
        <v>27</v>
      </c>
      <c r="H75" s="41" t="s">
        <v>18</v>
      </c>
      <c r="I75" s="42">
        <v>44988.0</v>
      </c>
      <c r="J75" s="41">
        <v>354.0</v>
      </c>
      <c r="K75" s="43">
        <v>121.72</v>
      </c>
      <c r="L75" s="43">
        <v>194.87</v>
      </c>
      <c r="M75" s="43">
        <v>43088.88</v>
      </c>
      <c r="N75" s="43">
        <v>68983.98</v>
      </c>
      <c r="O75" s="43">
        <v>-25895.1</v>
      </c>
      <c r="P75" s="44">
        <v>-0.6009694380545514</v>
      </c>
    </row>
    <row r="76" ht="14.25" customHeight="1">
      <c r="C76" s="41" t="s">
        <v>95</v>
      </c>
      <c r="D76" s="41" t="s">
        <v>25</v>
      </c>
      <c r="E76" s="41" t="s">
        <v>34</v>
      </c>
      <c r="F76" s="41" t="s">
        <v>22</v>
      </c>
      <c r="G76" s="41" t="s">
        <v>17</v>
      </c>
      <c r="H76" s="41" t="s">
        <v>18</v>
      </c>
      <c r="I76" s="42">
        <v>44989.0</v>
      </c>
      <c r="J76" s="41">
        <v>190.0</v>
      </c>
      <c r="K76" s="43">
        <v>389.12</v>
      </c>
      <c r="L76" s="43">
        <v>302.19</v>
      </c>
      <c r="M76" s="43">
        <v>73932.8</v>
      </c>
      <c r="N76" s="43">
        <v>57416.1</v>
      </c>
      <c r="O76" s="43">
        <v>16516.700000000004</v>
      </c>
      <c r="P76" s="44">
        <v>0.223401521381579</v>
      </c>
    </row>
    <row r="77" ht="14.25" hidden="1" customHeight="1">
      <c r="C77" s="41" t="s">
        <v>96</v>
      </c>
      <c r="D77" s="41" t="s">
        <v>39</v>
      </c>
      <c r="E77" s="41" t="s">
        <v>29</v>
      </c>
      <c r="F77" s="41" t="s">
        <v>16</v>
      </c>
      <c r="G77" s="41" t="s">
        <v>17</v>
      </c>
      <c r="H77" s="41" t="s">
        <v>18</v>
      </c>
      <c r="I77" s="42">
        <v>44990.0</v>
      </c>
      <c r="J77" s="41">
        <v>179.0</v>
      </c>
      <c r="K77" s="43">
        <v>205.63</v>
      </c>
      <c r="L77" s="43">
        <v>248.56</v>
      </c>
      <c r="M77" s="43">
        <v>36807.77</v>
      </c>
      <c r="N77" s="43">
        <v>44492.24</v>
      </c>
      <c r="O77" s="43">
        <v>-7684.470000000001</v>
      </c>
      <c r="P77" s="44">
        <v>-0.20877303895346014</v>
      </c>
    </row>
    <row r="78" ht="14.25" customHeight="1">
      <c r="C78" s="41" t="s">
        <v>97</v>
      </c>
      <c r="D78" s="41" t="s">
        <v>14</v>
      </c>
      <c r="E78" s="41" t="s">
        <v>54</v>
      </c>
      <c r="F78" s="41" t="s">
        <v>46</v>
      </c>
      <c r="G78" s="41" t="s">
        <v>27</v>
      </c>
      <c r="H78" s="41" t="s">
        <v>31</v>
      </c>
      <c r="I78" s="42">
        <v>44991.0</v>
      </c>
      <c r="J78" s="41">
        <v>365.0</v>
      </c>
      <c r="K78" s="43">
        <v>302.92</v>
      </c>
      <c r="L78" s="43">
        <v>120.35</v>
      </c>
      <c r="M78" s="43">
        <v>110565.8</v>
      </c>
      <c r="N78" s="43">
        <v>43927.75</v>
      </c>
      <c r="O78" s="43">
        <v>66638.05</v>
      </c>
      <c r="P78" s="44">
        <v>0.60270038293939</v>
      </c>
    </row>
    <row r="79" ht="14.25" customHeight="1">
      <c r="C79" s="41" t="s">
        <v>98</v>
      </c>
      <c r="D79" s="41" t="s">
        <v>52</v>
      </c>
      <c r="E79" s="41" t="s">
        <v>21</v>
      </c>
      <c r="F79" s="41" t="s">
        <v>22</v>
      </c>
      <c r="G79" s="41" t="s">
        <v>17</v>
      </c>
      <c r="H79" s="41" t="s">
        <v>31</v>
      </c>
      <c r="I79" s="42">
        <v>44992.0</v>
      </c>
      <c r="J79" s="41">
        <v>200.0</v>
      </c>
      <c r="K79" s="43">
        <v>318.11</v>
      </c>
      <c r="L79" s="43">
        <v>173.27</v>
      </c>
      <c r="M79" s="43">
        <v>63622.0</v>
      </c>
      <c r="N79" s="43">
        <v>34654.0</v>
      </c>
      <c r="O79" s="43">
        <v>28968.0</v>
      </c>
      <c r="P79" s="44">
        <v>0.4553141994907422</v>
      </c>
    </row>
    <row r="80" ht="14.25" customHeight="1">
      <c r="C80" s="41" t="s">
        <v>99</v>
      </c>
      <c r="D80" s="41" t="s">
        <v>20</v>
      </c>
      <c r="E80" s="41" t="s">
        <v>15</v>
      </c>
      <c r="F80" s="41" t="s">
        <v>26</v>
      </c>
      <c r="G80" s="41" t="s">
        <v>27</v>
      </c>
      <c r="H80" s="41" t="s">
        <v>23</v>
      </c>
      <c r="I80" s="42">
        <v>44993.0</v>
      </c>
      <c r="J80" s="41">
        <v>164.0</v>
      </c>
      <c r="K80" s="43">
        <v>189.56</v>
      </c>
      <c r="L80" s="43">
        <v>69.92</v>
      </c>
      <c r="M80" s="43">
        <v>31087.84</v>
      </c>
      <c r="N80" s="43">
        <v>11466.880000000001</v>
      </c>
      <c r="O80" s="43">
        <v>19620.96</v>
      </c>
      <c r="P80" s="44">
        <v>0.6311458113526061</v>
      </c>
    </row>
    <row r="81" ht="14.25" customHeight="1">
      <c r="C81" s="41" t="s">
        <v>100</v>
      </c>
      <c r="D81" s="41" t="s">
        <v>25</v>
      </c>
      <c r="E81" s="41" t="s">
        <v>21</v>
      </c>
      <c r="F81" s="41" t="s">
        <v>46</v>
      </c>
      <c r="G81" s="41" t="s">
        <v>17</v>
      </c>
      <c r="H81" s="41" t="s">
        <v>18</v>
      </c>
      <c r="I81" s="42">
        <v>44994.0</v>
      </c>
      <c r="J81" s="41">
        <v>431.0</v>
      </c>
      <c r="K81" s="43">
        <v>258.74</v>
      </c>
      <c r="L81" s="43">
        <v>31.7</v>
      </c>
      <c r="M81" s="43">
        <v>111516.94</v>
      </c>
      <c r="N81" s="43">
        <v>13662.699999999999</v>
      </c>
      <c r="O81" s="43">
        <v>97854.24</v>
      </c>
      <c r="P81" s="44">
        <v>0.8774831877560486</v>
      </c>
    </row>
    <row r="82" ht="14.25" customHeight="1">
      <c r="C82" s="41" t="s">
        <v>101</v>
      </c>
      <c r="D82" s="41" t="s">
        <v>20</v>
      </c>
      <c r="E82" s="41" t="s">
        <v>54</v>
      </c>
      <c r="F82" s="41" t="s">
        <v>46</v>
      </c>
      <c r="G82" s="41" t="s">
        <v>17</v>
      </c>
      <c r="H82" s="41" t="s">
        <v>31</v>
      </c>
      <c r="I82" s="42">
        <v>44995.0</v>
      </c>
      <c r="J82" s="41">
        <v>197.0</v>
      </c>
      <c r="K82" s="43">
        <v>209.45</v>
      </c>
      <c r="L82" s="43">
        <v>313.51</v>
      </c>
      <c r="M82" s="43">
        <v>41261.649999999994</v>
      </c>
      <c r="N82" s="43">
        <v>61761.47</v>
      </c>
      <c r="O82" s="43">
        <v>-20499.820000000007</v>
      </c>
      <c r="P82" s="44">
        <v>-0.4968250179040346</v>
      </c>
    </row>
    <row r="83" ht="14.25" customHeight="1">
      <c r="C83" s="41" t="s">
        <v>102</v>
      </c>
      <c r="D83" s="41" t="s">
        <v>52</v>
      </c>
      <c r="E83" s="41" t="s">
        <v>15</v>
      </c>
      <c r="F83" s="41" t="s">
        <v>46</v>
      </c>
      <c r="G83" s="41" t="s">
        <v>17</v>
      </c>
      <c r="H83" s="41" t="s">
        <v>31</v>
      </c>
      <c r="I83" s="42">
        <v>44996.0</v>
      </c>
      <c r="J83" s="41">
        <v>16.0</v>
      </c>
      <c r="K83" s="43">
        <v>39.22</v>
      </c>
      <c r="L83" s="43">
        <v>107.62</v>
      </c>
      <c r="M83" s="43">
        <v>627.52</v>
      </c>
      <c r="N83" s="43">
        <v>1721.92</v>
      </c>
      <c r="O83" s="43">
        <v>-1094.4</v>
      </c>
      <c r="P83" s="44">
        <v>-1.744008159102499</v>
      </c>
    </row>
    <row r="84" ht="14.25" customHeight="1">
      <c r="C84" s="41" t="s">
        <v>103</v>
      </c>
      <c r="D84" s="41" t="s">
        <v>52</v>
      </c>
      <c r="E84" s="41" t="s">
        <v>54</v>
      </c>
      <c r="F84" s="41" t="s">
        <v>16</v>
      </c>
      <c r="G84" s="41" t="s">
        <v>17</v>
      </c>
      <c r="H84" s="41" t="s">
        <v>18</v>
      </c>
      <c r="I84" s="42">
        <v>44997.0</v>
      </c>
      <c r="J84" s="41">
        <v>142.0</v>
      </c>
      <c r="K84" s="43">
        <v>221.4</v>
      </c>
      <c r="L84" s="43">
        <v>72.75</v>
      </c>
      <c r="M84" s="43">
        <v>31438.8</v>
      </c>
      <c r="N84" s="43">
        <v>10330.5</v>
      </c>
      <c r="O84" s="43">
        <v>21108.3</v>
      </c>
      <c r="P84" s="44">
        <v>0.6714092140921409</v>
      </c>
    </row>
    <row r="85" ht="14.25" customHeight="1">
      <c r="C85" s="41" t="s">
        <v>104</v>
      </c>
      <c r="D85" s="41" t="s">
        <v>52</v>
      </c>
      <c r="E85" s="41" t="s">
        <v>34</v>
      </c>
      <c r="F85" s="41" t="s">
        <v>22</v>
      </c>
      <c r="G85" s="41" t="s">
        <v>17</v>
      </c>
      <c r="H85" s="41" t="s">
        <v>23</v>
      </c>
      <c r="I85" s="42">
        <v>44998.0</v>
      </c>
      <c r="J85" s="41">
        <v>244.0</v>
      </c>
      <c r="K85" s="43">
        <v>53.21</v>
      </c>
      <c r="L85" s="43">
        <v>277.26</v>
      </c>
      <c r="M85" s="43">
        <v>12983.24</v>
      </c>
      <c r="N85" s="43">
        <v>67651.44</v>
      </c>
      <c r="O85" s="43">
        <v>-54668.200000000004</v>
      </c>
      <c r="P85" s="44">
        <v>-4.210674685209548</v>
      </c>
    </row>
    <row r="86" ht="14.25" customHeight="1">
      <c r="C86" s="41" t="s">
        <v>105</v>
      </c>
      <c r="D86" s="41" t="s">
        <v>25</v>
      </c>
      <c r="E86" s="41" t="s">
        <v>15</v>
      </c>
      <c r="F86" s="41" t="s">
        <v>16</v>
      </c>
      <c r="G86" s="41" t="s">
        <v>17</v>
      </c>
      <c r="H86" s="41" t="s">
        <v>18</v>
      </c>
      <c r="I86" s="42">
        <v>44999.0</v>
      </c>
      <c r="J86" s="41">
        <v>54.0</v>
      </c>
      <c r="K86" s="43">
        <v>205.49</v>
      </c>
      <c r="L86" s="43">
        <v>247.98</v>
      </c>
      <c r="M86" s="43">
        <v>11096.460000000001</v>
      </c>
      <c r="N86" s="43">
        <v>13390.92</v>
      </c>
      <c r="O86" s="43">
        <v>-2294.459999999999</v>
      </c>
      <c r="P86" s="44">
        <v>-0.20677405226531695</v>
      </c>
    </row>
    <row r="87" ht="14.25" customHeight="1">
      <c r="C87" s="41" t="s">
        <v>106</v>
      </c>
      <c r="D87" s="41" t="s">
        <v>52</v>
      </c>
      <c r="E87" s="41" t="s">
        <v>34</v>
      </c>
      <c r="F87" s="41" t="s">
        <v>22</v>
      </c>
      <c r="G87" s="41" t="s">
        <v>17</v>
      </c>
      <c r="H87" s="41" t="s">
        <v>23</v>
      </c>
      <c r="I87" s="42">
        <v>45000.0</v>
      </c>
      <c r="J87" s="41">
        <v>323.0</v>
      </c>
      <c r="K87" s="43">
        <v>298.49</v>
      </c>
      <c r="L87" s="43">
        <v>254.01</v>
      </c>
      <c r="M87" s="43">
        <v>96412.27</v>
      </c>
      <c r="N87" s="43">
        <v>82045.23</v>
      </c>
      <c r="O87" s="43">
        <v>14367.040000000008</v>
      </c>
      <c r="P87" s="44">
        <v>0.14901671747797254</v>
      </c>
    </row>
    <row r="88" ht="14.25" customHeight="1">
      <c r="C88" s="41" t="s">
        <v>107</v>
      </c>
      <c r="D88" s="41" t="s">
        <v>25</v>
      </c>
      <c r="E88" s="41" t="s">
        <v>21</v>
      </c>
      <c r="F88" s="41" t="s">
        <v>16</v>
      </c>
      <c r="G88" s="41" t="s">
        <v>27</v>
      </c>
      <c r="H88" s="41" t="s">
        <v>31</v>
      </c>
      <c r="I88" s="42">
        <v>45001.0</v>
      </c>
      <c r="J88" s="41">
        <v>258.0</v>
      </c>
      <c r="K88" s="43">
        <v>291.81</v>
      </c>
      <c r="L88" s="43">
        <v>93.1</v>
      </c>
      <c r="M88" s="43">
        <v>75286.98</v>
      </c>
      <c r="N88" s="43">
        <v>24019.8</v>
      </c>
      <c r="O88" s="43">
        <v>51267.17999999999</v>
      </c>
      <c r="P88" s="44">
        <v>0.6809567869504128</v>
      </c>
    </row>
    <row r="89" ht="14.25" customHeight="1">
      <c r="C89" s="41" t="s">
        <v>108</v>
      </c>
      <c r="D89" s="41" t="s">
        <v>52</v>
      </c>
      <c r="E89" s="41" t="s">
        <v>21</v>
      </c>
      <c r="F89" s="41" t="s">
        <v>16</v>
      </c>
      <c r="G89" s="41" t="s">
        <v>27</v>
      </c>
      <c r="H89" s="41" t="s">
        <v>23</v>
      </c>
      <c r="I89" s="42">
        <v>45002.0</v>
      </c>
      <c r="J89" s="41">
        <v>40.0</v>
      </c>
      <c r="K89" s="43">
        <v>333.0</v>
      </c>
      <c r="L89" s="43">
        <v>94.59</v>
      </c>
      <c r="M89" s="43">
        <v>13320.0</v>
      </c>
      <c r="N89" s="43">
        <v>3783.6000000000004</v>
      </c>
      <c r="O89" s="43">
        <v>9536.4</v>
      </c>
      <c r="P89" s="44">
        <v>0.715945945945946</v>
      </c>
    </row>
    <row r="90" ht="14.25" customHeight="1">
      <c r="C90" s="41" t="s">
        <v>109</v>
      </c>
      <c r="D90" s="41" t="s">
        <v>20</v>
      </c>
      <c r="E90" s="41" t="s">
        <v>15</v>
      </c>
      <c r="F90" s="41" t="s">
        <v>26</v>
      </c>
      <c r="G90" s="41" t="s">
        <v>27</v>
      </c>
      <c r="H90" s="41" t="s">
        <v>31</v>
      </c>
      <c r="I90" s="42">
        <v>45003.0</v>
      </c>
      <c r="J90" s="41">
        <v>32.0</v>
      </c>
      <c r="K90" s="43">
        <v>52.15</v>
      </c>
      <c r="L90" s="43">
        <v>89.88</v>
      </c>
      <c r="M90" s="43">
        <v>1668.8</v>
      </c>
      <c r="N90" s="43">
        <v>2876.16</v>
      </c>
      <c r="O90" s="43">
        <v>-1207.36</v>
      </c>
      <c r="P90" s="44">
        <v>-0.723489932885906</v>
      </c>
    </row>
    <row r="91" ht="14.25" customHeight="1">
      <c r="C91" s="41" t="s">
        <v>110</v>
      </c>
      <c r="D91" s="41" t="s">
        <v>20</v>
      </c>
      <c r="E91" s="41" t="s">
        <v>15</v>
      </c>
      <c r="F91" s="41" t="s">
        <v>16</v>
      </c>
      <c r="G91" s="41" t="s">
        <v>27</v>
      </c>
      <c r="H91" s="41" t="s">
        <v>18</v>
      </c>
      <c r="I91" s="42">
        <v>45004.0</v>
      </c>
      <c r="J91" s="41">
        <v>435.0</v>
      </c>
      <c r="K91" s="43">
        <v>327.8</v>
      </c>
      <c r="L91" s="43">
        <v>71.15</v>
      </c>
      <c r="M91" s="43">
        <v>142593.0</v>
      </c>
      <c r="N91" s="43">
        <v>30950.250000000004</v>
      </c>
      <c r="O91" s="43">
        <v>111642.75</v>
      </c>
      <c r="P91" s="44">
        <v>0.7829469188529591</v>
      </c>
    </row>
    <row r="92" ht="14.25" customHeight="1">
      <c r="C92" s="41" t="s">
        <v>111</v>
      </c>
      <c r="D92" s="41" t="s">
        <v>14</v>
      </c>
      <c r="E92" s="41" t="s">
        <v>54</v>
      </c>
      <c r="F92" s="41" t="s">
        <v>30</v>
      </c>
      <c r="G92" s="41" t="s">
        <v>27</v>
      </c>
      <c r="H92" s="41" t="s">
        <v>18</v>
      </c>
      <c r="I92" s="42">
        <v>45005.0</v>
      </c>
      <c r="J92" s="41">
        <v>403.0</v>
      </c>
      <c r="K92" s="43">
        <v>159.51</v>
      </c>
      <c r="L92" s="43">
        <v>262.98</v>
      </c>
      <c r="M92" s="43">
        <v>64282.53</v>
      </c>
      <c r="N92" s="43">
        <v>105980.94</v>
      </c>
      <c r="O92" s="43">
        <v>-41698.41</v>
      </c>
      <c r="P92" s="44">
        <v>-0.6486740643219862</v>
      </c>
    </row>
    <row r="93" ht="14.25" hidden="1" customHeight="1">
      <c r="C93" s="41" t="s">
        <v>112</v>
      </c>
      <c r="D93" s="41" t="s">
        <v>20</v>
      </c>
      <c r="E93" s="41" t="s">
        <v>54</v>
      </c>
      <c r="F93" s="41" t="s">
        <v>26</v>
      </c>
      <c r="G93" s="41" t="s">
        <v>17</v>
      </c>
      <c r="H93" s="41" t="s">
        <v>18</v>
      </c>
      <c r="I93" s="42">
        <v>45006.0</v>
      </c>
      <c r="J93" s="41">
        <v>169.0</v>
      </c>
      <c r="K93" s="43">
        <v>249.64520588235297</v>
      </c>
      <c r="L93" s="43">
        <v>339.51</v>
      </c>
      <c r="M93" s="43">
        <v>42190.03979411765</v>
      </c>
      <c r="N93" s="43">
        <v>57377.189999999995</v>
      </c>
      <c r="O93" s="43">
        <v>-15187.150205882346</v>
      </c>
      <c r="P93" s="44">
        <v>-0.35997003747789347</v>
      </c>
    </row>
    <row r="94" ht="14.25" customHeight="1">
      <c r="C94" s="41" t="s">
        <v>113</v>
      </c>
      <c r="D94" s="41" t="s">
        <v>14</v>
      </c>
      <c r="E94" s="41" t="s">
        <v>34</v>
      </c>
      <c r="F94" s="41" t="s">
        <v>16</v>
      </c>
      <c r="G94" s="41" t="s">
        <v>17</v>
      </c>
      <c r="H94" s="41" t="s">
        <v>23</v>
      </c>
      <c r="I94" s="42">
        <v>45007.0</v>
      </c>
      <c r="J94" s="41">
        <v>372.0</v>
      </c>
      <c r="K94" s="43">
        <v>429.7</v>
      </c>
      <c r="L94" s="43">
        <v>290.28</v>
      </c>
      <c r="M94" s="43">
        <v>159848.4</v>
      </c>
      <c r="N94" s="43">
        <v>107984.15999999999</v>
      </c>
      <c r="O94" s="43">
        <v>51864.240000000005</v>
      </c>
      <c r="P94" s="44">
        <v>0.3244589248312777</v>
      </c>
    </row>
    <row r="95" ht="14.25" customHeight="1">
      <c r="C95" s="41" t="s">
        <v>114</v>
      </c>
      <c r="D95" s="41" t="s">
        <v>20</v>
      </c>
      <c r="E95" s="41" t="s">
        <v>15</v>
      </c>
      <c r="F95" s="41" t="s">
        <v>46</v>
      </c>
      <c r="G95" s="41" t="s">
        <v>27</v>
      </c>
      <c r="H95" s="41" t="s">
        <v>31</v>
      </c>
      <c r="I95" s="42">
        <v>45008.0</v>
      </c>
      <c r="J95" s="41">
        <v>446.0</v>
      </c>
      <c r="K95" s="43">
        <v>9.47</v>
      </c>
      <c r="L95" s="43">
        <v>317.25</v>
      </c>
      <c r="M95" s="43">
        <v>4223.62</v>
      </c>
      <c r="N95" s="43">
        <v>141493.5</v>
      </c>
      <c r="O95" s="43">
        <v>-137269.88</v>
      </c>
      <c r="P95" s="44">
        <v>-32.50052798310454</v>
      </c>
    </row>
    <row r="96" ht="14.25" customHeight="1">
      <c r="C96" s="41" t="s">
        <v>115</v>
      </c>
      <c r="D96" s="41" t="s">
        <v>25</v>
      </c>
      <c r="E96" s="41" t="s">
        <v>21</v>
      </c>
      <c r="F96" s="41" t="s">
        <v>30</v>
      </c>
      <c r="G96" s="41" t="s">
        <v>17</v>
      </c>
      <c r="H96" s="41" t="s">
        <v>18</v>
      </c>
      <c r="I96" s="42">
        <v>45009.0</v>
      </c>
      <c r="J96" s="41">
        <v>167.0</v>
      </c>
      <c r="K96" s="43">
        <v>296.26</v>
      </c>
      <c r="L96" s="43">
        <v>163.11</v>
      </c>
      <c r="M96" s="43">
        <v>49475.42</v>
      </c>
      <c r="N96" s="43">
        <v>27239.370000000003</v>
      </c>
      <c r="O96" s="43">
        <v>22236.049999999996</v>
      </c>
      <c r="P96" s="44">
        <v>0.4494363059474785</v>
      </c>
    </row>
    <row r="97" ht="14.25" customHeight="1">
      <c r="C97" s="41" t="s">
        <v>116</v>
      </c>
      <c r="D97" s="41" t="s">
        <v>20</v>
      </c>
      <c r="E97" s="41" t="s">
        <v>54</v>
      </c>
      <c r="F97" s="41" t="s">
        <v>30</v>
      </c>
      <c r="G97" s="41" t="s">
        <v>27</v>
      </c>
      <c r="H97" s="41" t="s">
        <v>18</v>
      </c>
      <c r="I97" s="42">
        <v>45010.0</v>
      </c>
      <c r="J97" s="41">
        <v>48.0</v>
      </c>
      <c r="K97" s="43">
        <v>301.36</v>
      </c>
      <c r="L97" s="43">
        <v>262.32</v>
      </c>
      <c r="M97" s="43">
        <v>14465.28</v>
      </c>
      <c r="N97" s="43">
        <v>12591.36</v>
      </c>
      <c r="O97" s="43">
        <v>1873.92</v>
      </c>
      <c r="P97" s="44">
        <v>0.12954605787098486</v>
      </c>
    </row>
    <row r="98" ht="14.25" customHeight="1">
      <c r="C98" s="41" t="s">
        <v>117</v>
      </c>
      <c r="D98" s="41" t="s">
        <v>14</v>
      </c>
      <c r="E98" s="41" t="s">
        <v>54</v>
      </c>
      <c r="F98" s="41" t="s">
        <v>30</v>
      </c>
      <c r="G98" s="41" t="s">
        <v>27</v>
      </c>
      <c r="H98" s="41" t="s">
        <v>31</v>
      </c>
      <c r="I98" s="42">
        <v>45011.0</v>
      </c>
      <c r="J98" s="41">
        <v>424.0</v>
      </c>
      <c r="K98" s="43">
        <v>201.35</v>
      </c>
      <c r="L98" s="43">
        <v>142.99</v>
      </c>
      <c r="M98" s="43">
        <v>85372.4</v>
      </c>
      <c r="N98" s="43">
        <v>60627.76</v>
      </c>
      <c r="O98" s="43">
        <v>24744.639999999992</v>
      </c>
      <c r="P98" s="44">
        <v>0.28984355599702005</v>
      </c>
    </row>
    <row r="99" ht="14.25" customHeight="1">
      <c r="C99" s="41" t="s">
        <v>118</v>
      </c>
      <c r="D99" s="41" t="s">
        <v>14</v>
      </c>
      <c r="E99" s="41" t="s">
        <v>21</v>
      </c>
      <c r="F99" s="41" t="s">
        <v>26</v>
      </c>
      <c r="G99" s="41" t="s">
        <v>17</v>
      </c>
      <c r="H99" s="41" t="s">
        <v>18</v>
      </c>
      <c r="I99" s="42">
        <v>45012.0</v>
      </c>
      <c r="J99" s="41">
        <v>91.0</v>
      </c>
      <c r="K99" s="43">
        <v>122.33</v>
      </c>
      <c r="L99" s="43">
        <v>211.15</v>
      </c>
      <c r="M99" s="43">
        <v>11132.03</v>
      </c>
      <c r="N99" s="43">
        <v>19214.65</v>
      </c>
      <c r="O99" s="43">
        <v>-8082.620000000001</v>
      </c>
      <c r="P99" s="44">
        <v>-0.7260688302133573</v>
      </c>
    </row>
    <row r="100" ht="14.25" customHeight="1">
      <c r="C100" s="41" t="s">
        <v>119</v>
      </c>
      <c r="D100" s="41" t="s">
        <v>52</v>
      </c>
      <c r="E100" s="41" t="s">
        <v>54</v>
      </c>
      <c r="F100" s="41" t="s">
        <v>16</v>
      </c>
      <c r="G100" s="41" t="s">
        <v>17</v>
      </c>
      <c r="H100" s="41" t="s">
        <v>31</v>
      </c>
      <c r="I100" s="42">
        <v>45013.0</v>
      </c>
      <c r="J100" s="41">
        <v>365.0</v>
      </c>
      <c r="K100" s="43">
        <v>121.16</v>
      </c>
      <c r="L100" s="43">
        <v>193.69</v>
      </c>
      <c r="M100" s="43">
        <v>44223.4</v>
      </c>
      <c r="N100" s="43">
        <v>70696.85</v>
      </c>
      <c r="O100" s="43">
        <v>-26473.450000000004</v>
      </c>
      <c r="P100" s="44">
        <v>-0.5986299108616706</v>
      </c>
    </row>
    <row r="101" ht="14.25" customHeight="1">
      <c r="C101" s="41" t="s">
        <v>120</v>
      </c>
      <c r="D101" s="41" t="s">
        <v>25</v>
      </c>
      <c r="E101" s="41" t="s">
        <v>34</v>
      </c>
      <c r="F101" s="41" t="s">
        <v>16</v>
      </c>
      <c r="G101" s="41" t="s">
        <v>17</v>
      </c>
      <c r="H101" s="41" t="s">
        <v>31</v>
      </c>
      <c r="I101" s="42">
        <v>45014.0</v>
      </c>
      <c r="J101" s="41">
        <v>267.0</v>
      </c>
      <c r="K101" s="43">
        <v>442.44</v>
      </c>
      <c r="L101" s="43">
        <v>72.4</v>
      </c>
      <c r="M101" s="43">
        <v>118131.48</v>
      </c>
      <c r="N101" s="43">
        <v>19330.800000000003</v>
      </c>
      <c r="O101" s="43">
        <v>98800.68</v>
      </c>
      <c r="P101" s="44">
        <v>0.8363619925865654</v>
      </c>
    </row>
    <row r="102" ht="14.25" customHeight="1">
      <c r="C102" s="41" t="s">
        <v>121</v>
      </c>
      <c r="D102" s="41" t="s">
        <v>20</v>
      </c>
      <c r="E102" s="41" t="s">
        <v>15</v>
      </c>
      <c r="F102" s="41" t="s">
        <v>46</v>
      </c>
      <c r="G102" s="41" t="s">
        <v>27</v>
      </c>
      <c r="H102" s="41" t="s">
        <v>31</v>
      </c>
      <c r="I102" s="42">
        <v>45015.0</v>
      </c>
      <c r="J102" s="41">
        <v>215.0</v>
      </c>
      <c r="K102" s="43">
        <v>223.8</v>
      </c>
      <c r="L102" s="43">
        <v>156.06</v>
      </c>
      <c r="M102" s="43">
        <v>48117.0</v>
      </c>
      <c r="N102" s="43">
        <v>33552.9</v>
      </c>
      <c r="O102" s="43">
        <v>14564.099999999999</v>
      </c>
      <c r="P102" s="44">
        <v>0.3026809651474531</v>
      </c>
    </row>
    <row r="103" ht="14.25" customHeight="1">
      <c r="C103" s="41" t="s">
        <v>122</v>
      </c>
      <c r="D103" s="41" t="s">
        <v>52</v>
      </c>
      <c r="E103" s="41" t="s">
        <v>21</v>
      </c>
      <c r="F103" s="41" t="s">
        <v>46</v>
      </c>
      <c r="G103" s="41" t="s">
        <v>17</v>
      </c>
      <c r="H103" s="41" t="s">
        <v>31</v>
      </c>
      <c r="I103" s="42">
        <v>45016.0</v>
      </c>
      <c r="J103" s="41">
        <v>86.0</v>
      </c>
      <c r="K103" s="43">
        <v>168.79</v>
      </c>
      <c r="L103" s="43">
        <v>385.6</v>
      </c>
      <c r="M103" s="43">
        <v>14515.939999999999</v>
      </c>
      <c r="N103" s="43">
        <v>33161.6</v>
      </c>
      <c r="O103" s="43">
        <v>-18645.66</v>
      </c>
      <c r="P103" s="44">
        <v>-1.284495526986196</v>
      </c>
    </row>
    <row r="104" ht="14.25" customHeight="1">
      <c r="C104" s="41" t="s">
        <v>123</v>
      </c>
      <c r="D104" s="41" t="s">
        <v>20</v>
      </c>
      <c r="E104" s="41" t="s">
        <v>15</v>
      </c>
      <c r="F104" s="41" t="s">
        <v>30</v>
      </c>
      <c r="G104" s="41" t="s">
        <v>27</v>
      </c>
      <c r="H104" s="41" t="s">
        <v>31</v>
      </c>
      <c r="I104" s="42">
        <v>45017.0</v>
      </c>
      <c r="J104" s="41">
        <v>486.0</v>
      </c>
      <c r="K104" s="43">
        <v>227.14</v>
      </c>
      <c r="L104" s="43">
        <v>100.93</v>
      </c>
      <c r="M104" s="43">
        <v>110390.04</v>
      </c>
      <c r="N104" s="43">
        <v>49051.98</v>
      </c>
      <c r="O104" s="43">
        <v>61338.05999999999</v>
      </c>
      <c r="P104" s="44">
        <v>0.5556484987232543</v>
      </c>
    </row>
    <row r="105" ht="14.25" hidden="1" customHeight="1">
      <c r="C105" s="41" t="s">
        <v>124</v>
      </c>
      <c r="D105" s="41" t="s">
        <v>20</v>
      </c>
      <c r="E105" s="41" t="s">
        <v>54</v>
      </c>
      <c r="F105" s="41" t="s">
        <v>46</v>
      </c>
      <c r="G105" s="41" t="s">
        <v>27</v>
      </c>
      <c r="H105" s="41" t="s">
        <v>23</v>
      </c>
      <c r="I105" s="42">
        <v>45018.0</v>
      </c>
      <c r="J105" s="41">
        <v>21.0</v>
      </c>
      <c r="K105" s="43">
        <v>249.64520588235297</v>
      </c>
      <c r="L105" s="43">
        <v>55.25</v>
      </c>
      <c r="M105" s="43">
        <v>5242.5493235294125</v>
      </c>
      <c r="N105" s="43">
        <v>1160.25</v>
      </c>
      <c r="O105" s="43">
        <v>4082.2993235294125</v>
      </c>
      <c r="P105" s="44">
        <v>0.778685916259746</v>
      </c>
    </row>
    <row r="106" ht="14.25" customHeight="1">
      <c r="C106" s="41" t="s">
        <v>125</v>
      </c>
      <c r="D106" s="41" t="s">
        <v>52</v>
      </c>
      <c r="E106" s="41" t="s">
        <v>54</v>
      </c>
      <c r="F106" s="41" t="s">
        <v>26</v>
      </c>
      <c r="G106" s="41" t="s">
        <v>27</v>
      </c>
      <c r="H106" s="41" t="s">
        <v>18</v>
      </c>
      <c r="I106" s="42">
        <v>45019.0</v>
      </c>
      <c r="J106" s="41">
        <v>304.0</v>
      </c>
      <c r="K106" s="43">
        <v>77.15</v>
      </c>
      <c r="L106" s="43">
        <v>168.6</v>
      </c>
      <c r="M106" s="43">
        <v>23453.600000000002</v>
      </c>
      <c r="N106" s="43">
        <v>51254.4</v>
      </c>
      <c r="O106" s="43">
        <v>-27800.8</v>
      </c>
      <c r="P106" s="44">
        <v>-1.1853532080362927</v>
      </c>
    </row>
    <row r="107" ht="14.25" customHeight="1">
      <c r="C107" s="41" t="s">
        <v>126</v>
      </c>
      <c r="D107" s="41" t="s">
        <v>52</v>
      </c>
      <c r="E107" s="41" t="s">
        <v>21</v>
      </c>
      <c r="F107" s="41" t="s">
        <v>16</v>
      </c>
      <c r="G107" s="41" t="s">
        <v>17</v>
      </c>
      <c r="H107" s="41" t="s">
        <v>23</v>
      </c>
      <c r="I107" s="42">
        <v>45020.0</v>
      </c>
      <c r="J107" s="41">
        <v>459.0</v>
      </c>
      <c r="K107" s="43">
        <v>227.47</v>
      </c>
      <c r="L107" s="43">
        <v>316.55</v>
      </c>
      <c r="M107" s="43">
        <v>104408.73</v>
      </c>
      <c r="N107" s="43">
        <v>145296.45</v>
      </c>
      <c r="O107" s="43">
        <v>-40887.720000000016</v>
      </c>
      <c r="P107" s="44">
        <v>-0.3916120807139405</v>
      </c>
    </row>
    <row r="108" ht="14.25" customHeight="1">
      <c r="C108" s="41" t="s">
        <v>127</v>
      </c>
      <c r="D108" s="41" t="s">
        <v>52</v>
      </c>
      <c r="E108" s="41" t="s">
        <v>34</v>
      </c>
      <c r="F108" s="41" t="s">
        <v>30</v>
      </c>
      <c r="G108" s="41" t="s">
        <v>17</v>
      </c>
      <c r="H108" s="41" t="s">
        <v>18</v>
      </c>
      <c r="I108" s="42">
        <v>45021.0</v>
      </c>
      <c r="J108" s="41">
        <v>233.0</v>
      </c>
      <c r="K108" s="43">
        <v>296.0</v>
      </c>
      <c r="L108" s="43">
        <v>233.69</v>
      </c>
      <c r="M108" s="43">
        <v>68968.0</v>
      </c>
      <c r="N108" s="43">
        <v>54449.77</v>
      </c>
      <c r="O108" s="43">
        <v>14518.230000000003</v>
      </c>
      <c r="P108" s="44">
        <v>0.2105067567567568</v>
      </c>
    </row>
    <row r="109" ht="14.25" customHeight="1">
      <c r="C109" s="41" t="s">
        <v>128</v>
      </c>
      <c r="D109" s="41" t="s">
        <v>52</v>
      </c>
      <c r="E109" s="41" t="s">
        <v>29</v>
      </c>
      <c r="F109" s="41" t="s">
        <v>46</v>
      </c>
      <c r="G109" s="41" t="s">
        <v>27</v>
      </c>
      <c r="H109" s="41" t="s">
        <v>23</v>
      </c>
      <c r="I109" s="42">
        <v>45022.0</v>
      </c>
      <c r="J109" s="41">
        <v>22.0</v>
      </c>
      <c r="K109" s="43">
        <v>474.55</v>
      </c>
      <c r="L109" s="43">
        <v>273.03</v>
      </c>
      <c r="M109" s="43">
        <v>10440.1</v>
      </c>
      <c r="N109" s="43">
        <v>6006.66</v>
      </c>
      <c r="O109" s="43">
        <v>4433.4400000000005</v>
      </c>
      <c r="P109" s="44">
        <v>0.4246549362553999</v>
      </c>
    </row>
    <row r="110" ht="14.25" customHeight="1">
      <c r="C110" s="41" t="s">
        <v>129</v>
      </c>
      <c r="D110" s="41" t="s">
        <v>52</v>
      </c>
      <c r="E110" s="41" t="s">
        <v>21</v>
      </c>
      <c r="F110" s="41" t="s">
        <v>26</v>
      </c>
      <c r="G110" s="41" t="s">
        <v>17</v>
      </c>
      <c r="H110" s="41" t="s">
        <v>31</v>
      </c>
      <c r="I110" s="42">
        <v>45023.0</v>
      </c>
      <c r="J110" s="41">
        <v>55.0</v>
      </c>
      <c r="K110" s="43">
        <v>130.0</v>
      </c>
      <c r="L110" s="43">
        <v>77.5</v>
      </c>
      <c r="M110" s="43">
        <v>7150.0</v>
      </c>
      <c r="N110" s="43">
        <v>4262.5</v>
      </c>
      <c r="O110" s="43">
        <v>2887.5</v>
      </c>
      <c r="P110" s="44">
        <v>0.40384615384615385</v>
      </c>
    </row>
    <row r="111" ht="14.25" customHeight="1">
      <c r="C111" s="41" t="s">
        <v>130</v>
      </c>
      <c r="D111" s="41" t="s">
        <v>20</v>
      </c>
      <c r="E111" s="41" t="s">
        <v>29</v>
      </c>
      <c r="F111" s="41" t="s">
        <v>26</v>
      </c>
      <c r="G111" s="41" t="s">
        <v>17</v>
      </c>
      <c r="H111" s="41" t="s">
        <v>18</v>
      </c>
      <c r="I111" s="42">
        <v>45024.0</v>
      </c>
      <c r="J111" s="41">
        <v>164.0</v>
      </c>
      <c r="K111" s="43">
        <v>182.83</v>
      </c>
      <c r="L111" s="43">
        <v>248.34</v>
      </c>
      <c r="M111" s="43">
        <v>29984.120000000003</v>
      </c>
      <c r="N111" s="43">
        <v>40727.76</v>
      </c>
      <c r="O111" s="43">
        <v>-10743.64</v>
      </c>
      <c r="P111" s="44">
        <v>-0.3583109992889569</v>
      </c>
    </row>
    <row r="112" ht="14.25" customHeight="1">
      <c r="C112" s="41" t="s">
        <v>131</v>
      </c>
      <c r="D112" s="41" t="s">
        <v>52</v>
      </c>
      <c r="E112" s="41" t="s">
        <v>29</v>
      </c>
      <c r="F112" s="41" t="s">
        <v>46</v>
      </c>
      <c r="G112" s="41" t="s">
        <v>17</v>
      </c>
      <c r="H112" s="41" t="s">
        <v>18</v>
      </c>
      <c r="I112" s="42">
        <v>45025.0</v>
      </c>
      <c r="J112" s="41">
        <v>122.0</v>
      </c>
      <c r="K112" s="43">
        <v>192.78</v>
      </c>
      <c r="L112" s="43">
        <v>130.75</v>
      </c>
      <c r="M112" s="43">
        <v>23519.16</v>
      </c>
      <c r="N112" s="43">
        <v>15951.5</v>
      </c>
      <c r="O112" s="43">
        <v>7567.66</v>
      </c>
      <c r="P112" s="44">
        <v>0.3217657433343708</v>
      </c>
    </row>
    <row r="113" ht="14.25" customHeight="1">
      <c r="C113" s="41" t="s">
        <v>132</v>
      </c>
      <c r="D113" s="41" t="s">
        <v>25</v>
      </c>
      <c r="E113" s="41" t="s">
        <v>34</v>
      </c>
      <c r="F113" s="41" t="s">
        <v>16</v>
      </c>
      <c r="G113" s="41" t="s">
        <v>27</v>
      </c>
      <c r="H113" s="41" t="s">
        <v>23</v>
      </c>
      <c r="I113" s="42">
        <v>45026.0</v>
      </c>
      <c r="J113" s="41">
        <v>242.0</v>
      </c>
      <c r="K113" s="43">
        <v>304.74</v>
      </c>
      <c r="L113" s="43">
        <v>334.05</v>
      </c>
      <c r="M113" s="43">
        <v>73747.08</v>
      </c>
      <c r="N113" s="43">
        <v>80840.1</v>
      </c>
      <c r="O113" s="43">
        <v>-7093.020000000004</v>
      </c>
      <c r="P113" s="44">
        <v>-0.09618035046268957</v>
      </c>
    </row>
    <row r="114" ht="14.25" customHeight="1">
      <c r="C114" s="41" t="s">
        <v>133</v>
      </c>
      <c r="D114" s="41" t="s">
        <v>14</v>
      </c>
      <c r="E114" s="41" t="s">
        <v>29</v>
      </c>
      <c r="F114" s="41" t="s">
        <v>46</v>
      </c>
      <c r="G114" s="41" t="s">
        <v>27</v>
      </c>
      <c r="H114" s="41" t="s">
        <v>23</v>
      </c>
      <c r="I114" s="42">
        <v>45027.0</v>
      </c>
      <c r="J114" s="41">
        <v>26.0</v>
      </c>
      <c r="K114" s="43">
        <v>181.58</v>
      </c>
      <c r="L114" s="43">
        <v>252.46</v>
      </c>
      <c r="M114" s="43">
        <v>4721.08</v>
      </c>
      <c r="N114" s="43">
        <v>6563.96</v>
      </c>
      <c r="O114" s="43">
        <v>-1842.88</v>
      </c>
      <c r="P114" s="44">
        <v>-0.39035136028196943</v>
      </c>
    </row>
    <row r="115" ht="14.25" customHeight="1">
      <c r="C115" s="41" t="s">
        <v>134</v>
      </c>
      <c r="D115" s="41" t="s">
        <v>52</v>
      </c>
      <c r="E115" s="41" t="s">
        <v>29</v>
      </c>
      <c r="F115" s="41" t="s">
        <v>30</v>
      </c>
      <c r="G115" s="41" t="s">
        <v>17</v>
      </c>
      <c r="H115" s="41" t="s">
        <v>18</v>
      </c>
      <c r="I115" s="42">
        <v>45028.0</v>
      </c>
      <c r="J115" s="41">
        <v>369.0</v>
      </c>
      <c r="K115" s="43">
        <v>269.09</v>
      </c>
      <c r="L115" s="43">
        <v>81.14</v>
      </c>
      <c r="M115" s="43">
        <v>99294.20999999999</v>
      </c>
      <c r="N115" s="43">
        <v>29940.66</v>
      </c>
      <c r="O115" s="43">
        <v>69353.54999999999</v>
      </c>
      <c r="P115" s="44">
        <v>0.6984651975175591</v>
      </c>
    </row>
    <row r="116" ht="14.25" customHeight="1">
      <c r="C116" s="41" t="s">
        <v>135</v>
      </c>
      <c r="D116" s="41" t="s">
        <v>52</v>
      </c>
      <c r="E116" s="41" t="s">
        <v>34</v>
      </c>
      <c r="F116" s="41" t="s">
        <v>46</v>
      </c>
      <c r="G116" s="41" t="s">
        <v>27</v>
      </c>
      <c r="H116" s="41" t="s">
        <v>23</v>
      </c>
      <c r="I116" s="42">
        <v>45029.0</v>
      </c>
      <c r="J116" s="41">
        <v>232.0</v>
      </c>
      <c r="K116" s="43">
        <v>391.99</v>
      </c>
      <c r="L116" s="43">
        <v>27.72</v>
      </c>
      <c r="M116" s="43">
        <v>90941.68000000001</v>
      </c>
      <c r="N116" s="43">
        <v>6431.04</v>
      </c>
      <c r="O116" s="43">
        <v>84510.64000000001</v>
      </c>
      <c r="P116" s="44">
        <v>0.9292839103038344</v>
      </c>
    </row>
    <row r="117" ht="14.25" customHeight="1">
      <c r="C117" s="41" t="s">
        <v>136</v>
      </c>
      <c r="D117" s="41" t="s">
        <v>20</v>
      </c>
      <c r="E117" s="41" t="s">
        <v>29</v>
      </c>
      <c r="F117" s="41" t="s">
        <v>26</v>
      </c>
      <c r="G117" s="41" t="s">
        <v>17</v>
      </c>
      <c r="H117" s="41" t="s">
        <v>23</v>
      </c>
      <c r="I117" s="42">
        <v>45030.0</v>
      </c>
      <c r="J117" s="41">
        <v>363.0</v>
      </c>
      <c r="K117" s="43">
        <v>354.17</v>
      </c>
      <c r="L117" s="43">
        <v>18.97</v>
      </c>
      <c r="M117" s="43">
        <v>128563.71</v>
      </c>
      <c r="N117" s="43">
        <v>6886.11</v>
      </c>
      <c r="O117" s="43">
        <v>121677.6</v>
      </c>
      <c r="P117" s="44">
        <v>0.9464381511703419</v>
      </c>
    </row>
    <row r="118" ht="14.25" customHeight="1">
      <c r="C118" s="41" t="s">
        <v>137</v>
      </c>
      <c r="D118" s="41" t="s">
        <v>52</v>
      </c>
      <c r="E118" s="41" t="s">
        <v>29</v>
      </c>
      <c r="F118" s="41" t="s">
        <v>46</v>
      </c>
      <c r="G118" s="41" t="s">
        <v>17</v>
      </c>
      <c r="H118" s="41" t="s">
        <v>23</v>
      </c>
      <c r="I118" s="42">
        <v>45031.0</v>
      </c>
      <c r="J118" s="41">
        <v>197.0</v>
      </c>
      <c r="K118" s="43">
        <v>225.95</v>
      </c>
      <c r="L118" s="43">
        <v>149.82</v>
      </c>
      <c r="M118" s="43">
        <v>44512.149999999994</v>
      </c>
      <c r="N118" s="43">
        <v>29514.539999999997</v>
      </c>
      <c r="O118" s="43">
        <v>14997.609999999997</v>
      </c>
      <c r="P118" s="44">
        <v>0.3369329497676477</v>
      </c>
    </row>
    <row r="119" ht="14.25" customHeight="1">
      <c r="C119" s="41" t="s">
        <v>138</v>
      </c>
      <c r="D119" s="41" t="s">
        <v>52</v>
      </c>
      <c r="E119" s="41" t="s">
        <v>29</v>
      </c>
      <c r="F119" s="41" t="s">
        <v>16</v>
      </c>
      <c r="G119" s="41" t="s">
        <v>17</v>
      </c>
      <c r="H119" s="41" t="s">
        <v>31</v>
      </c>
      <c r="I119" s="42">
        <v>45032.0</v>
      </c>
      <c r="J119" s="41">
        <v>457.0</v>
      </c>
      <c r="K119" s="43">
        <v>432.79</v>
      </c>
      <c r="L119" s="43">
        <v>107.81</v>
      </c>
      <c r="M119" s="43">
        <v>197785.03</v>
      </c>
      <c r="N119" s="43">
        <v>49269.17</v>
      </c>
      <c r="O119" s="43">
        <v>148515.86</v>
      </c>
      <c r="P119" s="44">
        <v>0.7508953534046534</v>
      </c>
    </row>
    <row r="120" ht="14.25" customHeight="1">
      <c r="C120" s="41" t="s">
        <v>139</v>
      </c>
      <c r="D120" s="41" t="s">
        <v>52</v>
      </c>
      <c r="E120" s="41" t="s">
        <v>21</v>
      </c>
      <c r="F120" s="41" t="s">
        <v>22</v>
      </c>
      <c r="G120" s="41" t="s">
        <v>17</v>
      </c>
      <c r="H120" s="41" t="s">
        <v>31</v>
      </c>
      <c r="I120" s="42">
        <v>45033.0</v>
      </c>
      <c r="J120" s="41">
        <v>353.0</v>
      </c>
      <c r="K120" s="43">
        <v>281.28</v>
      </c>
      <c r="L120" s="43">
        <v>259.14</v>
      </c>
      <c r="M120" s="43">
        <v>99291.84</v>
      </c>
      <c r="N120" s="43">
        <v>91476.42</v>
      </c>
      <c r="O120" s="43">
        <v>7815.419999999998</v>
      </c>
      <c r="P120" s="44">
        <v>0.07871160409556313</v>
      </c>
    </row>
    <row r="121" ht="14.25" customHeight="1">
      <c r="C121" s="41" t="s">
        <v>140</v>
      </c>
      <c r="D121" s="41" t="s">
        <v>20</v>
      </c>
      <c r="E121" s="41" t="s">
        <v>21</v>
      </c>
      <c r="F121" s="41" t="s">
        <v>46</v>
      </c>
      <c r="G121" s="41" t="s">
        <v>27</v>
      </c>
      <c r="H121" s="41" t="s">
        <v>23</v>
      </c>
      <c r="I121" s="42">
        <v>45034.0</v>
      </c>
      <c r="J121" s="41">
        <v>374.0</v>
      </c>
      <c r="K121" s="43">
        <v>272.25</v>
      </c>
      <c r="L121" s="43">
        <v>200.73</v>
      </c>
      <c r="M121" s="43">
        <v>101821.5</v>
      </c>
      <c r="N121" s="43">
        <v>75073.01999999999</v>
      </c>
      <c r="O121" s="43">
        <v>26748.48000000001</v>
      </c>
      <c r="P121" s="44">
        <v>0.26269972451790646</v>
      </c>
    </row>
    <row r="122" ht="14.25" customHeight="1">
      <c r="C122" s="41" t="s">
        <v>141</v>
      </c>
      <c r="D122" s="41" t="s">
        <v>52</v>
      </c>
      <c r="E122" s="41" t="s">
        <v>21</v>
      </c>
      <c r="F122" s="41" t="s">
        <v>16</v>
      </c>
      <c r="G122" s="41" t="s">
        <v>27</v>
      </c>
      <c r="H122" s="41" t="s">
        <v>23</v>
      </c>
      <c r="I122" s="42">
        <v>45035.0</v>
      </c>
      <c r="J122" s="41">
        <v>172.0</v>
      </c>
      <c r="K122" s="43">
        <v>21.92</v>
      </c>
      <c r="L122" s="43">
        <v>107.88</v>
      </c>
      <c r="M122" s="43">
        <v>3770.2400000000002</v>
      </c>
      <c r="N122" s="43">
        <v>18555.36</v>
      </c>
      <c r="O122" s="43">
        <v>-14785.12</v>
      </c>
      <c r="P122" s="44">
        <v>-3.9215328467153285</v>
      </c>
    </row>
    <row r="123" ht="14.25" customHeight="1">
      <c r="C123" s="41" t="s">
        <v>142</v>
      </c>
      <c r="D123" s="41" t="s">
        <v>14</v>
      </c>
      <c r="E123" s="41" t="s">
        <v>34</v>
      </c>
      <c r="F123" s="41" t="s">
        <v>16</v>
      </c>
      <c r="G123" s="41" t="s">
        <v>27</v>
      </c>
      <c r="H123" s="41" t="s">
        <v>31</v>
      </c>
      <c r="I123" s="42">
        <v>45036.0</v>
      </c>
      <c r="J123" s="41">
        <v>335.0</v>
      </c>
      <c r="K123" s="43">
        <v>493.41</v>
      </c>
      <c r="L123" s="43">
        <v>61.4</v>
      </c>
      <c r="M123" s="43">
        <v>165292.35</v>
      </c>
      <c r="N123" s="43">
        <v>20569.0</v>
      </c>
      <c r="O123" s="43">
        <v>144723.35</v>
      </c>
      <c r="P123" s="44">
        <v>0.875559879207961</v>
      </c>
    </row>
    <row r="124" ht="14.25" customHeight="1">
      <c r="C124" s="41" t="s">
        <v>143</v>
      </c>
      <c r="D124" s="41" t="s">
        <v>20</v>
      </c>
      <c r="E124" s="41" t="s">
        <v>54</v>
      </c>
      <c r="F124" s="41" t="s">
        <v>26</v>
      </c>
      <c r="G124" s="41" t="s">
        <v>17</v>
      </c>
      <c r="H124" s="41" t="s">
        <v>31</v>
      </c>
      <c r="I124" s="42">
        <v>45037.0</v>
      </c>
      <c r="J124" s="41">
        <v>476.0</v>
      </c>
      <c r="K124" s="43">
        <v>65.87</v>
      </c>
      <c r="L124" s="43">
        <v>52.63</v>
      </c>
      <c r="M124" s="43">
        <v>31354.120000000003</v>
      </c>
      <c r="N124" s="43">
        <v>25051.88</v>
      </c>
      <c r="O124" s="43">
        <v>6302.240000000002</v>
      </c>
      <c r="P124" s="44">
        <v>0.2010019735843328</v>
      </c>
    </row>
    <row r="125" ht="14.25" customHeight="1">
      <c r="C125" s="41" t="s">
        <v>144</v>
      </c>
      <c r="D125" s="41" t="s">
        <v>14</v>
      </c>
      <c r="E125" s="41" t="s">
        <v>29</v>
      </c>
      <c r="F125" s="41" t="s">
        <v>16</v>
      </c>
      <c r="G125" s="41" t="s">
        <v>17</v>
      </c>
      <c r="H125" s="41" t="s">
        <v>18</v>
      </c>
      <c r="I125" s="42">
        <v>45038.0</v>
      </c>
      <c r="J125" s="41">
        <v>423.0</v>
      </c>
      <c r="K125" s="43">
        <v>119.41</v>
      </c>
      <c r="L125" s="43">
        <v>346.13</v>
      </c>
      <c r="M125" s="43">
        <v>50510.43</v>
      </c>
      <c r="N125" s="43">
        <v>146412.99</v>
      </c>
      <c r="O125" s="43">
        <v>-95902.56</v>
      </c>
      <c r="P125" s="44">
        <v>-1.8986684532283729</v>
      </c>
    </row>
    <row r="126" ht="14.25" customHeight="1">
      <c r="C126" s="41" t="s">
        <v>145</v>
      </c>
      <c r="D126" s="41" t="s">
        <v>20</v>
      </c>
      <c r="E126" s="41" t="s">
        <v>29</v>
      </c>
      <c r="F126" s="41" t="s">
        <v>16</v>
      </c>
      <c r="G126" s="41" t="s">
        <v>17</v>
      </c>
      <c r="H126" s="41" t="s">
        <v>18</v>
      </c>
      <c r="I126" s="42">
        <v>45039.0</v>
      </c>
      <c r="J126" s="41">
        <v>464.0</v>
      </c>
      <c r="K126" s="43">
        <v>30.59</v>
      </c>
      <c r="L126" s="43">
        <v>98.9</v>
      </c>
      <c r="M126" s="43">
        <v>14193.76</v>
      </c>
      <c r="N126" s="43">
        <v>45889.600000000006</v>
      </c>
      <c r="O126" s="43">
        <v>-31695.840000000004</v>
      </c>
      <c r="P126" s="44">
        <v>-2.2330827067669174</v>
      </c>
    </row>
    <row r="127" ht="14.25" customHeight="1">
      <c r="C127" s="41" t="s">
        <v>146</v>
      </c>
      <c r="D127" s="41" t="s">
        <v>52</v>
      </c>
      <c r="E127" s="41" t="s">
        <v>34</v>
      </c>
      <c r="F127" s="41" t="s">
        <v>16</v>
      </c>
      <c r="G127" s="41" t="s">
        <v>27</v>
      </c>
      <c r="H127" s="41" t="s">
        <v>31</v>
      </c>
      <c r="I127" s="42">
        <v>45040.0</v>
      </c>
      <c r="J127" s="41">
        <v>83.0</v>
      </c>
      <c r="K127" s="43">
        <v>321.8</v>
      </c>
      <c r="L127" s="43">
        <v>261.38</v>
      </c>
      <c r="M127" s="43">
        <v>26709.4</v>
      </c>
      <c r="N127" s="43">
        <v>21694.54</v>
      </c>
      <c r="O127" s="43">
        <v>5014.860000000001</v>
      </c>
      <c r="P127" s="44">
        <v>0.18775637041640772</v>
      </c>
    </row>
    <row r="128" ht="14.25" customHeight="1">
      <c r="C128" s="41" t="s">
        <v>147</v>
      </c>
      <c r="D128" s="41" t="s">
        <v>14</v>
      </c>
      <c r="E128" s="41" t="s">
        <v>29</v>
      </c>
      <c r="F128" s="41" t="s">
        <v>16</v>
      </c>
      <c r="G128" s="41" t="s">
        <v>17</v>
      </c>
      <c r="H128" s="41" t="s">
        <v>23</v>
      </c>
      <c r="I128" s="42">
        <v>45041.0</v>
      </c>
      <c r="J128" s="41">
        <v>242.0</v>
      </c>
      <c r="K128" s="43">
        <v>116.23</v>
      </c>
      <c r="L128" s="43">
        <v>324.65</v>
      </c>
      <c r="M128" s="43">
        <v>28127.66</v>
      </c>
      <c r="N128" s="43">
        <v>78565.29999999999</v>
      </c>
      <c r="O128" s="43">
        <v>-50437.639999999985</v>
      </c>
      <c r="P128" s="44">
        <v>-1.7931687171986572</v>
      </c>
    </row>
    <row r="129" ht="14.25" customHeight="1">
      <c r="C129" s="41" t="s">
        <v>148</v>
      </c>
      <c r="D129" s="41" t="s">
        <v>20</v>
      </c>
      <c r="E129" s="41" t="s">
        <v>21</v>
      </c>
      <c r="F129" s="41" t="s">
        <v>30</v>
      </c>
      <c r="G129" s="41" t="s">
        <v>27</v>
      </c>
      <c r="H129" s="41" t="s">
        <v>23</v>
      </c>
      <c r="I129" s="42">
        <v>45042.0</v>
      </c>
      <c r="J129" s="41">
        <v>233.0</v>
      </c>
      <c r="K129" s="43">
        <v>94.11</v>
      </c>
      <c r="L129" s="43">
        <v>246.4</v>
      </c>
      <c r="M129" s="43">
        <v>21927.63</v>
      </c>
      <c r="N129" s="43">
        <v>57411.200000000004</v>
      </c>
      <c r="O129" s="43">
        <v>-35483.57000000001</v>
      </c>
      <c r="P129" s="44">
        <v>-1.6182127297842952</v>
      </c>
    </row>
    <row r="130" ht="14.25" customHeight="1">
      <c r="C130" s="41" t="s">
        <v>149</v>
      </c>
      <c r="D130" s="41" t="s">
        <v>25</v>
      </c>
      <c r="E130" s="41" t="s">
        <v>54</v>
      </c>
      <c r="F130" s="41" t="s">
        <v>30</v>
      </c>
      <c r="G130" s="41" t="s">
        <v>27</v>
      </c>
      <c r="H130" s="41" t="s">
        <v>23</v>
      </c>
      <c r="I130" s="42">
        <v>45043.0</v>
      </c>
      <c r="J130" s="41">
        <v>491.0</v>
      </c>
      <c r="K130" s="43">
        <v>48.84</v>
      </c>
      <c r="L130" s="43">
        <v>344.11</v>
      </c>
      <c r="M130" s="43">
        <v>23980.440000000002</v>
      </c>
      <c r="N130" s="43">
        <v>168958.01</v>
      </c>
      <c r="O130" s="43">
        <v>-144977.57</v>
      </c>
      <c r="P130" s="44">
        <v>-6.045659295659295</v>
      </c>
    </row>
    <row r="131" ht="14.25" hidden="1" customHeight="1">
      <c r="C131" s="41" t="s">
        <v>150</v>
      </c>
      <c r="D131" s="41" t="s">
        <v>39</v>
      </c>
      <c r="E131" s="41" t="s">
        <v>15</v>
      </c>
      <c r="F131" s="41" t="s">
        <v>26</v>
      </c>
      <c r="G131" s="41" t="s">
        <v>27</v>
      </c>
      <c r="H131" s="41" t="s">
        <v>23</v>
      </c>
      <c r="I131" s="42">
        <v>45044.0</v>
      </c>
      <c r="J131" s="41">
        <v>328.0</v>
      </c>
      <c r="K131" s="43">
        <v>56.14</v>
      </c>
      <c r="L131" s="43">
        <v>158.17</v>
      </c>
      <c r="M131" s="43">
        <v>18413.920000000002</v>
      </c>
      <c r="N131" s="43">
        <v>51879.759999999995</v>
      </c>
      <c r="O131" s="43">
        <v>-33465.84</v>
      </c>
      <c r="P131" s="44">
        <v>-1.8174207338795865</v>
      </c>
    </row>
    <row r="132" ht="14.25" customHeight="1">
      <c r="C132" s="41" t="s">
        <v>151</v>
      </c>
      <c r="D132" s="41" t="s">
        <v>20</v>
      </c>
      <c r="E132" s="41" t="s">
        <v>29</v>
      </c>
      <c r="F132" s="41" t="s">
        <v>46</v>
      </c>
      <c r="G132" s="41" t="s">
        <v>27</v>
      </c>
      <c r="H132" s="41" t="s">
        <v>18</v>
      </c>
      <c r="I132" s="42">
        <v>45045.0</v>
      </c>
      <c r="J132" s="41">
        <v>421.0</v>
      </c>
      <c r="K132" s="43">
        <v>294.41</v>
      </c>
      <c r="L132" s="43">
        <v>382.58</v>
      </c>
      <c r="M132" s="43">
        <v>123946.61000000002</v>
      </c>
      <c r="N132" s="43">
        <v>161066.18</v>
      </c>
      <c r="O132" s="43">
        <v>-37119.56999999998</v>
      </c>
      <c r="P132" s="44">
        <v>-0.29948031656533386</v>
      </c>
    </row>
    <row r="133" ht="14.25" customHeight="1">
      <c r="C133" s="41" t="s">
        <v>152</v>
      </c>
      <c r="D133" s="41" t="s">
        <v>25</v>
      </c>
      <c r="E133" s="41" t="s">
        <v>21</v>
      </c>
      <c r="F133" s="41" t="s">
        <v>16</v>
      </c>
      <c r="G133" s="41" t="s">
        <v>27</v>
      </c>
      <c r="H133" s="41" t="s">
        <v>31</v>
      </c>
      <c r="I133" s="42">
        <v>45046.0</v>
      </c>
      <c r="J133" s="41">
        <v>69.0</v>
      </c>
      <c r="K133" s="43">
        <v>345.66</v>
      </c>
      <c r="L133" s="43">
        <v>54.99</v>
      </c>
      <c r="M133" s="43">
        <v>23850.54</v>
      </c>
      <c r="N133" s="43">
        <v>3794.31</v>
      </c>
      <c r="O133" s="43">
        <v>20056.23</v>
      </c>
      <c r="P133" s="44">
        <v>0.8409130359312619</v>
      </c>
    </row>
    <row r="134" ht="14.25" customHeight="1">
      <c r="C134" s="41" t="s">
        <v>153</v>
      </c>
      <c r="D134" s="41" t="s">
        <v>20</v>
      </c>
      <c r="E134" s="41" t="s">
        <v>15</v>
      </c>
      <c r="F134" s="41" t="s">
        <v>46</v>
      </c>
      <c r="G134" s="41" t="s">
        <v>27</v>
      </c>
      <c r="H134" s="41" t="s">
        <v>23</v>
      </c>
      <c r="I134" s="42">
        <v>45047.0</v>
      </c>
      <c r="J134" s="41">
        <v>344.0</v>
      </c>
      <c r="K134" s="43">
        <v>201.7</v>
      </c>
      <c r="L134" s="43">
        <v>42.66</v>
      </c>
      <c r="M134" s="43">
        <v>69384.8</v>
      </c>
      <c r="N134" s="43">
        <v>14675.039999999999</v>
      </c>
      <c r="O134" s="43">
        <v>54709.76</v>
      </c>
      <c r="P134" s="44">
        <v>0.7884977689638076</v>
      </c>
    </row>
    <row r="135" ht="14.25" hidden="1" customHeight="1">
      <c r="C135" s="41" t="s">
        <v>154</v>
      </c>
      <c r="D135" s="41" t="s">
        <v>39</v>
      </c>
      <c r="E135" s="41" t="s">
        <v>54</v>
      </c>
      <c r="F135" s="41" t="s">
        <v>46</v>
      </c>
      <c r="G135" s="41" t="s">
        <v>17</v>
      </c>
      <c r="H135" s="41" t="s">
        <v>18</v>
      </c>
      <c r="I135" s="42">
        <v>45048.0</v>
      </c>
      <c r="J135" s="41">
        <v>231.0</v>
      </c>
      <c r="K135" s="43">
        <v>242.55</v>
      </c>
      <c r="L135" s="43">
        <v>264.16</v>
      </c>
      <c r="M135" s="43">
        <v>56029.05</v>
      </c>
      <c r="N135" s="43">
        <v>61020.96000000001</v>
      </c>
      <c r="O135" s="43">
        <v>-4991.9100000000035</v>
      </c>
      <c r="P135" s="44">
        <v>-0.08909503195217487</v>
      </c>
    </row>
    <row r="136" ht="14.25" customHeight="1">
      <c r="C136" s="41" t="s">
        <v>155</v>
      </c>
      <c r="D136" s="41" t="s">
        <v>52</v>
      </c>
      <c r="E136" s="41" t="s">
        <v>15</v>
      </c>
      <c r="F136" s="41" t="s">
        <v>26</v>
      </c>
      <c r="G136" s="41" t="s">
        <v>17</v>
      </c>
      <c r="H136" s="41" t="s">
        <v>23</v>
      </c>
      <c r="I136" s="42">
        <v>45049.0</v>
      </c>
      <c r="J136" s="41">
        <v>46.0</v>
      </c>
      <c r="K136" s="43">
        <v>344.55</v>
      </c>
      <c r="L136" s="43">
        <v>377.25</v>
      </c>
      <c r="M136" s="43">
        <v>15849.300000000001</v>
      </c>
      <c r="N136" s="43">
        <v>17353.5</v>
      </c>
      <c r="O136" s="43">
        <v>-1504.199999999999</v>
      </c>
      <c r="P136" s="44">
        <v>-0.09490639965171956</v>
      </c>
    </row>
    <row r="137" ht="14.25" customHeight="1">
      <c r="C137" s="41" t="s">
        <v>156</v>
      </c>
      <c r="D137" s="41" t="s">
        <v>14</v>
      </c>
      <c r="E137" s="41" t="s">
        <v>21</v>
      </c>
      <c r="F137" s="41" t="s">
        <v>16</v>
      </c>
      <c r="G137" s="41" t="s">
        <v>27</v>
      </c>
      <c r="H137" s="41" t="s">
        <v>31</v>
      </c>
      <c r="I137" s="42">
        <v>45050.0</v>
      </c>
      <c r="J137" s="41">
        <v>486.0</v>
      </c>
      <c r="K137" s="43">
        <v>13.6</v>
      </c>
      <c r="L137" s="43">
        <v>323.94</v>
      </c>
      <c r="M137" s="43">
        <v>6609.599999999999</v>
      </c>
      <c r="N137" s="43">
        <v>157434.84</v>
      </c>
      <c r="O137" s="43">
        <v>-150825.24</v>
      </c>
      <c r="P137" s="44">
        <v>-22.819117647058825</v>
      </c>
    </row>
    <row r="138" ht="14.25" customHeight="1">
      <c r="C138" s="41" t="s">
        <v>157</v>
      </c>
      <c r="D138" s="41" t="s">
        <v>25</v>
      </c>
      <c r="E138" s="41" t="s">
        <v>15</v>
      </c>
      <c r="F138" s="41" t="s">
        <v>16</v>
      </c>
      <c r="G138" s="41" t="s">
        <v>27</v>
      </c>
      <c r="H138" s="41" t="s">
        <v>18</v>
      </c>
      <c r="I138" s="42">
        <v>45051.0</v>
      </c>
      <c r="J138" s="41">
        <v>287.0</v>
      </c>
      <c r="K138" s="43">
        <v>164.95</v>
      </c>
      <c r="L138" s="43">
        <v>32.41</v>
      </c>
      <c r="M138" s="43">
        <v>47340.649999999994</v>
      </c>
      <c r="N138" s="43">
        <v>9301.669999999998</v>
      </c>
      <c r="O138" s="43">
        <v>38038.979999999996</v>
      </c>
      <c r="P138" s="44">
        <v>0.8035162170354653</v>
      </c>
    </row>
    <row r="139" ht="14.25" customHeight="1">
      <c r="C139" s="41" t="s">
        <v>158</v>
      </c>
      <c r="D139" s="41" t="s">
        <v>20</v>
      </c>
      <c r="E139" s="41" t="s">
        <v>34</v>
      </c>
      <c r="F139" s="41" t="s">
        <v>22</v>
      </c>
      <c r="G139" s="41" t="s">
        <v>17</v>
      </c>
      <c r="H139" s="41" t="s">
        <v>31</v>
      </c>
      <c r="I139" s="42">
        <v>45052.0</v>
      </c>
      <c r="J139" s="41">
        <v>205.0</v>
      </c>
      <c r="K139" s="43">
        <v>486.68</v>
      </c>
      <c r="L139" s="43">
        <v>113.19</v>
      </c>
      <c r="M139" s="43">
        <v>99769.4</v>
      </c>
      <c r="N139" s="43">
        <v>23203.95</v>
      </c>
      <c r="O139" s="43">
        <v>76565.45</v>
      </c>
      <c r="P139" s="44">
        <v>0.7674241801594477</v>
      </c>
    </row>
    <row r="140" ht="14.25" customHeight="1">
      <c r="C140" s="41" t="s">
        <v>159</v>
      </c>
      <c r="D140" s="41" t="s">
        <v>52</v>
      </c>
      <c r="E140" s="41" t="s">
        <v>15</v>
      </c>
      <c r="F140" s="41" t="s">
        <v>46</v>
      </c>
      <c r="G140" s="41" t="s">
        <v>27</v>
      </c>
      <c r="H140" s="41" t="s">
        <v>31</v>
      </c>
      <c r="I140" s="42">
        <v>45053.0</v>
      </c>
      <c r="J140" s="41">
        <v>413.0</v>
      </c>
      <c r="K140" s="43">
        <v>292.16</v>
      </c>
      <c r="L140" s="43">
        <v>372.27</v>
      </c>
      <c r="M140" s="43">
        <v>120662.08000000002</v>
      </c>
      <c r="N140" s="43">
        <v>153747.50999999998</v>
      </c>
      <c r="O140" s="43">
        <v>-33085.429999999964</v>
      </c>
      <c r="P140" s="44">
        <v>-0.27419906900328556</v>
      </c>
    </row>
    <row r="141" ht="14.25" customHeight="1">
      <c r="C141" s="41" t="s">
        <v>160</v>
      </c>
      <c r="D141" s="41" t="s">
        <v>25</v>
      </c>
      <c r="E141" s="41" t="s">
        <v>29</v>
      </c>
      <c r="F141" s="41" t="s">
        <v>46</v>
      </c>
      <c r="G141" s="41" t="s">
        <v>27</v>
      </c>
      <c r="H141" s="41" t="s">
        <v>18</v>
      </c>
      <c r="I141" s="42">
        <v>45054.0</v>
      </c>
      <c r="J141" s="41">
        <v>361.0</v>
      </c>
      <c r="K141" s="43">
        <v>130.84</v>
      </c>
      <c r="L141" s="43">
        <v>102.72</v>
      </c>
      <c r="M141" s="43">
        <v>47233.24</v>
      </c>
      <c r="N141" s="43">
        <v>37081.92</v>
      </c>
      <c r="O141" s="43">
        <v>10151.32</v>
      </c>
      <c r="P141" s="44">
        <v>0.2149189850198716</v>
      </c>
    </row>
    <row r="142" ht="14.25" customHeight="1">
      <c r="C142" s="41" t="s">
        <v>161</v>
      </c>
      <c r="D142" s="41" t="s">
        <v>20</v>
      </c>
      <c r="E142" s="41" t="s">
        <v>29</v>
      </c>
      <c r="F142" s="41" t="s">
        <v>30</v>
      </c>
      <c r="G142" s="41" t="s">
        <v>17</v>
      </c>
      <c r="H142" s="41" t="s">
        <v>18</v>
      </c>
      <c r="I142" s="42">
        <v>45055.0</v>
      </c>
      <c r="J142" s="41">
        <v>493.0</v>
      </c>
      <c r="K142" s="43">
        <v>263.26</v>
      </c>
      <c r="L142" s="43">
        <v>312.91</v>
      </c>
      <c r="M142" s="43">
        <v>129787.18</v>
      </c>
      <c r="N142" s="43">
        <v>154264.63</v>
      </c>
      <c r="O142" s="43">
        <v>-24477.45000000001</v>
      </c>
      <c r="P142" s="44">
        <v>-0.18859682443212045</v>
      </c>
    </row>
    <row r="143" ht="14.25" customHeight="1">
      <c r="C143" s="41" t="s">
        <v>162</v>
      </c>
      <c r="D143" s="41" t="s">
        <v>20</v>
      </c>
      <c r="E143" s="41" t="s">
        <v>34</v>
      </c>
      <c r="F143" s="41" t="s">
        <v>22</v>
      </c>
      <c r="G143" s="41" t="s">
        <v>27</v>
      </c>
      <c r="H143" s="41" t="s">
        <v>18</v>
      </c>
      <c r="I143" s="42">
        <v>45056.0</v>
      </c>
      <c r="J143" s="41">
        <v>251.0</v>
      </c>
      <c r="K143" s="43">
        <v>174.61</v>
      </c>
      <c r="L143" s="43">
        <v>330.4</v>
      </c>
      <c r="M143" s="43">
        <v>43827.11</v>
      </c>
      <c r="N143" s="43">
        <v>82930.4</v>
      </c>
      <c r="O143" s="43">
        <v>-39103.28999999999</v>
      </c>
      <c r="P143" s="44">
        <v>-0.8922169406105033</v>
      </c>
    </row>
    <row r="144" ht="14.25" hidden="1" customHeight="1">
      <c r="C144" s="41" t="s">
        <v>163</v>
      </c>
      <c r="D144" s="41" t="s">
        <v>20</v>
      </c>
      <c r="E144" s="41" t="s">
        <v>21</v>
      </c>
      <c r="F144" s="41" t="s">
        <v>30</v>
      </c>
      <c r="G144" s="41" t="s">
        <v>27</v>
      </c>
      <c r="H144" s="41" t="s">
        <v>18</v>
      </c>
      <c r="I144" s="42">
        <v>45057.0</v>
      </c>
      <c r="J144" s="45">
        <v>255.9029411764706</v>
      </c>
      <c r="K144" s="43">
        <v>268.46</v>
      </c>
      <c r="L144" s="43">
        <v>199.19</v>
      </c>
      <c r="M144" s="43">
        <v>68699.7035882353</v>
      </c>
      <c r="N144" s="43">
        <v>50973.306852941176</v>
      </c>
      <c r="O144" s="43">
        <v>17726.396735294118</v>
      </c>
      <c r="P144" s="44">
        <v>0.25802726663190045</v>
      </c>
    </row>
    <row r="145" ht="14.25" customHeight="1">
      <c r="C145" s="41" t="s">
        <v>164</v>
      </c>
      <c r="D145" s="41" t="s">
        <v>25</v>
      </c>
      <c r="E145" s="41" t="s">
        <v>29</v>
      </c>
      <c r="F145" s="41" t="s">
        <v>30</v>
      </c>
      <c r="G145" s="41" t="s">
        <v>27</v>
      </c>
      <c r="H145" s="41" t="s">
        <v>18</v>
      </c>
      <c r="I145" s="42">
        <v>45058.0</v>
      </c>
      <c r="J145" s="41">
        <v>228.0</v>
      </c>
      <c r="K145" s="43">
        <v>67.24</v>
      </c>
      <c r="L145" s="43">
        <v>155.77</v>
      </c>
      <c r="M145" s="43">
        <v>15330.72</v>
      </c>
      <c r="N145" s="43">
        <v>35515.560000000005</v>
      </c>
      <c r="O145" s="43">
        <v>-20184.840000000004</v>
      </c>
      <c r="P145" s="44">
        <v>-1.3166270077334923</v>
      </c>
    </row>
    <row r="146" ht="14.25" customHeight="1">
      <c r="C146" s="41" t="s">
        <v>165</v>
      </c>
      <c r="D146" s="41" t="s">
        <v>25</v>
      </c>
      <c r="E146" s="41" t="s">
        <v>54</v>
      </c>
      <c r="F146" s="41" t="s">
        <v>30</v>
      </c>
      <c r="G146" s="41" t="s">
        <v>17</v>
      </c>
      <c r="H146" s="41" t="s">
        <v>18</v>
      </c>
      <c r="I146" s="42">
        <v>45059.0</v>
      </c>
      <c r="J146" s="41">
        <v>201.0</v>
      </c>
      <c r="K146" s="43">
        <v>70.69</v>
      </c>
      <c r="L146" s="43">
        <v>181.15</v>
      </c>
      <c r="M146" s="43">
        <v>14208.689999999999</v>
      </c>
      <c r="N146" s="43">
        <v>36411.15</v>
      </c>
      <c r="O146" s="43">
        <v>-22202.460000000003</v>
      </c>
      <c r="P146" s="44">
        <v>-1.5625972556231436</v>
      </c>
    </row>
    <row r="147" ht="14.25" customHeight="1">
      <c r="C147" s="41" t="s">
        <v>166</v>
      </c>
      <c r="D147" s="41" t="s">
        <v>25</v>
      </c>
      <c r="E147" s="41" t="s">
        <v>29</v>
      </c>
      <c r="F147" s="41" t="s">
        <v>26</v>
      </c>
      <c r="G147" s="41" t="s">
        <v>17</v>
      </c>
      <c r="H147" s="41" t="s">
        <v>18</v>
      </c>
      <c r="I147" s="42">
        <v>45060.0</v>
      </c>
      <c r="J147" s="41">
        <v>26.0</v>
      </c>
      <c r="K147" s="43">
        <v>76.05</v>
      </c>
      <c r="L147" s="43">
        <v>92.33</v>
      </c>
      <c r="M147" s="43">
        <v>1977.3</v>
      </c>
      <c r="N147" s="43">
        <v>2400.58</v>
      </c>
      <c r="O147" s="43">
        <v>-423.28</v>
      </c>
      <c r="P147" s="44">
        <v>-0.2140696909927679</v>
      </c>
    </row>
    <row r="148" ht="14.25" customHeight="1">
      <c r="C148" s="41" t="s">
        <v>167</v>
      </c>
      <c r="D148" s="41" t="s">
        <v>14</v>
      </c>
      <c r="E148" s="41" t="s">
        <v>29</v>
      </c>
      <c r="F148" s="41" t="s">
        <v>26</v>
      </c>
      <c r="G148" s="41" t="s">
        <v>17</v>
      </c>
      <c r="H148" s="41" t="s">
        <v>23</v>
      </c>
      <c r="I148" s="42">
        <v>45061.0</v>
      </c>
      <c r="J148" s="41">
        <v>21.0</v>
      </c>
      <c r="K148" s="43">
        <v>470.21</v>
      </c>
      <c r="L148" s="43">
        <v>355.98</v>
      </c>
      <c r="M148" s="43">
        <v>9874.41</v>
      </c>
      <c r="N148" s="43">
        <v>7475.58</v>
      </c>
      <c r="O148" s="43">
        <v>2398.83</v>
      </c>
      <c r="P148" s="44">
        <v>0.24293400820909805</v>
      </c>
    </row>
    <row r="149" ht="14.25" customHeight="1">
      <c r="C149" s="41" t="s">
        <v>168</v>
      </c>
      <c r="D149" s="41" t="s">
        <v>25</v>
      </c>
      <c r="E149" s="41" t="s">
        <v>21</v>
      </c>
      <c r="F149" s="41" t="s">
        <v>30</v>
      </c>
      <c r="G149" s="41" t="s">
        <v>27</v>
      </c>
      <c r="H149" s="41" t="s">
        <v>31</v>
      </c>
      <c r="I149" s="42">
        <v>45062.0</v>
      </c>
      <c r="J149" s="41">
        <v>415.0</v>
      </c>
      <c r="K149" s="43">
        <v>367.78</v>
      </c>
      <c r="L149" s="43">
        <v>181.35</v>
      </c>
      <c r="M149" s="43">
        <v>152628.69999999998</v>
      </c>
      <c r="N149" s="43">
        <v>75260.25</v>
      </c>
      <c r="O149" s="43">
        <v>77368.44999999998</v>
      </c>
      <c r="P149" s="44">
        <v>0.5069063026809505</v>
      </c>
    </row>
    <row r="150" ht="14.25" customHeight="1">
      <c r="C150" s="41" t="s">
        <v>169</v>
      </c>
      <c r="D150" s="41" t="s">
        <v>25</v>
      </c>
      <c r="E150" s="41" t="s">
        <v>15</v>
      </c>
      <c r="F150" s="41" t="s">
        <v>22</v>
      </c>
      <c r="G150" s="41" t="s">
        <v>27</v>
      </c>
      <c r="H150" s="41" t="s">
        <v>18</v>
      </c>
      <c r="I150" s="42">
        <v>45063.0</v>
      </c>
      <c r="J150" s="41">
        <v>410.0</v>
      </c>
      <c r="K150" s="43">
        <v>85.38</v>
      </c>
      <c r="L150" s="43">
        <v>353.22</v>
      </c>
      <c r="M150" s="43">
        <v>35005.799999999996</v>
      </c>
      <c r="N150" s="43">
        <v>144820.2</v>
      </c>
      <c r="O150" s="43">
        <v>-109814.40000000002</v>
      </c>
      <c r="P150" s="44">
        <v>-3.1370344342937466</v>
      </c>
    </row>
    <row r="151" ht="14.25" customHeight="1">
      <c r="C151" s="41" t="s">
        <v>170</v>
      </c>
      <c r="D151" s="41" t="s">
        <v>25</v>
      </c>
      <c r="E151" s="41" t="s">
        <v>29</v>
      </c>
      <c r="F151" s="41" t="s">
        <v>46</v>
      </c>
      <c r="G151" s="41" t="s">
        <v>17</v>
      </c>
      <c r="H151" s="41" t="s">
        <v>23</v>
      </c>
      <c r="I151" s="42">
        <v>45064.0</v>
      </c>
      <c r="J151" s="41">
        <v>403.0</v>
      </c>
      <c r="K151" s="43">
        <v>98.23</v>
      </c>
      <c r="L151" s="43">
        <v>44.07</v>
      </c>
      <c r="M151" s="43">
        <v>39586.69</v>
      </c>
      <c r="N151" s="43">
        <v>17760.21</v>
      </c>
      <c r="O151" s="43">
        <v>21826.480000000003</v>
      </c>
      <c r="P151" s="44">
        <v>0.5513590552784282</v>
      </c>
    </row>
    <row r="152" ht="14.25" customHeight="1">
      <c r="C152" s="41" t="s">
        <v>171</v>
      </c>
      <c r="D152" s="41" t="s">
        <v>14</v>
      </c>
      <c r="E152" s="41" t="s">
        <v>34</v>
      </c>
      <c r="F152" s="41" t="s">
        <v>22</v>
      </c>
      <c r="G152" s="41" t="s">
        <v>27</v>
      </c>
      <c r="H152" s="41" t="s">
        <v>23</v>
      </c>
      <c r="I152" s="42">
        <v>45065.0</v>
      </c>
      <c r="J152" s="41">
        <v>383.0</v>
      </c>
      <c r="K152" s="43">
        <v>366.76</v>
      </c>
      <c r="L152" s="43">
        <v>395.33</v>
      </c>
      <c r="M152" s="43">
        <v>140469.08</v>
      </c>
      <c r="N152" s="43">
        <v>151411.38999999998</v>
      </c>
      <c r="O152" s="43">
        <v>-10942.309999999998</v>
      </c>
      <c r="P152" s="44">
        <v>-0.0778983531464718</v>
      </c>
    </row>
    <row r="153" ht="14.25" customHeight="1">
      <c r="C153" s="41" t="s">
        <v>172</v>
      </c>
      <c r="D153" s="41" t="s">
        <v>25</v>
      </c>
      <c r="E153" s="41" t="s">
        <v>15</v>
      </c>
      <c r="F153" s="41" t="s">
        <v>16</v>
      </c>
      <c r="G153" s="41" t="s">
        <v>27</v>
      </c>
      <c r="H153" s="41" t="s">
        <v>23</v>
      </c>
      <c r="I153" s="42">
        <v>45066.0</v>
      </c>
      <c r="J153" s="41">
        <v>202.0</v>
      </c>
      <c r="K153" s="43">
        <v>82.3</v>
      </c>
      <c r="L153" s="43">
        <v>178.42</v>
      </c>
      <c r="M153" s="43">
        <v>16624.6</v>
      </c>
      <c r="N153" s="43">
        <v>36040.84</v>
      </c>
      <c r="O153" s="43">
        <v>-19416.239999999998</v>
      </c>
      <c r="P153" s="44">
        <v>-1.1679222357229648</v>
      </c>
    </row>
    <row r="154" ht="14.25" customHeight="1">
      <c r="C154" s="41" t="s">
        <v>173</v>
      </c>
      <c r="D154" s="41" t="s">
        <v>20</v>
      </c>
      <c r="E154" s="41" t="s">
        <v>54</v>
      </c>
      <c r="F154" s="41" t="s">
        <v>26</v>
      </c>
      <c r="G154" s="41" t="s">
        <v>27</v>
      </c>
      <c r="H154" s="41" t="s">
        <v>31</v>
      </c>
      <c r="I154" s="42">
        <v>45067.0</v>
      </c>
      <c r="J154" s="41">
        <v>31.0</v>
      </c>
      <c r="K154" s="43">
        <v>121.11</v>
      </c>
      <c r="L154" s="43">
        <v>21.04</v>
      </c>
      <c r="M154" s="43">
        <v>3754.41</v>
      </c>
      <c r="N154" s="43">
        <v>652.24</v>
      </c>
      <c r="O154" s="43">
        <v>3102.17</v>
      </c>
      <c r="P154" s="44">
        <v>0.8262736355379408</v>
      </c>
    </row>
    <row r="155" ht="14.25" customHeight="1">
      <c r="C155" s="41" t="s">
        <v>174</v>
      </c>
      <c r="D155" s="41" t="s">
        <v>25</v>
      </c>
      <c r="E155" s="41" t="s">
        <v>21</v>
      </c>
      <c r="F155" s="41" t="s">
        <v>46</v>
      </c>
      <c r="G155" s="41" t="s">
        <v>27</v>
      </c>
      <c r="H155" s="41" t="s">
        <v>18</v>
      </c>
      <c r="I155" s="42">
        <v>45068.0</v>
      </c>
      <c r="J155" s="41">
        <v>483.0</v>
      </c>
      <c r="K155" s="43">
        <v>481.86</v>
      </c>
      <c r="L155" s="43">
        <v>17.13</v>
      </c>
      <c r="M155" s="43">
        <v>232738.38</v>
      </c>
      <c r="N155" s="43">
        <v>8273.789999999999</v>
      </c>
      <c r="O155" s="43">
        <v>224464.59</v>
      </c>
      <c r="P155" s="44">
        <v>0.9644502552608641</v>
      </c>
    </row>
    <row r="156" ht="14.25" customHeight="1">
      <c r="C156" s="41" t="s">
        <v>175</v>
      </c>
      <c r="D156" s="41" t="s">
        <v>20</v>
      </c>
      <c r="E156" s="41" t="s">
        <v>54</v>
      </c>
      <c r="F156" s="41" t="s">
        <v>46</v>
      </c>
      <c r="G156" s="41" t="s">
        <v>27</v>
      </c>
      <c r="H156" s="41" t="s">
        <v>23</v>
      </c>
      <c r="I156" s="42">
        <v>45069.0</v>
      </c>
      <c r="J156" s="41">
        <v>129.0</v>
      </c>
      <c r="K156" s="43">
        <v>131.38</v>
      </c>
      <c r="L156" s="43">
        <v>298.99</v>
      </c>
      <c r="M156" s="43">
        <v>16948.02</v>
      </c>
      <c r="N156" s="43">
        <v>38569.71</v>
      </c>
      <c r="O156" s="43">
        <v>-21621.69</v>
      </c>
      <c r="P156" s="44">
        <v>-1.275764956614401</v>
      </c>
    </row>
    <row r="157" ht="14.25" customHeight="1">
      <c r="C157" s="41" t="s">
        <v>176</v>
      </c>
      <c r="D157" s="41" t="s">
        <v>20</v>
      </c>
      <c r="E157" s="41" t="s">
        <v>15</v>
      </c>
      <c r="F157" s="41" t="s">
        <v>16</v>
      </c>
      <c r="G157" s="41" t="s">
        <v>17</v>
      </c>
      <c r="H157" s="41" t="s">
        <v>31</v>
      </c>
      <c r="I157" s="42">
        <v>45070.0</v>
      </c>
      <c r="J157" s="41">
        <v>219.0</v>
      </c>
      <c r="K157" s="43">
        <v>332.51</v>
      </c>
      <c r="L157" s="43">
        <v>264.3</v>
      </c>
      <c r="M157" s="43">
        <v>72819.69</v>
      </c>
      <c r="N157" s="43">
        <v>57881.700000000004</v>
      </c>
      <c r="O157" s="43">
        <v>14937.989999999998</v>
      </c>
      <c r="P157" s="44">
        <v>0.20513668761841747</v>
      </c>
    </row>
    <row r="158" ht="14.25" customHeight="1">
      <c r="C158" s="41" t="s">
        <v>177</v>
      </c>
      <c r="D158" s="41" t="s">
        <v>20</v>
      </c>
      <c r="E158" s="41" t="s">
        <v>15</v>
      </c>
      <c r="F158" s="41" t="s">
        <v>16</v>
      </c>
      <c r="G158" s="41" t="s">
        <v>27</v>
      </c>
      <c r="H158" s="41" t="s">
        <v>31</v>
      </c>
      <c r="I158" s="42">
        <v>45071.0</v>
      </c>
      <c r="J158" s="41">
        <v>315.0</v>
      </c>
      <c r="K158" s="43">
        <v>489.42</v>
      </c>
      <c r="L158" s="43">
        <v>321.25</v>
      </c>
      <c r="M158" s="43">
        <v>154167.30000000002</v>
      </c>
      <c r="N158" s="43">
        <v>101193.75</v>
      </c>
      <c r="O158" s="43">
        <v>52973.55000000002</v>
      </c>
      <c r="P158" s="44">
        <v>0.3436108046258838</v>
      </c>
    </row>
    <row r="159" ht="14.25" customHeight="1">
      <c r="C159" s="41" t="s">
        <v>178</v>
      </c>
      <c r="D159" s="41" t="s">
        <v>14</v>
      </c>
      <c r="E159" s="41" t="s">
        <v>15</v>
      </c>
      <c r="F159" s="41" t="s">
        <v>30</v>
      </c>
      <c r="G159" s="41" t="s">
        <v>17</v>
      </c>
      <c r="H159" s="41" t="s">
        <v>31</v>
      </c>
      <c r="I159" s="42">
        <v>45072.0</v>
      </c>
      <c r="J159" s="41">
        <v>279.0</v>
      </c>
      <c r="K159" s="43">
        <v>190.28</v>
      </c>
      <c r="L159" s="43">
        <v>43.94</v>
      </c>
      <c r="M159" s="43">
        <v>53088.12</v>
      </c>
      <c r="N159" s="43">
        <v>12259.26</v>
      </c>
      <c r="O159" s="43">
        <v>40828.86</v>
      </c>
      <c r="P159" s="44">
        <v>0.7690771494639478</v>
      </c>
    </row>
    <row r="160" ht="14.25" customHeight="1">
      <c r="C160" s="41" t="s">
        <v>179</v>
      </c>
      <c r="D160" s="41" t="s">
        <v>14</v>
      </c>
      <c r="E160" s="41" t="s">
        <v>54</v>
      </c>
      <c r="F160" s="41" t="s">
        <v>26</v>
      </c>
      <c r="G160" s="41" t="s">
        <v>27</v>
      </c>
      <c r="H160" s="41" t="s">
        <v>23</v>
      </c>
      <c r="I160" s="42">
        <v>45073.0</v>
      </c>
      <c r="J160" s="41">
        <v>201.0</v>
      </c>
      <c r="K160" s="43">
        <v>13.67</v>
      </c>
      <c r="L160" s="43">
        <v>16.16</v>
      </c>
      <c r="M160" s="43">
        <v>2747.67</v>
      </c>
      <c r="N160" s="43">
        <v>3248.16</v>
      </c>
      <c r="O160" s="43">
        <v>-500.4899999999998</v>
      </c>
      <c r="P160" s="44">
        <v>-0.18215069495245054</v>
      </c>
    </row>
    <row r="161" ht="14.25" customHeight="1">
      <c r="C161" s="41" t="s">
        <v>180</v>
      </c>
      <c r="D161" s="41" t="s">
        <v>14</v>
      </c>
      <c r="E161" s="41" t="s">
        <v>15</v>
      </c>
      <c r="F161" s="41" t="s">
        <v>26</v>
      </c>
      <c r="G161" s="41" t="s">
        <v>17</v>
      </c>
      <c r="H161" s="41" t="s">
        <v>18</v>
      </c>
      <c r="I161" s="42">
        <v>45074.0</v>
      </c>
      <c r="J161" s="41">
        <v>184.0</v>
      </c>
      <c r="K161" s="43">
        <v>125.85</v>
      </c>
      <c r="L161" s="43">
        <v>204.41</v>
      </c>
      <c r="M161" s="43">
        <v>23156.399999999998</v>
      </c>
      <c r="N161" s="43">
        <v>37611.44</v>
      </c>
      <c r="O161" s="43">
        <v>-14455.040000000005</v>
      </c>
      <c r="P161" s="44">
        <v>-0.6242352006356776</v>
      </c>
    </row>
    <row r="162" ht="14.25" customHeight="1">
      <c r="C162" s="41" t="s">
        <v>181</v>
      </c>
      <c r="D162" s="41" t="s">
        <v>25</v>
      </c>
      <c r="E162" s="41" t="s">
        <v>54</v>
      </c>
      <c r="F162" s="41" t="s">
        <v>22</v>
      </c>
      <c r="G162" s="41" t="s">
        <v>27</v>
      </c>
      <c r="H162" s="41" t="s">
        <v>23</v>
      </c>
      <c r="I162" s="42">
        <v>45075.0</v>
      </c>
      <c r="J162" s="41">
        <v>294.0</v>
      </c>
      <c r="K162" s="43">
        <v>416.28</v>
      </c>
      <c r="L162" s="43">
        <v>156.26</v>
      </c>
      <c r="M162" s="43">
        <v>122386.31999999999</v>
      </c>
      <c r="N162" s="43">
        <v>45940.439999999995</v>
      </c>
      <c r="O162" s="43">
        <v>76445.88</v>
      </c>
      <c r="P162" s="44">
        <v>0.624627654463342</v>
      </c>
    </row>
    <row r="163" ht="14.25" customHeight="1">
      <c r="C163" s="41" t="s">
        <v>182</v>
      </c>
      <c r="D163" s="41" t="s">
        <v>20</v>
      </c>
      <c r="E163" s="41" t="s">
        <v>15</v>
      </c>
      <c r="F163" s="41" t="s">
        <v>30</v>
      </c>
      <c r="G163" s="41" t="s">
        <v>17</v>
      </c>
      <c r="H163" s="41" t="s">
        <v>23</v>
      </c>
      <c r="I163" s="42">
        <v>45076.0</v>
      </c>
      <c r="J163" s="41">
        <v>213.0</v>
      </c>
      <c r="K163" s="43">
        <v>432.98</v>
      </c>
      <c r="L163" s="43">
        <v>185.85</v>
      </c>
      <c r="M163" s="43">
        <v>92224.74</v>
      </c>
      <c r="N163" s="43">
        <v>39586.049999999996</v>
      </c>
      <c r="O163" s="43">
        <v>52638.69000000001</v>
      </c>
      <c r="P163" s="44">
        <v>0.5707653933207077</v>
      </c>
    </row>
    <row r="164" ht="14.25" customHeight="1">
      <c r="C164" s="41" t="s">
        <v>183</v>
      </c>
      <c r="D164" s="41" t="s">
        <v>14</v>
      </c>
      <c r="E164" s="41" t="s">
        <v>34</v>
      </c>
      <c r="F164" s="41" t="s">
        <v>30</v>
      </c>
      <c r="G164" s="41" t="s">
        <v>27</v>
      </c>
      <c r="H164" s="41" t="s">
        <v>18</v>
      </c>
      <c r="I164" s="42">
        <v>45077.0</v>
      </c>
      <c r="J164" s="41">
        <v>173.0</v>
      </c>
      <c r="K164" s="43">
        <v>385.42</v>
      </c>
      <c r="L164" s="43">
        <v>396.65</v>
      </c>
      <c r="M164" s="43">
        <v>66677.66</v>
      </c>
      <c r="N164" s="43">
        <v>68620.45</v>
      </c>
      <c r="O164" s="43">
        <v>-1942.7899999999936</v>
      </c>
      <c r="P164" s="44">
        <v>-0.02913704530122973</v>
      </c>
    </row>
    <row r="165" ht="14.25" customHeight="1">
      <c r="C165" s="41" t="s">
        <v>184</v>
      </c>
      <c r="D165" s="41" t="s">
        <v>14</v>
      </c>
      <c r="E165" s="41" t="s">
        <v>15</v>
      </c>
      <c r="F165" s="41" t="s">
        <v>30</v>
      </c>
      <c r="G165" s="41" t="s">
        <v>17</v>
      </c>
      <c r="H165" s="41" t="s">
        <v>18</v>
      </c>
      <c r="I165" s="42">
        <v>45078.0</v>
      </c>
      <c r="J165" s="41">
        <v>260.0</v>
      </c>
      <c r="K165" s="43">
        <v>60.99</v>
      </c>
      <c r="L165" s="43">
        <v>388.36</v>
      </c>
      <c r="M165" s="43">
        <v>15857.4</v>
      </c>
      <c r="N165" s="43">
        <v>100973.6</v>
      </c>
      <c r="O165" s="43">
        <v>-85116.20000000001</v>
      </c>
      <c r="P165" s="44">
        <v>-5.36760124610592</v>
      </c>
    </row>
    <row r="166" ht="14.25" customHeight="1">
      <c r="C166" s="41" t="s">
        <v>185</v>
      </c>
      <c r="D166" s="41" t="s">
        <v>25</v>
      </c>
      <c r="E166" s="41" t="s">
        <v>54</v>
      </c>
      <c r="F166" s="41" t="s">
        <v>30</v>
      </c>
      <c r="G166" s="41" t="s">
        <v>27</v>
      </c>
      <c r="H166" s="41" t="s">
        <v>18</v>
      </c>
      <c r="I166" s="42">
        <v>45079.0</v>
      </c>
      <c r="J166" s="41">
        <v>236.0</v>
      </c>
      <c r="K166" s="43">
        <v>398.78</v>
      </c>
      <c r="L166" s="43">
        <v>377.04</v>
      </c>
      <c r="M166" s="43">
        <v>94112.07999999999</v>
      </c>
      <c r="N166" s="43">
        <v>88981.44</v>
      </c>
      <c r="O166" s="43">
        <v>5130.639999999985</v>
      </c>
      <c r="P166" s="44">
        <v>0.05451627463764466</v>
      </c>
    </row>
    <row r="167" ht="14.25" customHeight="1">
      <c r="C167" s="41" t="s">
        <v>186</v>
      </c>
      <c r="D167" s="41" t="s">
        <v>14</v>
      </c>
      <c r="E167" s="41" t="s">
        <v>29</v>
      </c>
      <c r="F167" s="41" t="s">
        <v>26</v>
      </c>
      <c r="G167" s="41" t="s">
        <v>17</v>
      </c>
      <c r="H167" s="41" t="s">
        <v>31</v>
      </c>
      <c r="I167" s="42">
        <v>45080.0</v>
      </c>
      <c r="J167" s="41">
        <v>445.0</v>
      </c>
      <c r="K167" s="43">
        <v>459.75</v>
      </c>
      <c r="L167" s="43">
        <v>313.97</v>
      </c>
      <c r="M167" s="43">
        <v>204588.75</v>
      </c>
      <c r="N167" s="43">
        <v>139716.65000000002</v>
      </c>
      <c r="O167" s="43">
        <v>64872.09999999998</v>
      </c>
      <c r="P167" s="44">
        <v>0.3170853724850461</v>
      </c>
    </row>
    <row r="168" ht="14.25" customHeight="1">
      <c r="C168" s="41" t="s">
        <v>187</v>
      </c>
      <c r="D168" s="41" t="s">
        <v>25</v>
      </c>
      <c r="E168" s="41" t="s">
        <v>15</v>
      </c>
      <c r="F168" s="41" t="s">
        <v>26</v>
      </c>
      <c r="G168" s="41" t="s">
        <v>27</v>
      </c>
      <c r="H168" s="41" t="s">
        <v>18</v>
      </c>
      <c r="I168" s="42">
        <v>45081.0</v>
      </c>
      <c r="J168" s="41">
        <v>390.0</v>
      </c>
      <c r="K168" s="43">
        <v>302.3</v>
      </c>
      <c r="L168" s="43">
        <v>143.23</v>
      </c>
      <c r="M168" s="43">
        <v>117897.0</v>
      </c>
      <c r="N168" s="43">
        <v>55859.7</v>
      </c>
      <c r="O168" s="43">
        <v>62037.3</v>
      </c>
      <c r="P168" s="44">
        <v>0.5261991399272247</v>
      </c>
    </row>
    <row r="169" ht="14.25" customHeight="1">
      <c r="C169" s="41" t="s">
        <v>188</v>
      </c>
      <c r="D169" s="41" t="s">
        <v>52</v>
      </c>
      <c r="E169" s="41" t="s">
        <v>29</v>
      </c>
      <c r="F169" s="41" t="s">
        <v>30</v>
      </c>
      <c r="G169" s="41" t="s">
        <v>17</v>
      </c>
      <c r="H169" s="41" t="s">
        <v>23</v>
      </c>
      <c r="I169" s="42">
        <v>45082.0</v>
      </c>
      <c r="J169" s="41">
        <v>469.0</v>
      </c>
      <c r="K169" s="43">
        <v>470.73</v>
      </c>
      <c r="L169" s="43">
        <v>166.03</v>
      </c>
      <c r="M169" s="43">
        <v>220772.37</v>
      </c>
      <c r="N169" s="43">
        <v>77868.07</v>
      </c>
      <c r="O169" s="43">
        <v>142904.3</v>
      </c>
      <c r="P169" s="44">
        <v>0.647292503133431</v>
      </c>
    </row>
    <row r="170" ht="14.25" hidden="1" customHeight="1">
      <c r="C170" s="41" t="s">
        <v>189</v>
      </c>
      <c r="D170" s="41" t="s">
        <v>14</v>
      </c>
      <c r="E170" s="41" t="s">
        <v>34</v>
      </c>
      <c r="F170" s="41" t="s">
        <v>22</v>
      </c>
      <c r="G170" s="41" t="s">
        <v>17</v>
      </c>
      <c r="H170" s="41" t="s">
        <v>18</v>
      </c>
      <c r="I170" s="42">
        <v>45083.0</v>
      </c>
      <c r="J170" s="41">
        <v>16.0</v>
      </c>
      <c r="K170" s="43">
        <v>249.64520588235297</v>
      </c>
      <c r="L170" s="43">
        <v>220.75</v>
      </c>
      <c r="M170" s="43">
        <v>3994.3232941176475</v>
      </c>
      <c r="N170" s="43">
        <v>3532.0</v>
      </c>
      <c r="O170" s="43">
        <v>462.3232941176475</v>
      </c>
      <c r="P170" s="44">
        <v>0.11574508623237906</v>
      </c>
    </row>
    <row r="171" ht="14.25" customHeight="1">
      <c r="C171" s="41" t="s">
        <v>190</v>
      </c>
      <c r="D171" s="41" t="s">
        <v>52</v>
      </c>
      <c r="E171" s="41" t="s">
        <v>21</v>
      </c>
      <c r="F171" s="41" t="s">
        <v>46</v>
      </c>
      <c r="G171" s="41" t="s">
        <v>27</v>
      </c>
      <c r="H171" s="41" t="s">
        <v>23</v>
      </c>
      <c r="I171" s="42">
        <v>45084.0</v>
      </c>
      <c r="J171" s="41">
        <v>38.0</v>
      </c>
      <c r="K171" s="43">
        <v>335.15</v>
      </c>
      <c r="L171" s="43">
        <v>332.55</v>
      </c>
      <c r="M171" s="43">
        <v>12735.699999999999</v>
      </c>
      <c r="N171" s="43">
        <v>12636.9</v>
      </c>
      <c r="O171" s="43">
        <v>98.79999999999927</v>
      </c>
      <c r="P171" s="44">
        <v>0.007757720423690828</v>
      </c>
    </row>
    <row r="172" ht="14.25" hidden="1" customHeight="1">
      <c r="C172" s="41" t="s">
        <v>191</v>
      </c>
      <c r="D172" s="41" t="s">
        <v>25</v>
      </c>
      <c r="E172" s="41" t="s">
        <v>34</v>
      </c>
      <c r="F172" s="41" t="s">
        <v>39</v>
      </c>
      <c r="G172" s="41" t="s">
        <v>27</v>
      </c>
      <c r="H172" s="41" t="s">
        <v>31</v>
      </c>
      <c r="I172" s="42">
        <v>45085.0</v>
      </c>
      <c r="J172" s="41">
        <v>404.0</v>
      </c>
      <c r="K172" s="43">
        <v>290.71</v>
      </c>
      <c r="L172" s="43">
        <v>29.35</v>
      </c>
      <c r="M172" s="43">
        <v>117446.84</v>
      </c>
      <c r="N172" s="43">
        <v>11857.400000000001</v>
      </c>
      <c r="O172" s="43">
        <v>105589.44</v>
      </c>
      <c r="P172" s="44">
        <v>0.8990402806920987</v>
      </c>
    </row>
    <row r="173" ht="14.25" customHeight="1">
      <c r="C173" s="41" t="s">
        <v>192</v>
      </c>
      <c r="D173" s="41" t="s">
        <v>20</v>
      </c>
      <c r="E173" s="41" t="s">
        <v>15</v>
      </c>
      <c r="F173" s="41" t="s">
        <v>22</v>
      </c>
      <c r="G173" s="41" t="s">
        <v>17</v>
      </c>
      <c r="H173" s="41" t="s">
        <v>23</v>
      </c>
      <c r="I173" s="42">
        <v>45086.0</v>
      </c>
      <c r="J173" s="41">
        <v>42.0</v>
      </c>
      <c r="K173" s="43">
        <v>177.54</v>
      </c>
      <c r="L173" s="43">
        <v>170.87</v>
      </c>
      <c r="M173" s="43">
        <v>7456.679999999999</v>
      </c>
      <c r="N173" s="43">
        <v>7176.54</v>
      </c>
      <c r="O173" s="43">
        <v>280.1399999999994</v>
      </c>
      <c r="P173" s="44">
        <v>0.037568998535541215</v>
      </c>
    </row>
    <row r="174" ht="14.25" customHeight="1">
      <c r="C174" s="41" t="s">
        <v>193</v>
      </c>
      <c r="D174" s="41" t="s">
        <v>14</v>
      </c>
      <c r="E174" s="41" t="s">
        <v>29</v>
      </c>
      <c r="F174" s="41" t="s">
        <v>30</v>
      </c>
      <c r="G174" s="41" t="s">
        <v>27</v>
      </c>
      <c r="H174" s="41" t="s">
        <v>23</v>
      </c>
      <c r="I174" s="42">
        <v>45087.0</v>
      </c>
      <c r="J174" s="41">
        <v>143.0</v>
      </c>
      <c r="K174" s="43">
        <v>83.85</v>
      </c>
      <c r="L174" s="43">
        <v>34.88</v>
      </c>
      <c r="M174" s="43">
        <v>11990.55</v>
      </c>
      <c r="N174" s="43">
        <v>4987.84</v>
      </c>
      <c r="O174" s="43">
        <v>7002.709999999999</v>
      </c>
      <c r="P174" s="44">
        <v>0.5840190816935003</v>
      </c>
    </row>
    <row r="175" ht="14.25" customHeight="1">
      <c r="C175" s="41" t="s">
        <v>194</v>
      </c>
      <c r="D175" s="41" t="s">
        <v>25</v>
      </c>
      <c r="E175" s="41" t="s">
        <v>29</v>
      </c>
      <c r="F175" s="41" t="s">
        <v>26</v>
      </c>
      <c r="G175" s="41" t="s">
        <v>17</v>
      </c>
      <c r="H175" s="41" t="s">
        <v>18</v>
      </c>
      <c r="I175" s="42">
        <v>45088.0</v>
      </c>
      <c r="J175" s="41">
        <v>376.0</v>
      </c>
      <c r="K175" s="43">
        <v>304.45</v>
      </c>
      <c r="L175" s="43">
        <v>206.83</v>
      </c>
      <c r="M175" s="43">
        <v>114473.2</v>
      </c>
      <c r="N175" s="43">
        <v>77768.08</v>
      </c>
      <c r="O175" s="43">
        <v>36705.119999999995</v>
      </c>
      <c r="P175" s="44">
        <v>0.32064378387255704</v>
      </c>
    </row>
    <row r="176" ht="14.25" customHeight="1">
      <c r="C176" s="41" t="s">
        <v>195</v>
      </c>
      <c r="D176" s="41" t="s">
        <v>20</v>
      </c>
      <c r="E176" s="41" t="s">
        <v>54</v>
      </c>
      <c r="F176" s="41" t="s">
        <v>46</v>
      </c>
      <c r="G176" s="41" t="s">
        <v>17</v>
      </c>
      <c r="H176" s="41" t="s">
        <v>18</v>
      </c>
      <c r="I176" s="42">
        <v>45089.0</v>
      </c>
      <c r="J176" s="41">
        <v>88.0</v>
      </c>
      <c r="K176" s="43">
        <v>162.47</v>
      </c>
      <c r="L176" s="43">
        <v>359.76</v>
      </c>
      <c r="M176" s="43">
        <v>14297.36</v>
      </c>
      <c r="N176" s="43">
        <v>31658.879999999997</v>
      </c>
      <c r="O176" s="43">
        <v>-17361.519999999997</v>
      </c>
      <c r="P176" s="44">
        <v>-1.2143164891980056</v>
      </c>
    </row>
    <row r="177" ht="14.25" customHeight="1">
      <c r="C177" s="41" t="s">
        <v>196</v>
      </c>
      <c r="D177" s="41" t="s">
        <v>20</v>
      </c>
      <c r="E177" s="41" t="s">
        <v>29</v>
      </c>
      <c r="F177" s="41" t="s">
        <v>16</v>
      </c>
      <c r="G177" s="41" t="s">
        <v>17</v>
      </c>
      <c r="H177" s="41" t="s">
        <v>23</v>
      </c>
      <c r="I177" s="42">
        <v>45090.0</v>
      </c>
      <c r="J177" s="41">
        <v>425.0</v>
      </c>
      <c r="K177" s="43">
        <v>433.89</v>
      </c>
      <c r="L177" s="43">
        <v>313.43</v>
      </c>
      <c r="M177" s="43">
        <v>184403.25</v>
      </c>
      <c r="N177" s="43">
        <v>133207.75</v>
      </c>
      <c r="O177" s="43">
        <v>51195.5</v>
      </c>
      <c r="P177" s="44">
        <v>0.27762797022286756</v>
      </c>
    </row>
    <row r="178" ht="14.25" customHeight="1">
      <c r="C178" s="41" t="s">
        <v>197</v>
      </c>
      <c r="D178" s="41" t="s">
        <v>52</v>
      </c>
      <c r="E178" s="41" t="s">
        <v>54</v>
      </c>
      <c r="F178" s="41" t="s">
        <v>16</v>
      </c>
      <c r="G178" s="41" t="s">
        <v>27</v>
      </c>
      <c r="H178" s="41" t="s">
        <v>18</v>
      </c>
      <c r="I178" s="42">
        <v>45091.0</v>
      </c>
      <c r="J178" s="41">
        <v>444.0</v>
      </c>
      <c r="K178" s="43">
        <v>496.7</v>
      </c>
      <c r="L178" s="43">
        <v>92.68</v>
      </c>
      <c r="M178" s="43">
        <v>220534.8</v>
      </c>
      <c r="N178" s="43">
        <v>41149.920000000006</v>
      </c>
      <c r="O178" s="43">
        <v>179384.87999999998</v>
      </c>
      <c r="P178" s="44">
        <v>0.8134084960740889</v>
      </c>
    </row>
    <row r="179" ht="14.25" customHeight="1">
      <c r="C179" s="41" t="s">
        <v>198</v>
      </c>
      <c r="D179" s="41" t="s">
        <v>25</v>
      </c>
      <c r="E179" s="41" t="s">
        <v>21</v>
      </c>
      <c r="F179" s="41" t="s">
        <v>22</v>
      </c>
      <c r="G179" s="41" t="s">
        <v>17</v>
      </c>
      <c r="H179" s="41" t="s">
        <v>31</v>
      </c>
      <c r="I179" s="42">
        <v>45092.0</v>
      </c>
      <c r="J179" s="41">
        <v>468.0</v>
      </c>
      <c r="K179" s="43">
        <v>377.45</v>
      </c>
      <c r="L179" s="43">
        <v>390.44</v>
      </c>
      <c r="M179" s="43">
        <v>176646.6</v>
      </c>
      <c r="N179" s="43">
        <v>182725.92</v>
      </c>
      <c r="O179" s="43">
        <v>-6079.320000000007</v>
      </c>
      <c r="P179" s="44">
        <v>-0.034415154325076205</v>
      </c>
    </row>
    <row r="180" ht="14.25" customHeight="1">
      <c r="C180" s="41" t="s">
        <v>199</v>
      </c>
      <c r="D180" s="41" t="s">
        <v>20</v>
      </c>
      <c r="E180" s="41" t="s">
        <v>15</v>
      </c>
      <c r="F180" s="41" t="s">
        <v>30</v>
      </c>
      <c r="G180" s="41" t="s">
        <v>17</v>
      </c>
      <c r="H180" s="41" t="s">
        <v>31</v>
      </c>
      <c r="I180" s="42">
        <v>45093.0</v>
      </c>
      <c r="J180" s="41">
        <v>67.0</v>
      </c>
      <c r="K180" s="43">
        <v>49.79</v>
      </c>
      <c r="L180" s="43">
        <v>267.61</v>
      </c>
      <c r="M180" s="43">
        <v>3335.93</v>
      </c>
      <c r="N180" s="43">
        <v>17929.870000000003</v>
      </c>
      <c r="O180" s="43">
        <v>-14593.940000000002</v>
      </c>
      <c r="P180" s="44">
        <v>-4.374774051014261</v>
      </c>
    </row>
    <row r="181" ht="14.25" customHeight="1">
      <c r="C181" s="41" t="s">
        <v>200</v>
      </c>
      <c r="D181" s="41" t="s">
        <v>14</v>
      </c>
      <c r="E181" s="41" t="s">
        <v>54</v>
      </c>
      <c r="F181" s="41" t="s">
        <v>46</v>
      </c>
      <c r="G181" s="41" t="s">
        <v>27</v>
      </c>
      <c r="H181" s="41" t="s">
        <v>18</v>
      </c>
      <c r="I181" s="42">
        <v>45094.0</v>
      </c>
      <c r="J181" s="41">
        <v>480.0</v>
      </c>
      <c r="K181" s="43">
        <v>147.9</v>
      </c>
      <c r="L181" s="43">
        <v>6.15</v>
      </c>
      <c r="M181" s="43">
        <v>70992.0</v>
      </c>
      <c r="N181" s="43">
        <v>2952.0</v>
      </c>
      <c r="O181" s="43">
        <v>68040.0</v>
      </c>
      <c r="P181" s="44">
        <v>0.9584178498985801</v>
      </c>
    </row>
    <row r="182" ht="14.25" customHeight="1">
      <c r="C182" s="41" t="s">
        <v>201</v>
      </c>
      <c r="D182" s="41" t="s">
        <v>14</v>
      </c>
      <c r="E182" s="41" t="s">
        <v>21</v>
      </c>
      <c r="F182" s="41" t="s">
        <v>30</v>
      </c>
      <c r="G182" s="41" t="s">
        <v>27</v>
      </c>
      <c r="H182" s="41" t="s">
        <v>31</v>
      </c>
      <c r="I182" s="42">
        <v>45095.0</v>
      </c>
      <c r="J182" s="41">
        <v>35.0</v>
      </c>
      <c r="K182" s="43">
        <v>59.01</v>
      </c>
      <c r="L182" s="43">
        <v>103.65</v>
      </c>
      <c r="M182" s="43">
        <v>2065.35</v>
      </c>
      <c r="N182" s="43">
        <v>3627.75</v>
      </c>
      <c r="O182" s="43">
        <v>-1562.4</v>
      </c>
      <c r="P182" s="44">
        <v>-0.7564819522114896</v>
      </c>
    </row>
    <row r="183" ht="14.25" customHeight="1">
      <c r="C183" s="41" t="s">
        <v>202</v>
      </c>
      <c r="D183" s="41" t="s">
        <v>52</v>
      </c>
      <c r="E183" s="41" t="s">
        <v>29</v>
      </c>
      <c r="F183" s="41" t="s">
        <v>46</v>
      </c>
      <c r="G183" s="41" t="s">
        <v>27</v>
      </c>
      <c r="H183" s="41" t="s">
        <v>18</v>
      </c>
      <c r="I183" s="42">
        <v>45096.0</v>
      </c>
      <c r="J183" s="41">
        <v>491.0</v>
      </c>
      <c r="K183" s="43">
        <v>327.0</v>
      </c>
      <c r="L183" s="43">
        <v>105.76</v>
      </c>
      <c r="M183" s="43">
        <v>160557.0</v>
      </c>
      <c r="N183" s="43">
        <v>51928.16</v>
      </c>
      <c r="O183" s="43">
        <v>108628.84</v>
      </c>
      <c r="P183" s="44">
        <v>0.6765749235474006</v>
      </c>
    </row>
    <row r="184" ht="14.25" customHeight="1">
      <c r="C184" s="41" t="s">
        <v>203</v>
      </c>
      <c r="D184" s="41" t="s">
        <v>20</v>
      </c>
      <c r="E184" s="41" t="s">
        <v>29</v>
      </c>
      <c r="F184" s="41" t="s">
        <v>22</v>
      </c>
      <c r="G184" s="41" t="s">
        <v>27</v>
      </c>
      <c r="H184" s="41" t="s">
        <v>23</v>
      </c>
      <c r="I184" s="42">
        <v>45097.0</v>
      </c>
      <c r="J184" s="41">
        <v>439.0</v>
      </c>
      <c r="K184" s="43">
        <v>383.77</v>
      </c>
      <c r="L184" s="43">
        <v>29.56</v>
      </c>
      <c r="M184" s="43">
        <v>168475.03</v>
      </c>
      <c r="N184" s="43">
        <v>12976.84</v>
      </c>
      <c r="O184" s="43">
        <v>155498.19</v>
      </c>
      <c r="P184" s="44">
        <v>0.9229746983870548</v>
      </c>
    </row>
    <row r="185" ht="14.25" customHeight="1">
      <c r="C185" s="41" t="s">
        <v>204</v>
      </c>
      <c r="D185" s="41" t="s">
        <v>25</v>
      </c>
      <c r="E185" s="41" t="s">
        <v>21</v>
      </c>
      <c r="F185" s="41" t="s">
        <v>22</v>
      </c>
      <c r="G185" s="41" t="s">
        <v>17</v>
      </c>
      <c r="H185" s="41" t="s">
        <v>23</v>
      </c>
      <c r="I185" s="42">
        <v>45098.0</v>
      </c>
      <c r="J185" s="41">
        <v>235.0</v>
      </c>
      <c r="K185" s="43">
        <v>463.21</v>
      </c>
      <c r="L185" s="43">
        <v>384.01</v>
      </c>
      <c r="M185" s="43">
        <v>108854.34999999999</v>
      </c>
      <c r="N185" s="43">
        <v>90242.34999999999</v>
      </c>
      <c r="O185" s="43">
        <v>18612.0</v>
      </c>
      <c r="P185" s="44">
        <v>0.17098076466397533</v>
      </c>
    </row>
    <row r="186" ht="14.25" customHeight="1">
      <c r="C186" s="41" t="s">
        <v>205</v>
      </c>
      <c r="D186" s="41" t="s">
        <v>14</v>
      </c>
      <c r="E186" s="41" t="s">
        <v>29</v>
      </c>
      <c r="F186" s="41" t="s">
        <v>16</v>
      </c>
      <c r="G186" s="41" t="s">
        <v>17</v>
      </c>
      <c r="H186" s="41" t="s">
        <v>31</v>
      </c>
      <c r="I186" s="42">
        <v>45099.0</v>
      </c>
      <c r="J186" s="41">
        <v>294.0</v>
      </c>
      <c r="K186" s="43">
        <v>221.9</v>
      </c>
      <c r="L186" s="43">
        <v>192.35</v>
      </c>
      <c r="M186" s="43">
        <v>65238.6</v>
      </c>
      <c r="N186" s="43">
        <v>56550.9</v>
      </c>
      <c r="O186" s="43">
        <v>8687.699999999997</v>
      </c>
      <c r="P186" s="44">
        <v>0.13316809373591704</v>
      </c>
    </row>
    <row r="187" ht="14.25" customHeight="1">
      <c r="C187" s="41" t="s">
        <v>206</v>
      </c>
      <c r="D187" s="41" t="s">
        <v>20</v>
      </c>
      <c r="E187" s="41" t="s">
        <v>21</v>
      </c>
      <c r="F187" s="41" t="s">
        <v>30</v>
      </c>
      <c r="G187" s="41" t="s">
        <v>17</v>
      </c>
      <c r="H187" s="41" t="s">
        <v>18</v>
      </c>
      <c r="I187" s="42">
        <v>45100.0</v>
      </c>
      <c r="J187" s="41">
        <v>13.0</v>
      </c>
      <c r="K187" s="43">
        <v>451.18</v>
      </c>
      <c r="L187" s="43">
        <v>358.53</v>
      </c>
      <c r="M187" s="43">
        <v>5865.34</v>
      </c>
      <c r="N187" s="43">
        <v>4660.889999999999</v>
      </c>
      <c r="O187" s="43">
        <v>1204.4500000000007</v>
      </c>
      <c r="P187" s="44">
        <v>0.20535041446872657</v>
      </c>
    </row>
    <row r="188" ht="14.25" customHeight="1">
      <c r="C188" s="41" t="s">
        <v>207</v>
      </c>
      <c r="D188" s="41" t="s">
        <v>20</v>
      </c>
      <c r="E188" s="41" t="s">
        <v>54</v>
      </c>
      <c r="F188" s="41" t="s">
        <v>16</v>
      </c>
      <c r="G188" s="41" t="s">
        <v>17</v>
      </c>
      <c r="H188" s="41" t="s">
        <v>18</v>
      </c>
      <c r="I188" s="42">
        <v>45101.0</v>
      </c>
      <c r="J188" s="41">
        <v>474.0</v>
      </c>
      <c r="K188" s="43">
        <v>439.56</v>
      </c>
      <c r="L188" s="43">
        <v>130.24</v>
      </c>
      <c r="M188" s="43">
        <v>208351.44</v>
      </c>
      <c r="N188" s="43">
        <v>61733.76</v>
      </c>
      <c r="O188" s="43">
        <v>146617.68</v>
      </c>
      <c r="P188" s="44">
        <v>0.7037037037037036</v>
      </c>
    </row>
    <row r="189" ht="14.25" customHeight="1">
      <c r="C189" s="41" t="s">
        <v>208</v>
      </c>
      <c r="D189" s="41" t="s">
        <v>52</v>
      </c>
      <c r="E189" s="41" t="s">
        <v>54</v>
      </c>
      <c r="F189" s="41" t="s">
        <v>30</v>
      </c>
      <c r="G189" s="41" t="s">
        <v>27</v>
      </c>
      <c r="H189" s="41" t="s">
        <v>31</v>
      </c>
      <c r="I189" s="42">
        <v>45102.0</v>
      </c>
      <c r="J189" s="41">
        <v>108.0</v>
      </c>
      <c r="K189" s="43">
        <v>162.01</v>
      </c>
      <c r="L189" s="43">
        <v>51.84</v>
      </c>
      <c r="M189" s="43">
        <v>17497.079999999998</v>
      </c>
      <c r="N189" s="43">
        <v>5598.72</v>
      </c>
      <c r="O189" s="43">
        <v>11898.359999999997</v>
      </c>
      <c r="P189" s="44">
        <v>0.6800197518671686</v>
      </c>
    </row>
    <row r="190" ht="14.25" customHeight="1">
      <c r="C190" s="41" t="s">
        <v>209</v>
      </c>
      <c r="D190" s="41" t="s">
        <v>14</v>
      </c>
      <c r="E190" s="41" t="s">
        <v>21</v>
      </c>
      <c r="F190" s="41" t="s">
        <v>16</v>
      </c>
      <c r="G190" s="41" t="s">
        <v>17</v>
      </c>
      <c r="H190" s="41" t="s">
        <v>23</v>
      </c>
      <c r="I190" s="42">
        <v>45103.0</v>
      </c>
      <c r="J190" s="41">
        <v>406.0</v>
      </c>
      <c r="K190" s="43">
        <v>435.11</v>
      </c>
      <c r="L190" s="43">
        <v>190.79</v>
      </c>
      <c r="M190" s="43">
        <v>176654.66</v>
      </c>
      <c r="N190" s="43">
        <v>77460.73999999999</v>
      </c>
      <c r="O190" s="43">
        <v>99193.92000000001</v>
      </c>
      <c r="P190" s="44">
        <v>0.5615131805750271</v>
      </c>
    </row>
    <row r="191" ht="14.25" customHeight="1">
      <c r="C191" s="41" t="s">
        <v>210</v>
      </c>
      <c r="D191" s="41" t="s">
        <v>14</v>
      </c>
      <c r="E191" s="41" t="s">
        <v>54</v>
      </c>
      <c r="F191" s="41" t="s">
        <v>26</v>
      </c>
      <c r="G191" s="41" t="s">
        <v>17</v>
      </c>
      <c r="H191" s="41" t="s">
        <v>31</v>
      </c>
      <c r="I191" s="42">
        <v>45104.0</v>
      </c>
      <c r="J191" s="41">
        <v>498.0</v>
      </c>
      <c r="K191" s="43">
        <v>190.96</v>
      </c>
      <c r="L191" s="43">
        <v>47.35</v>
      </c>
      <c r="M191" s="43">
        <v>95098.08</v>
      </c>
      <c r="N191" s="43">
        <v>23580.3</v>
      </c>
      <c r="O191" s="43">
        <v>71517.78</v>
      </c>
      <c r="P191" s="44">
        <v>0.7520423125261835</v>
      </c>
    </row>
    <row r="192" ht="14.25" customHeight="1">
      <c r="C192" s="41" t="s">
        <v>211</v>
      </c>
      <c r="D192" s="41" t="s">
        <v>25</v>
      </c>
      <c r="E192" s="41" t="s">
        <v>54</v>
      </c>
      <c r="F192" s="41" t="s">
        <v>26</v>
      </c>
      <c r="G192" s="41" t="s">
        <v>27</v>
      </c>
      <c r="H192" s="41" t="s">
        <v>23</v>
      </c>
      <c r="I192" s="42">
        <v>45105.0</v>
      </c>
      <c r="J192" s="41">
        <v>48.0</v>
      </c>
      <c r="K192" s="43">
        <v>151.95</v>
      </c>
      <c r="L192" s="43">
        <v>195.43</v>
      </c>
      <c r="M192" s="43">
        <v>7293.599999999999</v>
      </c>
      <c r="N192" s="43">
        <v>9380.64</v>
      </c>
      <c r="O192" s="43">
        <v>-2087.04</v>
      </c>
      <c r="P192" s="44">
        <v>-0.2861467588022376</v>
      </c>
    </row>
    <row r="193" ht="14.25" customHeight="1">
      <c r="C193" s="41" t="s">
        <v>212</v>
      </c>
      <c r="D193" s="41" t="s">
        <v>14</v>
      </c>
      <c r="E193" s="41" t="s">
        <v>54</v>
      </c>
      <c r="F193" s="41" t="s">
        <v>26</v>
      </c>
      <c r="G193" s="41" t="s">
        <v>17</v>
      </c>
      <c r="H193" s="41" t="s">
        <v>18</v>
      </c>
      <c r="I193" s="42">
        <v>45106.0</v>
      </c>
      <c r="J193" s="41">
        <v>280.0</v>
      </c>
      <c r="K193" s="43">
        <v>326.29</v>
      </c>
      <c r="L193" s="43">
        <v>368.28</v>
      </c>
      <c r="M193" s="43">
        <v>91361.20000000001</v>
      </c>
      <c r="N193" s="43">
        <v>103118.4</v>
      </c>
      <c r="O193" s="43">
        <v>-11757.199999999983</v>
      </c>
      <c r="P193" s="44">
        <v>-0.12868920285635457</v>
      </c>
    </row>
    <row r="194" ht="14.25" customHeight="1">
      <c r="C194" s="41" t="s">
        <v>213</v>
      </c>
      <c r="D194" s="41" t="s">
        <v>25</v>
      </c>
      <c r="E194" s="41" t="s">
        <v>34</v>
      </c>
      <c r="F194" s="41" t="s">
        <v>26</v>
      </c>
      <c r="G194" s="41" t="s">
        <v>17</v>
      </c>
      <c r="H194" s="41" t="s">
        <v>23</v>
      </c>
      <c r="I194" s="42">
        <v>45107.0</v>
      </c>
      <c r="J194" s="41">
        <v>384.0</v>
      </c>
      <c r="K194" s="43">
        <v>167.55</v>
      </c>
      <c r="L194" s="43">
        <v>209.27</v>
      </c>
      <c r="M194" s="43">
        <v>64339.200000000004</v>
      </c>
      <c r="N194" s="43">
        <v>80359.68000000001</v>
      </c>
      <c r="O194" s="43">
        <v>-16020.480000000003</v>
      </c>
      <c r="P194" s="44">
        <v>-0.24900029841838262</v>
      </c>
    </row>
    <row r="195" ht="14.25" customHeight="1">
      <c r="C195" s="41" t="s">
        <v>214</v>
      </c>
      <c r="D195" s="41" t="s">
        <v>14</v>
      </c>
      <c r="E195" s="41" t="s">
        <v>15</v>
      </c>
      <c r="F195" s="41" t="s">
        <v>46</v>
      </c>
      <c r="G195" s="41" t="s">
        <v>17</v>
      </c>
      <c r="H195" s="41" t="s">
        <v>31</v>
      </c>
      <c r="I195" s="42">
        <v>45108.0</v>
      </c>
      <c r="J195" s="41">
        <v>294.0</v>
      </c>
      <c r="K195" s="43">
        <v>316.95</v>
      </c>
      <c r="L195" s="43">
        <v>247.37</v>
      </c>
      <c r="M195" s="43">
        <v>93183.3</v>
      </c>
      <c r="N195" s="43">
        <v>72726.78</v>
      </c>
      <c r="O195" s="43">
        <v>20456.520000000004</v>
      </c>
      <c r="P195" s="44">
        <v>0.21952989430509548</v>
      </c>
    </row>
    <row r="196" ht="14.25" customHeight="1">
      <c r="C196" s="41" t="s">
        <v>215</v>
      </c>
      <c r="D196" s="41" t="s">
        <v>52</v>
      </c>
      <c r="E196" s="41" t="s">
        <v>29</v>
      </c>
      <c r="F196" s="41" t="s">
        <v>26</v>
      </c>
      <c r="G196" s="41" t="s">
        <v>17</v>
      </c>
      <c r="H196" s="41" t="s">
        <v>18</v>
      </c>
      <c r="I196" s="42">
        <v>45109.0</v>
      </c>
      <c r="J196" s="41">
        <v>166.0</v>
      </c>
      <c r="K196" s="43">
        <v>306.87</v>
      </c>
      <c r="L196" s="43">
        <v>64.34</v>
      </c>
      <c r="M196" s="43">
        <v>50940.42</v>
      </c>
      <c r="N196" s="43">
        <v>10680.44</v>
      </c>
      <c r="O196" s="43">
        <v>40259.979999999996</v>
      </c>
      <c r="P196" s="44">
        <v>0.7903346694039821</v>
      </c>
    </row>
    <row r="197" ht="14.25" customHeight="1">
      <c r="C197" s="41" t="s">
        <v>216</v>
      </c>
      <c r="D197" s="41" t="s">
        <v>14</v>
      </c>
      <c r="E197" s="41" t="s">
        <v>34</v>
      </c>
      <c r="F197" s="41" t="s">
        <v>22</v>
      </c>
      <c r="G197" s="41" t="s">
        <v>17</v>
      </c>
      <c r="H197" s="41" t="s">
        <v>31</v>
      </c>
      <c r="I197" s="42">
        <v>45110.0</v>
      </c>
      <c r="J197" s="41">
        <v>84.0</v>
      </c>
      <c r="K197" s="43">
        <v>283.9</v>
      </c>
      <c r="L197" s="43">
        <v>19.41</v>
      </c>
      <c r="M197" s="43">
        <v>23847.6</v>
      </c>
      <c r="N197" s="43">
        <v>1630.44</v>
      </c>
      <c r="O197" s="43">
        <v>22217.16</v>
      </c>
      <c r="P197" s="44">
        <v>0.9316308559351885</v>
      </c>
    </row>
    <row r="198" ht="14.25" customHeight="1">
      <c r="C198" s="41" t="s">
        <v>217</v>
      </c>
      <c r="D198" s="41" t="s">
        <v>25</v>
      </c>
      <c r="E198" s="41" t="s">
        <v>54</v>
      </c>
      <c r="F198" s="41" t="s">
        <v>22</v>
      </c>
      <c r="G198" s="41" t="s">
        <v>17</v>
      </c>
      <c r="H198" s="41" t="s">
        <v>31</v>
      </c>
      <c r="I198" s="42">
        <v>45111.0</v>
      </c>
      <c r="J198" s="41">
        <v>381.0</v>
      </c>
      <c r="K198" s="43">
        <v>193.31</v>
      </c>
      <c r="L198" s="43">
        <v>46.1</v>
      </c>
      <c r="M198" s="43">
        <v>73651.11</v>
      </c>
      <c r="N198" s="43">
        <v>17564.100000000002</v>
      </c>
      <c r="O198" s="43">
        <v>56087.009999999995</v>
      </c>
      <c r="P198" s="44">
        <v>0.7615229424240856</v>
      </c>
    </row>
    <row r="199" ht="14.25" customHeight="1">
      <c r="C199" s="41" t="s">
        <v>218</v>
      </c>
      <c r="D199" s="41" t="s">
        <v>25</v>
      </c>
      <c r="E199" s="41" t="s">
        <v>21</v>
      </c>
      <c r="F199" s="41" t="s">
        <v>46</v>
      </c>
      <c r="G199" s="41" t="s">
        <v>27</v>
      </c>
      <c r="H199" s="41" t="s">
        <v>23</v>
      </c>
      <c r="I199" s="42">
        <v>45112.0</v>
      </c>
      <c r="J199" s="41">
        <v>297.0</v>
      </c>
      <c r="K199" s="43">
        <v>276.51</v>
      </c>
      <c r="L199" s="43">
        <v>240.22</v>
      </c>
      <c r="M199" s="43">
        <v>82123.47</v>
      </c>
      <c r="N199" s="43">
        <v>71345.34</v>
      </c>
      <c r="O199" s="43">
        <v>10778.130000000005</v>
      </c>
      <c r="P199" s="44">
        <v>0.131242993020144</v>
      </c>
    </row>
    <row r="200" ht="14.25" customHeight="1">
      <c r="C200" s="41" t="s">
        <v>219</v>
      </c>
      <c r="D200" s="41" t="s">
        <v>52</v>
      </c>
      <c r="E200" s="41" t="s">
        <v>54</v>
      </c>
      <c r="F200" s="41" t="s">
        <v>26</v>
      </c>
      <c r="G200" s="41" t="s">
        <v>27</v>
      </c>
      <c r="H200" s="41" t="s">
        <v>31</v>
      </c>
      <c r="I200" s="42">
        <v>45113.0</v>
      </c>
      <c r="J200" s="41">
        <v>139.0</v>
      </c>
      <c r="K200" s="43">
        <v>300.26</v>
      </c>
      <c r="L200" s="43">
        <v>39.81</v>
      </c>
      <c r="M200" s="43">
        <v>41736.14</v>
      </c>
      <c r="N200" s="43">
        <v>5533.59</v>
      </c>
      <c r="O200" s="43">
        <v>36202.55</v>
      </c>
      <c r="P200" s="44">
        <v>0.8674149070805303</v>
      </c>
    </row>
    <row r="201" ht="14.25" customHeight="1">
      <c r="C201" s="41" t="s">
        <v>220</v>
      </c>
      <c r="D201" s="41" t="s">
        <v>14</v>
      </c>
      <c r="E201" s="41" t="s">
        <v>15</v>
      </c>
      <c r="F201" s="41" t="s">
        <v>26</v>
      </c>
      <c r="G201" s="41" t="s">
        <v>17</v>
      </c>
      <c r="H201" s="41" t="s">
        <v>23</v>
      </c>
      <c r="I201" s="42">
        <v>45114.0</v>
      </c>
      <c r="J201" s="41">
        <v>184.0</v>
      </c>
      <c r="K201" s="43">
        <v>275.12</v>
      </c>
      <c r="L201" s="43">
        <v>151.65</v>
      </c>
      <c r="M201" s="43">
        <v>50622.08</v>
      </c>
      <c r="N201" s="43">
        <v>27903.600000000002</v>
      </c>
      <c r="O201" s="43">
        <v>22718.48</v>
      </c>
      <c r="P201" s="44">
        <v>0.44878598429776095</v>
      </c>
    </row>
    <row r="202" ht="14.25" customHeight="1">
      <c r="C202" s="41" t="s">
        <v>221</v>
      </c>
      <c r="D202" s="41" t="s">
        <v>14</v>
      </c>
      <c r="E202" s="41" t="s">
        <v>54</v>
      </c>
      <c r="F202" s="41" t="s">
        <v>26</v>
      </c>
      <c r="G202" s="41" t="s">
        <v>17</v>
      </c>
      <c r="H202" s="41" t="s">
        <v>18</v>
      </c>
      <c r="I202" s="42">
        <v>45115.0</v>
      </c>
      <c r="J202" s="41">
        <v>471.0</v>
      </c>
      <c r="K202" s="43">
        <v>224.99</v>
      </c>
      <c r="L202" s="43">
        <v>220.94</v>
      </c>
      <c r="M202" s="43">
        <v>105970.29000000001</v>
      </c>
      <c r="N202" s="43">
        <v>104062.74</v>
      </c>
      <c r="O202" s="43">
        <v>1907.550000000003</v>
      </c>
      <c r="P202" s="44">
        <v>0.018000800035557162</v>
      </c>
    </row>
    <row r="203" ht="14.25" customHeight="1">
      <c r="C203" s="41" t="s">
        <v>222</v>
      </c>
      <c r="D203" s="41" t="s">
        <v>52</v>
      </c>
      <c r="E203" s="41" t="s">
        <v>21</v>
      </c>
      <c r="F203" s="41" t="s">
        <v>16</v>
      </c>
      <c r="G203" s="41" t="s">
        <v>27</v>
      </c>
      <c r="H203" s="41" t="s">
        <v>23</v>
      </c>
      <c r="I203" s="42">
        <v>45116.0</v>
      </c>
      <c r="J203" s="41">
        <v>93.0</v>
      </c>
      <c r="K203" s="43">
        <v>12.26</v>
      </c>
      <c r="L203" s="43">
        <v>156.68</v>
      </c>
      <c r="M203" s="43">
        <v>1140.18</v>
      </c>
      <c r="N203" s="43">
        <v>14571.24</v>
      </c>
      <c r="O203" s="43">
        <v>-13431.06</v>
      </c>
      <c r="P203" s="44">
        <v>-11.779771615008155</v>
      </c>
    </row>
    <row r="204" ht="14.25" customHeight="1">
      <c r="C204" s="41" t="s">
        <v>223</v>
      </c>
      <c r="D204" s="41" t="s">
        <v>14</v>
      </c>
      <c r="E204" s="41" t="s">
        <v>15</v>
      </c>
      <c r="F204" s="41" t="s">
        <v>30</v>
      </c>
      <c r="G204" s="41" t="s">
        <v>17</v>
      </c>
      <c r="H204" s="41" t="s">
        <v>18</v>
      </c>
      <c r="I204" s="42">
        <v>45117.0</v>
      </c>
      <c r="J204" s="41">
        <v>31.0</v>
      </c>
      <c r="K204" s="43">
        <v>295.6</v>
      </c>
      <c r="L204" s="43">
        <v>67.15</v>
      </c>
      <c r="M204" s="43">
        <v>9163.6</v>
      </c>
      <c r="N204" s="43">
        <v>2081.65</v>
      </c>
      <c r="O204" s="43">
        <v>7081.950000000001</v>
      </c>
      <c r="P204" s="44">
        <v>0.7728349120433018</v>
      </c>
    </row>
    <row r="205" ht="14.25" customHeight="1">
      <c r="C205" s="41" t="s">
        <v>224</v>
      </c>
      <c r="D205" s="41" t="s">
        <v>14</v>
      </c>
      <c r="E205" s="41" t="s">
        <v>54</v>
      </c>
      <c r="F205" s="41" t="s">
        <v>16</v>
      </c>
      <c r="G205" s="41" t="s">
        <v>17</v>
      </c>
      <c r="H205" s="41" t="s">
        <v>23</v>
      </c>
      <c r="I205" s="42">
        <v>45118.0</v>
      </c>
      <c r="J205" s="41">
        <v>468.0</v>
      </c>
      <c r="K205" s="43">
        <v>88.38</v>
      </c>
      <c r="L205" s="43">
        <v>110.97</v>
      </c>
      <c r="M205" s="43">
        <v>41361.84</v>
      </c>
      <c r="N205" s="43">
        <v>51933.96</v>
      </c>
      <c r="O205" s="43">
        <v>-10572.120000000003</v>
      </c>
      <c r="P205" s="44">
        <v>-0.2556008146639512</v>
      </c>
    </row>
    <row r="206" ht="14.25" customHeight="1">
      <c r="C206" s="41" t="s">
        <v>225</v>
      </c>
      <c r="D206" s="41" t="s">
        <v>25</v>
      </c>
      <c r="E206" s="41" t="s">
        <v>15</v>
      </c>
      <c r="F206" s="41" t="s">
        <v>30</v>
      </c>
      <c r="G206" s="41" t="s">
        <v>17</v>
      </c>
      <c r="H206" s="41" t="s">
        <v>31</v>
      </c>
      <c r="I206" s="42">
        <v>45119.0</v>
      </c>
      <c r="J206" s="41">
        <v>36.0</v>
      </c>
      <c r="K206" s="43">
        <v>323.08</v>
      </c>
      <c r="L206" s="43">
        <v>371.47</v>
      </c>
      <c r="M206" s="43">
        <v>11630.88</v>
      </c>
      <c r="N206" s="43">
        <v>13372.920000000002</v>
      </c>
      <c r="O206" s="43">
        <v>-1742.0400000000027</v>
      </c>
      <c r="P206" s="44">
        <v>-0.14977714497957187</v>
      </c>
    </row>
    <row r="207" ht="14.25" customHeight="1">
      <c r="C207" s="41" t="s">
        <v>226</v>
      </c>
      <c r="D207" s="41" t="s">
        <v>14</v>
      </c>
      <c r="E207" s="41" t="s">
        <v>29</v>
      </c>
      <c r="F207" s="41" t="s">
        <v>26</v>
      </c>
      <c r="G207" s="41" t="s">
        <v>27</v>
      </c>
      <c r="H207" s="41" t="s">
        <v>23</v>
      </c>
      <c r="I207" s="42">
        <v>45120.0</v>
      </c>
      <c r="J207" s="41">
        <v>204.0</v>
      </c>
      <c r="K207" s="43">
        <v>380.88</v>
      </c>
      <c r="L207" s="43">
        <v>271.04</v>
      </c>
      <c r="M207" s="43">
        <v>77699.52</v>
      </c>
      <c r="N207" s="43">
        <v>55292.16</v>
      </c>
      <c r="O207" s="43">
        <v>22407.36</v>
      </c>
      <c r="P207" s="44">
        <v>0.28838479311069104</v>
      </c>
    </row>
    <row r="208" ht="14.25" customHeight="1">
      <c r="C208" s="41" t="s">
        <v>227</v>
      </c>
      <c r="D208" s="41" t="s">
        <v>14</v>
      </c>
      <c r="E208" s="41" t="s">
        <v>29</v>
      </c>
      <c r="F208" s="41" t="s">
        <v>26</v>
      </c>
      <c r="G208" s="41" t="s">
        <v>17</v>
      </c>
      <c r="H208" s="41" t="s">
        <v>23</v>
      </c>
      <c r="I208" s="42">
        <v>45121.0</v>
      </c>
      <c r="J208" s="41">
        <v>346.0</v>
      </c>
      <c r="K208" s="43">
        <v>252.72</v>
      </c>
      <c r="L208" s="43">
        <v>199.43</v>
      </c>
      <c r="M208" s="43">
        <v>87441.12</v>
      </c>
      <c r="N208" s="43">
        <v>69002.78</v>
      </c>
      <c r="O208" s="43">
        <v>18438.339999999997</v>
      </c>
      <c r="P208" s="44">
        <v>0.21086578031022474</v>
      </c>
    </row>
    <row r="209" ht="14.25" customHeight="1">
      <c r="C209" s="41" t="s">
        <v>228</v>
      </c>
      <c r="D209" s="41" t="s">
        <v>52</v>
      </c>
      <c r="E209" s="41" t="s">
        <v>54</v>
      </c>
      <c r="F209" s="41" t="s">
        <v>16</v>
      </c>
      <c r="G209" s="41" t="s">
        <v>27</v>
      </c>
      <c r="H209" s="41" t="s">
        <v>18</v>
      </c>
      <c r="I209" s="42">
        <v>45122.0</v>
      </c>
      <c r="J209" s="41">
        <v>391.0</v>
      </c>
      <c r="K209" s="43">
        <v>273.47</v>
      </c>
      <c r="L209" s="43">
        <v>7.06</v>
      </c>
      <c r="M209" s="43">
        <v>106926.77</v>
      </c>
      <c r="N209" s="43">
        <v>2760.46</v>
      </c>
      <c r="O209" s="43">
        <v>104166.31</v>
      </c>
      <c r="P209" s="44">
        <v>0.9741836398873733</v>
      </c>
    </row>
    <row r="210" ht="14.25" customHeight="1">
      <c r="C210" s="41" t="s">
        <v>229</v>
      </c>
      <c r="D210" s="41" t="s">
        <v>52</v>
      </c>
      <c r="E210" s="41" t="s">
        <v>15</v>
      </c>
      <c r="F210" s="41" t="s">
        <v>16</v>
      </c>
      <c r="G210" s="41" t="s">
        <v>17</v>
      </c>
      <c r="H210" s="41" t="s">
        <v>31</v>
      </c>
      <c r="I210" s="42">
        <v>45123.0</v>
      </c>
      <c r="J210" s="41">
        <v>245.0</v>
      </c>
      <c r="K210" s="43">
        <v>475.98</v>
      </c>
      <c r="L210" s="43">
        <v>396.98</v>
      </c>
      <c r="M210" s="43">
        <v>116615.1</v>
      </c>
      <c r="N210" s="43">
        <v>97260.1</v>
      </c>
      <c r="O210" s="43">
        <v>19355.0</v>
      </c>
      <c r="P210" s="44">
        <v>0.16597336022521955</v>
      </c>
    </row>
    <row r="211" ht="14.25" customHeight="1">
      <c r="C211" s="41" t="s">
        <v>230</v>
      </c>
      <c r="D211" s="41" t="s">
        <v>20</v>
      </c>
      <c r="E211" s="41" t="s">
        <v>21</v>
      </c>
      <c r="F211" s="41" t="s">
        <v>30</v>
      </c>
      <c r="G211" s="41" t="s">
        <v>27</v>
      </c>
      <c r="H211" s="41" t="s">
        <v>23</v>
      </c>
      <c r="I211" s="42">
        <v>45124.0</v>
      </c>
      <c r="J211" s="41">
        <v>449.0</v>
      </c>
      <c r="K211" s="43">
        <v>424.35</v>
      </c>
      <c r="L211" s="43">
        <v>269.24</v>
      </c>
      <c r="M211" s="43">
        <v>190533.15000000002</v>
      </c>
      <c r="N211" s="43">
        <v>120888.76000000001</v>
      </c>
      <c r="O211" s="43">
        <v>69644.39000000001</v>
      </c>
      <c r="P211" s="44">
        <v>0.36552374219394373</v>
      </c>
    </row>
    <row r="212" ht="14.25" customHeight="1">
      <c r="C212" s="41" t="s">
        <v>231</v>
      </c>
      <c r="D212" s="41" t="s">
        <v>25</v>
      </c>
      <c r="E212" s="41" t="s">
        <v>54</v>
      </c>
      <c r="F212" s="41" t="s">
        <v>22</v>
      </c>
      <c r="G212" s="41" t="s">
        <v>27</v>
      </c>
      <c r="H212" s="41" t="s">
        <v>31</v>
      </c>
      <c r="I212" s="42">
        <v>45125.0</v>
      </c>
      <c r="J212" s="41">
        <v>101.0</v>
      </c>
      <c r="K212" s="43">
        <v>457.55</v>
      </c>
      <c r="L212" s="43">
        <v>128.14</v>
      </c>
      <c r="M212" s="43">
        <v>46212.55</v>
      </c>
      <c r="N212" s="43">
        <v>12942.14</v>
      </c>
      <c r="O212" s="43">
        <v>33270.41</v>
      </c>
      <c r="P212" s="44">
        <v>0.719943175609223</v>
      </c>
    </row>
    <row r="213" ht="14.25" hidden="1" customHeight="1">
      <c r="C213" s="41" t="s">
        <v>232</v>
      </c>
      <c r="D213" s="41" t="s">
        <v>14</v>
      </c>
      <c r="E213" s="41" t="s">
        <v>29</v>
      </c>
      <c r="F213" s="41" t="s">
        <v>30</v>
      </c>
      <c r="G213" s="41" t="s">
        <v>17</v>
      </c>
      <c r="H213" s="41" t="s">
        <v>23</v>
      </c>
      <c r="I213" s="42">
        <v>45126.0</v>
      </c>
      <c r="J213" s="41">
        <v>255.9029411764706</v>
      </c>
      <c r="K213" s="43">
        <v>407.81</v>
      </c>
      <c r="L213" s="43">
        <v>351.95</v>
      </c>
      <c r="M213" s="43">
        <v>104359.77844117647</v>
      </c>
      <c r="N213" s="43">
        <v>90065.04014705883</v>
      </c>
      <c r="O213" s="43">
        <v>14294.738294117647</v>
      </c>
      <c r="P213" s="44">
        <v>0.13697555234055075</v>
      </c>
    </row>
    <row r="214" ht="14.25" customHeight="1">
      <c r="C214" s="41" t="s">
        <v>233</v>
      </c>
      <c r="D214" s="41" t="s">
        <v>14</v>
      </c>
      <c r="E214" s="41" t="s">
        <v>29</v>
      </c>
      <c r="F214" s="41" t="s">
        <v>16</v>
      </c>
      <c r="G214" s="41" t="s">
        <v>27</v>
      </c>
      <c r="H214" s="41" t="s">
        <v>23</v>
      </c>
      <c r="I214" s="42">
        <v>45127.0</v>
      </c>
      <c r="J214" s="41">
        <v>30.0</v>
      </c>
      <c r="K214" s="43">
        <v>58.91</v>
      </c>
      <c r="L214" s="43">
        <v>104.86</v>
      </c>
      <c r="M214" s="43">
        <v>1767.3</v>
      </c>
      <c r="N214" s="43">
        <v>3145.8</v>
      </c>
      <c r="O214" s="43">
        <v>-1378.5000000000002</v>
      </c>
      <c r="P214" s="44">
        <v>-0.7800033950093365</v>
      </c>
    </row>
    <row r="215" ht="14.25" customHeight="1">
      <c r="C215" s="41" t="s">
        <v>234</v>
      </c>
      <c r="D215" s="41" t="s">
        <v>20</v>
      </c>
      <c r="E215" s="41" t="s">
        <v>54</v>
      </c>
      <c r="F215" s="41" t="s">
        <v>16</v>
      </c>
      <c r="G215" s="41" t="s">
        <v>17</v>
      </c>
      <c r="H215" s="41" t="s">
        <v>31</v>
      </c>
      <c r="I215" s="42">
        <v>45128.0</v>
      </c>
      <c r="J215" s="41">
        <v>312.0</v>
      </c>
      <c r="K215" s="43">
        <v>78.75</v>
      </c>
      <c r="L215" s="43">
        <v>218.52</v>
      </c>
      <c r="M215" s="43">
        <v>24570.0</v>
      </c>
      <c r="N215" s="43">
        <v>68178.24</v>
      </c>
      <c r="O215" s="43">
        <v>-43608.240000000005</v>
      </c>
      <c r="P215" s="44">
        <v>-1.7748571428571431</v>
      </c>
    </row>
    <row r="216" ht="14.25" customHeight="1">
      <c r="C216" s="41" t="s">
        <v>235</v>
      </c>
      <c r="D216" s="41" t="s">
        <v>14</v>
      </c>
      <c r="E216" s="41" t="s">
        <v>15</v>
      </c>
      <c r="F216" s="41" t="s">
        <v>46</v>
      </c>
      <c r="G216" s="41" t="s">
        <v>27</v>
      </c>
      <c r="H216" s="41" t="s">
        <v>23</v>
      </c>
      <c r="I216" s="42">
        <v>45129.0</v>
      </c>
      <c r="J216" s="41">
        <v>473.0</v>
      </c>
      <c r="K216" s="43">
        <v>265.68</v>
      </c>
      <c r="L216" s="43">
        <v>255.16</v>
      </c>
      <c r="M216" s="43">
        <v>125666.64</v>
      </c>
      <c r="N216" s="43">
        <v>120690.68</v>
      </c>
      <c r="O216" s="43">
        <v>4975.960000000006</v>
      </c>
      <c r="P216" s="44">
        <v>0.039596507076181925</v>
      </c>
    </row>
    <row r="217" ht="14.25" customHeight="1">
      <c r="C217" s="41" t="s">
        <v>236</v>
      </c>
      <c r="D217" s="41" t="s">
        <v>25</v>
      </c>
      <c r="E217" s="41" t="s">
        <v>29</v>
      </c>
      <c r="F217" s="41" t="s">
        <v>16</v>
      </c>
      <c r="G217" s="41" t="s">
        <v>17</v>
      </c>
      <c r="H217" s="41" t="s">
        <v>31</v>
      </c>
      <c r="I217" s="42">
        <v>45130.0</v>
      </c>
      <c r="J217" s="41">
        <v>366.0</v>
      </c>
      <c r="K217" s="43">
        <v>126.8</v>
      </c>
      <c r="L217" s="43">
        <v>89.98</v>
      </c>
      <c r="M217" s="43">
        <v>46408.799999999996</v>
      </c>
      <c r="N217" s="43">
        <v>32932.68</v>
      </c>
      <c r="O217" s="43">
        <v>13476.119999999995</v>
      </c>
      <c r="P217" s="44">
        <v>0.290378548895899</v>
      </c>
    </row>
    <row r="218" ht="14.25" customHeight="1">
      <c r="C218" s="41" t="s">
        <v>237</v>
      </c>
      <c r="D218" s="41" t="s">
        <v>20</v>
      </c>
      <c r="E218" s="41" t="s">
        <v>15</v>
      </c>
      <c r="F218" s="41" t="s">
        <v>46</v>
      </c>
      <c r="G218" s="41" t="s">
        <v>17</v>
      </c>
      <c r="H218" s="41" t="s">
        <v>23</v>
      </c>
      <c r="I218" s="42">
        <v>45131.0</v>
      </c>
      <c r="J218" s="41">
        <v>452.0</v>
      </c>
      <c r="K218" s="43">
        <v>240.96</v>
      </c>
      <c r="L218" s="43">
        <v>391.4</v>
      </c>
      <c r="M218" s="43">
        <v>108913.92</v>
      </c>
      <c r="N218" s="43">
        <v>176912.8</v>
      </c>
      <c r="O218" s="43">
        <v>-67998.87999999999</v>
      </c>
      <c r="P218" s="44">
        <v>-0.6243359893758299</v>
      </c>
    </row>
    <row r="219" ht="14.25" customHeight="1">
      <c r="C219" s="41" t="s">
        <v>238</v>
      </c>
      <c r="D219" s="41" t="s">
        <v>25</v>
      </c>
      <c r="E219" s="41" t="s">
        <v>29</v>
      </c>
      <c r="F219" s="41" t="s">
        <v>22</v>
      </c>
      <c r="G219" s="41" t="s">
        <v>27</v>
      </c>
      <c r="H219" s="41" t="s">
        <v>18</v>
      </c>
      <c r="I219" s="42">
        <v>45132.0</v>
      </c>
      <c r="J219" s="41">
        <v>93.0</v>
      </c>
      <c r="K219" s="43">
        <v>200.21</v>
      </c>
      <c r="L219" s="43">
        <v>299.78</v>
      </c>
      <c r="M219" s="43">
        <v>18619.530000000002</v>
      </c>
      <c r="N219" s="43">
        <v>27879.539999999997</v>
      </c>
      <c r="O219" s="43">
        <v>-9260.009999999995</v>
      </c>
      <c r="P219" s="44">
        <v>-0.49732780580390556</v>
      </c>
    </row>
    <row r="220" ht="14.25" customHeight="1">
      <c r="C220" s="41" t="s">
        <v>239</v>
      </c>
      <c r="D220" s="41" t="s">
        <v>20</v>
      </c>
      <c r="E220" s="41" t="s">
        <v>29</v>
      </c>
      <c r="F220" s="41" t="s">
        <v>30</v>
      </c>
      <c r="G220" s="41" t="s">
        <v>17</v>
      </c>
      <c r="H220" s="41" t="s">
        <v>31</v>
      </c>
      <c r="I220" s="42">
        <v>45133.0</v>
      </c>
      <c r="J220" s="41">
        <v>271.0</v>
      </c>
      <c r="K220" s="43">
        <v>276.96</v>
      </c>
      <c r="L220" s="43">
        <v>224.01</v>
      </c>
      <c r="M220" s="43">
        <v>75056.15999999999</v>
      </c>
      <c r="N220" s="43">
        <v>60706.71</v>
      </c>
      <c r="O220" s="43">
        <v>14349.44999999999</v>
      </c>
      <c r="P220" s="44">
        <v>0.19118284228769486</v>
      </c>
    </row>
    <row r="221" ht="14.25" customHeight="1">
      <c r="C221" s="41" t="s">
        <v>240</v>
      </c>
      <c r="D221" s="41" t="s">
        <v>20</v>
      </c>
      <c r="E221" s="41" t="s">
        <v>34</v>
      </c>
      <c r="F221" s="41" t="s">
        <v>30</v>
      </c>
      <c r="G221" s="41" t="s">
        <v>17</v>
      </c>
      <c r="H221" s="41" t="s">
        <v>23</v>
      </c>
      <c r="I221" s="42">
        <v>45134.0</v>
      </c>
      <c r="J221" s="41">
        <v>156.0</v>
      </c>
      <c r="K221" s="43">
        <v>374.7</v>
      </c>
      <c r="L221" s="43">
        <v>73.88</v>
      </c>
      <c r="M221" s="43">
        <v>58453.2</v>
      </c>
      <c r="N221" s="43">
        <v>11525.279999999999</v>
      </c>
      <c r="O221" s="43">
        <v>46927.92</v>
      </c>
      <c r="P221" s="44">
        <v>0.8028289298105151</v>
      </c>
    </row>
    <row r="222" ht="14.25" customHeight="1">
      <c r="C222" s="41" t="s">
        <v>241</v>
      </c>
      <c r="D222" s="41" t="s">
        <v>52</v>
      </c>
      <c r="E222" s="41" t="s">
        <v>29</v>
      </c>
      <c r="F222" s="41" t="s">
        <v>46</v>
      </c>
      <c r="G222" s="41" t="s">
        <v>27</v>
      </c>
      <c r="H222" s="41" t="s">
        <v>23</v>
      </c>
      <c r="I222" s="42">
        <v>45135.0</v>
      </c>
      <c r="J222" s="41">
        <v>450.0</v>
      </c>
      <c r="K222" s="43">
        <v>359.17</v>
      </c>
      <c r="L222" s="43">
        <v>23.44</v>
      </c>
      <c r="M222" s="43">
        <v>161626.5</v>
      </c>
      <c r="N222" s="43">
        <v>10548.0</v>
      </c>
      <c r="O222" s="43">
        <v>151078.5</v>
      </c>
      <c r="P222" s="44">
        <v>0.9347384247013949</v>
      </c>
    </row>
    <row r="223" ht="14.25" customHeight="1">
      <c r="C223" s="41" t="s">
        <v>242</v>
      </c>
      <c r="D223" s="41" t="s">
        <v>25</v>
      </c>
      <c r="E223" s="41" t="s">
        <v>21</v>
      </c>
      <c r="F223" s="41" t="s">
        <v>30</v>
      </c>
      <c r="G223" s="41" t="s">
        <v>17</v>
      </c>
      <c r="H223" s="41" t="s">
        <v>18</v>
      </c>
      <c r="I223" s="42">
        <v>45136.0</v>
      </c>
      <c r="J223" s="41">
        <v>462.0</v>
      </c>
      <c r="K223" s="43">
        <v>263.01</v>
      </c>
      <c r="L223" s="43">
        <v>129.38</v>
      </c>
      <c r="M223" s="43">
        <v>121510.62</v>
      </c>
      <c r="N223" s="43">
        <v>59773.56</v>
      </c>
      <c r="O223" s="43">
        <v>61737.06</v>
      </c>
      <c r="P223" s="44">
        <v>0.5080795407018744</v>
      </c>
    </row>
    <row r="224" ht="14.25" hidden="1" customHeight="1">
      <c r="C224" s="41" t="s">
        <v>243</v>
      </c>
      <c r="D224" s="41" t="s">
        <v>14</v>
      </c>
      <c r="E224" s="41" t="s">
        <v>54</v>
      </c>
      <c r="F224" s="41" t="s">
        <v>39</v>
      </c>
      <c r="G224" s="41" t="s">
        <v>17</v>
      </c>
      <c r="H224" s="41" t="s">
        <v>31</v>
      </c>
      <c r="I224" s="42">
        <v>45137.0</v>
      </c>
      <c r="J224" s="41">
        <v>396.0</v>
      </c>
      <c r="K224" s="43">
        <v>412.08</v>
      </c>
      <c r="L224" s="43">
        <v>301.77</v>
      </c>
      <c r="M224" s="43">
        <v>163183.68</v>
      </c>
      <c r="N224" s="43">
        <v>119500.92</v>
      </c>
      <c r="O224" s="43">
        <v>43682.759999999995</v>
      </c>
      <c r="P224" s="44">
        <v>0.26769073966220147</v>
      </c>
    </row>
    <row r="225" ht="14.25" customHeight="1">
      <c r="C225" s="41" t="s">
        <v>244</v>
      </c>
      <c r="D225" s="41" t="s">
        <v>14</v>
      </c>
      <c r="E225" s="41" t="s">
        <v>54</v>
      </c>
      <c r="F225" s="41" t="s">
        <v>26</v>
      </c>
      <c r="G225" s="41" t="s">
        <v>27</v>
      </c>
      <c r="H225" s="41" t="s">
        <v>23</v>
      </c>
      <c r="I225" s="42">
        <v>45138.0</v>
      </c>
      <c r="J225" s="41">
        <v>266.0</v>
      </c>
      <c r="K225" s="43">
        <v>218.28</v>
      </c>
      <c r="L225" s="43">
        <v>109.19</v>
      </c>
      <c r="M225" s="43">
        <v>58062.48</v>
      </c>
      <c r="N225" s="43">
        <v>29044.54</v>
      </c>
      <c r="O225" s="43">
        <v>29017.940000000002</v>
      </c>
      <c r="P225" s="44">
        <v>0.499770936411948</v>
      </c>
    </row>
    <row r="226" ht="14.25" customHeight="1">
      <c r="C226" s="41" t="s">
        <v>245</v>
      </c>
      <c r="D226" s="41" t="s">
        <v>25</v>
      </c>
      <c r="E226" s="41" t="s">
        <v>15</v>
      </c>
      <c r="F226" s="41" t="s">
        <v>46</v>
      </c>
      <c r="G226" s="41" t="s">
        <v>27</v>
      </c>
      <c r="H226" s="41" t="s">
        <v>18</v>
      </c>
      <c r="I226" s="42">
        <v>45139.0</v>
      </c>
      <c r="J226" s="41">
        <v>67.0</v>
      </c>
      <c r="K226" s="43">
        <v>448.87</v>
      </c>
      <c r="L226" s="43">
        <v>216.74</v>
      </c>
      <c r="M226" s="43">
        <v>30074.29</v>
      </c>
      <c r="N226" s="43">
        <v>14521.58</v>
      </c>
      <c r="O226" s="43">
        <v>15552.710000000001</v>
      </c>
      <c r="P226" s="44">
        <v>0.5171430480985586</v>
      </c>
    </row>
    <row r="227" ht="14.25" customHeight="1">
      <c r="C227" s="41" t="s">
        <v>246</v>
      </c>
      <c r="D227" s="41" t="s">
        <v>14</v>
      </c>
      <c r="E227" s="41" t="s">
        <v>29</v>
      </c>
      <c r="F227" s="41" t="s">
        <v>30</v>
      </c>
      <c r="G227" s="41" t="s">
        <v>17</v>
      </c>
      <c r="H227" s="41" t="s">
        <v>23</v>
      </c>
      <c r="I227" s="42">
        <v>45140.0</v>
      </c>
      <c r="J227" s="41">
        <v>389.0</v>
      </c>
      <c r="K227" s="43">
        <v>40.28</v>
      </c>
      <c r="L227" s="43">
        <v>291.72</v>
      </c>
      <c r="M227" s="43">
        <v>15668.92</v>
      </c>
      <c r="N227" s="43">
        <v>113479.08000000002</v>
      </c>
      <c r="O227" s="43">
        <v>-97810.16000000002</v>
      </c>
      <c r="P227" s="44">
        <v>-6.242303872889773</v>
      </c>
    </row>
    <row r="228" ht="14.25" customHeight="1">
      <c r="C228" s="41" t="s">
        <v>247</v>
      </c>
      <c r="D228" s="41" t="s">
        <v>14</v>
      </c>
      <c r="E228" s="41" t="s">
        <v>21</v>
      </c>
      <c r="F228" s="41" t="s">
        <v>46</v>
      </c>
      <c r="G228" s="41" t="s">
        <v>17</v>
      </c>
      <c r="H228" s="41" t="s">
        <v>31</v>
      </c>
      <c r="I228" s="42">
        <v>45141.0</v>
      </c>
      <c r="J228" s="41">
        <v>431.0</v>
      </c>
      <c r="K228" s="43">
        <v>477.56</v>
      </c>
      <c r="L228" s="43">
        <v>44.96</v>
      </c>
      <c r="M228" s="43">
        <v>205828.36000000002</v>
      </c>
      <c r="N228" s="43">
        <v>19377.760000000002</v>
      </c>
      <c r="O228" s="43">
        <v>186450.6</v>
      </c>
      <c r="P228" s="44">
        <v>0.9058547617053354</v>
      </c>
    </row>
    <row r="229" ht="14.25" customHeight="1">
      <c r="C229" s="41" t="s">
        <v>248</v>
      </c>
      <c r="D229" s="41" t="s">
        <v>25</v>
      </c>
      <c r="E229" s="41" t="s">
        <v>15</v>
      </c>
      <c r="F229" s="41" t="s">
        <v>46</v>
      </c>
      <c r="G229" s="41" t="s">
        <v>27</v>
      </c>
      <c r="H229" s="41" t="s">
        <v>23</v>
      </c>
      <c r="I229" s="42">
        <v>45142.0</v>
      </c>
      <c r="J229" s="41">
        <v>24.0</v>
      </c>
      <c r="K229" s="43">
        <v>329.07</v>
      </c>
      <c r="L229" s="43">
        <v>274.75</v>
      </c>
      <c r="M229" s="43">
        <v>7897.68</v>
      </c>
      <c r="N229" s="43">
        <v>6594.0</v>
      </c>
      <c r="O229" s="43">
        <v>1303.6800000000003</v>
      </c>
      <c r="P229" s="44">
        <v>0.16507126143373754</v>
      </c>
    </row>
    <row r="230" ht="14.25" customHeight="1">
      <c r="C230" s="41" t="s">
        <v>249</v>
      </c>
      <c r="D230" s="41" t="s">
        <v>20</v>
      </c>
      <c r="E230" s="41" t="s">
        <v>34</v>
      </c>
      <c r="F230" s="41" t="s">
        <v>26</v>
      </c>
      <c r="G230" s="41" t="s">
        <v>27</v>
      </c>
      <c r="H230" s="41" t="s">
        <v>23</v>
      </c>
      <c r="I230" s="42">
        <v>45143.0</v>
      </c>
      <c r="J230" s="41">
        <v>171.0</v>
      </c>
      <c r="K230" s="43">
        <v>193.14</v>
      </c>
      <c r="L230" s="43">
        <v>38.56</v>
      </c>
      <c r="M230" s="43">
        <v>33026.939999999995</v>
      </c>
      <c r="N230" s="43">
        <v>6593.76</v>
      </c>
      <c r="O230" s="43">
        <v>26433.179999999993</v>
      </c>
      <c r="P230" s="44">
        <v>0.8003520762141451</v>
      </c>
    </row>
    <row r="231" ht="14.25" customHeight="1">
      <c r="C231" s="41" t="s">
        <v>250</v>
      </c>
      <c r="D231" s="41" t="s">
        <v>25</v>
      </c>
      <c r="E231" s="41" t="s">
        <v>15</v>
      </c>
      <c r="F231" s="41" t="s">
        <v>16</v>
      </c>
      <c r="G231" s="41" t="s">
        <v>17</v>
      </c>
      <c r="H231" s="41" t="s">
        <v>23</v>
      </c>
      <c r="I231" s="42">
        <v>45144.0</v>
      </c>
      <c r="J231" s="41">
        <v>454.0</v>
      </c>
      <c r="K231" s="43">
        <v>102.59</v>
      </c>
      <c r="L231" s="43">
        <v>386.12</v>
      </c>
      <c r="M231" s="43">
        <v>46575.86</v>
      </c>
      <c r="N231" s="43">
        <v>175298.48</v>
      </c>
      <c r="O231" s="43">
        <v>-128722.62000000001</v>
      </c>
      <c r="P231" s="44">
        <v>-2.763719660785652</v>
      </c>
    </row>
    <row r="232" ht="14.25" customHeight="1">
      <c r="C232" s="41" t="s">
        <v>251</v>
      </c>
      <c r="D232" s="41" t="s">
        <v>20</v>
      </c>
      <c r="E232" s="41" t="s">
        <v>15</v>
      </c>
      <c r="F232" s="41" t="s">
        <v>46</v>
      </c>
      <c r="G232" s="41" t="s">
        <v>27</v>
      </c>
      <c r="H232" s="41" t="s">
        <v>23</v>
      </c>
      <c r="I232" s="42">
        <v>45145.0</v>
      </c>
      <c r="J232" s="41">
        <v>172.0</v>
      </c>
      <c r="K232" s="43">
        <v>242.2</v>
      </c>
      <c r="L232" s="43">
        <v>196.38</v>
      </c>
      <c r="M232" s="43">
        <v>41658.4</v>
      </c>
      <c r="N232" s="43">
        <v>33777.36</v>
      </c>
      <c r="O232" s="43">
        <v>7881.040000000001</v>
      </c>
      <c r="P232" s="44">
        <v>0.18918249380677127</v>
      </c>
    </row>
    <row r="233" ht="14.25" customHeight="1">
      <c r="C233" s="41" t="s">
        <v>252</v>
      </c>
      <c r="D233" s="41" t="s">
        <v>14</v>
      </c>
      <c r="E233" s="41" t="s">
        <v>29</v>
      </c>
      <c r="F233" s="41" t="s">
        <v>30</v>
      </c>
      <c r="G233" s="41" t="s">
        <v>17</v>
      </c>
      <c r="H233" s="41" t="s">
        <v>18</v>
      </c>
      <c r="I233" s="42">
        <v>45146.0</v>
      </c>
      <c r="J233" s="41">
        <v>329.0</v>
      </c>
      <c r="K233" s="43">
        <v>101.31</v>
      </c>
      <c r="L233" s="43">
        <v>61.97</v>
      </c>
      <c r="M233" s="43">
        <v>33330.99</v>
      </c>
      <c r="N233" s="43">
        <v>20388.13</v>
      </c>
      <c r="O233" s="43">
        <v>12942.859999999997</v>
      </c>
      <c r="P233" s="44">
        <v>0.38831309841081824</v>
      </c>
    </row>
    <row r="234" ht="14.25" customHeight="1">
      <c r="C234" s="41" t="s">
        <v>253</v>
      </c>
      <c r="D234" s="41" t="s">
        <v>14</v>
      </c>
      <c r="E234" s="41" t="s">
        <v>34</v>
      </c>
      <c r="F234" s="41" t="s">
        <v>22</v>
      </c>
      <c r="G234" s="41" t="s">
        <v>17</v>
      </c>
      <c r="H234" s="41" t="s">
        <v>18</v>
      </c>
      <c r="I234" s="42">
        <v>45147.0</v>
      </c>
      <c r="J234" s="41">
        <v>290.0</v>
      </c>
      <c r="K234" s="43">
        <v>87.33</v>
      </c>
      <c r="L234" s="43">
        <v>138.27</v>
      </c>
      <c r="M234" s="43">
        <v>25325.7</v>
      </c>
      <c r="N234" s="43">
        <v>40098.3</v>
      </c>
      <c r="O234" s="43">
        <v>-14772.600000000002</v>
      </c>
      <c r="P234" s="44">
        <v>-0.5833047062864996</v>
      </c>
    </row>
    <row r="235" ht="14.25" hidden="1" customHeight="1">
      <c r="C235" s="41" t="s">
        <v>254</v>
      </c>
      <c r="D235" s="41" t="s">
        <v>39</v>
      </c>
      <c r="E235" s="41" t="s">
        <v>15</v>
      </c>
      <c r="F235" s="41" t="s">
        <v>46</v>
      </c>
      <c r="G235" s="41" t="s">
        <v>17</v>
      </c>
      <c r="H235" s="41" t="s">
        <v>31</v>
      </c>
      <c r="I235" s="42">
        <v>45148.0</v>
      </c>
      <c r="J235" s="41">
        <v>289.0</v>
      </c>
      <c r="K235" s="43">
        <v>310.59</v>
      </c>
      <c r="L235" s="43">
        <v>166.54</v>
      </c>
      <c r="M235" s="43">
        <v>89760.51</v>
      </c>
      <c r="N235" s="43">
        <v>48130.06</v>
      </c>
      <c r="O235" s="43">
        <v>41630.45</v>
      </c>
      <c r="P235" s="44">
        <v>0.4637947132876139</v>
      </c>
    </row>
    <row r="236" ht="14.25" customHeight="1">
      <c r="C236" s="41" t="s">
        <v>255</v>
      </c>
      <c r="D236" s="41" t="s">
        <v>52</v>
      </c>
      <c r="E236" s="41" t="s">
        <v>21</v>
      </c>
      <c r="F236" s="41" t="s">
        <v>46</v>
      </c>
      <c r="G236" s="41" t="s">
        <v>17</v>
      </c>
      <c r="H236" s="41" t="s">
        <v>18</v>
      </c>
      <c r="I236" s="42">
        <v>45149.0</v>
      </c>
      <c r="J236" s="41">
        <v>21.0</v>
      </c>
      <c r="K236" s="43">
        <v>263.93</v>
      </c>
      <c r="L236" s="43">
        <v>303.76</v>
      </c>
      <c r="M236" s="43">
        <v>5542.53</v>
      </c>
      <c r="N236" s="43">
        <v>6378.96</v>
      </c>
      <c r="O236" s="43">
        <v>-836.4300000000003</v>
      </c>
      <c r="P236" s="44">
        <v>-0.15091122646156183</v>
      </c>
    </row>
    <row r="237" ht="14.25" customHeight="1">
      <c r="C237" s="41" t="s">
        <v>256</v>
      </c>
      <c r="D237" s="41" t="s">
        <v>20</v>
      </c>
      <c r="E237" s="41" t="s">
        <v>21</v>
      </c>
      <c r="F237" s="41" t="s">
        <v>26</v>
      </c>
      <c r="G237" s="41" t="s">
        <v>17</v>
      </c>
      <c r="H237" s="41" t="s">
        <v>18</v>
      </c>
      <c r="I237" s="42">
        <v>45150.0</v>
      </c>
      <c r="J237" s="41">
        <v>283.0</v>
      </c>
      <c r="K237" s="43">
        <v>336.7</v>
      </c>
      <c r="L237" s="43">
        <v>297.88</v>
      </c>
      <c r="M237" s="43">
        <v>95286.09999999999</v>
      </c>
      <c r="N237" s="43">
        <v>84300.04</v>
      </c>
      <c r="O237" s="43">
        <v>10986.059999999998</v>
      </c>
      <c r="P237" s="44">
        <v>0.11529551529551528</v>
      </c>
    </row>
    <row r="238" ht="14.25" customHeight="1">
      <c r="C238" s="41" t="s">
        <v>257</v>
      </c>
      <c r="D238" s="41" t="s">
        <v>52</v>
      </c>
      <c r="E238" s="41" t="s">
        <v>54</v>
      </c>
      <c r="F238" s="41" t="s">
        <v>16</v>
      </c>
      <c r="G238" s="41" t="s">
        <v>27</v>
      </c>
      <c r="H238" s="41" t="s">
        <v>31</v>
      </c>
      <c r="I238" s="42">
        <v>45151.0</v>
      </c>
      <c r="J238" s="41">
        <v>280.0</v>
      </c>
      <c r="K238" s="43">
        <v>465.15</v>
      </c>
      <c r="L238" s="43">
        <v>245.55</v>
      </c>
      <c r="M238" s="43">
        <v>130242.0</v>
      </c>
      <c r="N238" s="43">
        <v>68754.0</v>
      </c>
      <c r="O238" s="43">
        <v>61488.0</v>
      </c>
      <c r="P238" s="44">
        <v>0.47210577233150597</v>
      </c>
    </row>
    <row r="239" ht="14.25" customHeight="1">
      <c r="C239" s="41" t="s">
        <v>258</v>
      </c>
      <c r="D239" s="41" t="s">
        <v>52</v>
      </c>
      <c r="E239" s="41" t="s">
        <v>34</v>
      </c>
      <c r="F239" s="41" t="s">
        <v>22</v>
      </c>
      <c r="G239" s="41" t="s">
        <v>27</v>
      </c>
      <c r="H239" s="41" t="s">
        <v>18</v>
      </c>
      <c r="I239" s="42">
        <v>45152.0</v>
      </c>
      <c r="J239" s="41">
        <v>217.0</v>
      </c>
      <c r="K239" s="43">
        <v>268.47</v>
      </c>
      <c r="L239" s="43">
        <v>44.16</v>
      </c>
      <c r="M239" s="43">
        <v>58257.990000000005</v>
      </c>
      <c r="N239" s="43">
        <v>9582.72</v>
      </c>
      <c r="O239" s="43">
        <v>48675.270000000004</v>
      </c>
      <c r="P239" s="44">
        <v>0.8355123477483518</v>
      </c>
    </row>
    <row r="240" ht="14.25" customHeight="1">
      <c r="C240" s="41" t="s">
        <v>259</v>
      </c>
      <c r="D240" s="41" t="s">
        <v>25</v>
      </c>
      <c r="E240" s="41" t="s">
        <v>34</v>
      </c>
      <c r="F240" s="41" t="s">
        <v>30</v>
      </c>
      <c r="G240" s="41" t="s">
        <v>27</v>
      </c>
      <c r="H240" s="41" t="s">
        <v>18</v>
      </c>
      <c r="I240" s="42">
        <v>45153.0</v>
      </c>
      <c r="J240" s="41">
        <v>36.0</v>
      </c>
      <c r="K240" s="43">
        <v>292.56</v>
      </c>
      <c r="L240" s="43">
        <v>62.32</v>
      </c>
      <c r="M240" s="43">
        <v>10532.16</v>
      </c>
      <c r="N240" s="43">
        <v>2243.52</v>
      </c>
      <c r="O240" s="43">
        <v>8288.64</v>
      </c>
      <c r="P240" s="44">
        <v>0.7869838665572874</v>
      </c>
    </row>
    <row r="241" ht="14.25" hidden="1" customHeight="1">
      <c r="C241" s="41" t="s">
        <v>260</v>
      </c>
      <c r="D241" s="41" t="s">
        <v>52</v>
      </c>
      <c r="E241" s="41" t="s">
        <v>54</v>
      </c>
      <c r="F241" s="41" t="s">
        <v>22</v>
      </c>
      <c r="G241" s="41" t="s">
        <v>27</v>
      </c>
      <c r="H241" s="41" t="s">
        <v>31</v>
      </c>
      <c r="I241" s="42">
        <v>45154.0</v>
      </c>
      <c r="J241" s="41">
        <v>255.9029411764706</v>
      </c>
      <c r="K241" s="43">
        <v>49.37</v>
      </c>
      <c r="L241" s="43">
        <v>39.32</v>
      </c>
      <c r="M241" s="43">
        <v>12633.928205882352</v>
      </c>
      <c r="N241" s="43">
        <v>10062.103647058824</v>
      </c>
      <c r="O241" s="43">
        <v>2571.8245588235277</v>
      </c>
      <c r="P241" s="44">
        <v>0.2035649179663762</v>
      </c>
    </row>
    <row r="242" ht="14.25" customHeight="1">
      <c r="C242" s="41" t="s">
        <v>261</v>
      </c>
      <c r="D242" s="41" t="s">
        <v>25</v>
      </c>
      <c r="E242" s="41" t="s">
        <v>15</v>
      </c>
      <c r="F242" s="41" t="s">
        <v>30</v>
      </c>
      <c r="G242" s="41" t="s">
        <v>17</v>
      </c>
      <c r="H242" s="41" t="s">
        <v>31</v>
      </c>
      <c r="I242" s="42">
        <v>45155.0</v>
      </c>
      <c r="J242" s="41">
        <v>69.0</v>
      </c>
      <c r="K242" s="43">
        <v>360.23</v>
      </c>
      <c r="L242" s="43">
        <v>231.71</v>
      </c>
      <c r="M242" s="43">
        <v>24855.870000000003</v>
      </c>
      <c r="N242" s="43">
        <v>15987.99</v>
      </c>
      <c r="O242" s="43">
        <v>8867.880000000003</v>
      </c>
      <c r="P242" s="44">
        <v>0.35677206229353475</v>
      </c>
    </row>
    <row r="243" ht="14.25" customHeight="1">
      <c r="C243" s="41" t="s">
        <v>262</v>
      </c>
      <c r="D243" s="41" t="s">
        <v>25</v>
      </c>
      <c r="E243" s="41" t="s">
        <v>34</v>
      </c>
      <c r="F243" s="41" t="s">
        <v>16</v>
      </c>
      <c r="G243" s="41" t="s">
        <v>17</v>
      </c>
      <c r="H243" s="41" t="s">
        <v>31</v>
      </c>
      <c r="I243" s="42">
        <v>45156.0</v>
      </c>
      <c r="J243" s="41">
        <v>439.0</v>
      </c>
      <c r="K243" s="43">
        <v>202.95</v>
      </c>
      <c r="L243" s="43">
        <v>351.1</v>
      </c>
      <c r="M243" s="43">
        <v>89095.04999999999</v>
      </c>
      <c r="N243" s="43">
        <v>154132.90000000002</v>
      </c>
      <c r="O243" s="43">
        <v>-65037.850000000035</v>
      </c>
      <c r="P243" s="44">
        <v>-0.7299827543729988</v>
      </c>
    </row>
    <row r="244" ht="14.25" customHeight="1">
      <c r="C244" s="41" t="s">
        <v>263</v>
      </c>
      <c r="D244" s="41" t="s">
        <v>52</v>
      </c>
      <c r="E244" s="41" t="s">
        <v>21</v>
      </c>
      <c r="F244" s="41" t="s">
        <v>30</v>
      </c>
      <c r="G244" s="41" t="s">
        <v>17</v>
      </c>
      <c r="H244" s="41" t="s">
        <v>23</v>
      </c>
      <c r="I244" s="42">
        <v>45157.0</v>
      </c>
      <c r="J244" s="41">
        <v>482.0</v>
      </c>
      <c r="K244" s="43">
        <v>488.48</v>
      </c>
      <c r="L244" s="43">
        <v>174.65</v>
      </c>
      <c r="M244" s="43">
        <v>235447.36000000002</v>
      </c>
      <c r="N244" s="43">
        <v>84181.3</v>
      </c>
      <c r="O244" s="43">
        <v>151266.06</v>
      </c>
      <c r="P244" s="44">
        <v>0.6424623321323288</v>
      </c>
    </row>
    <row r="245" ht="14.25" customHeight="1">
      <c r="C245" s="41" t="s">
        <v>264</v>
      </c>
      <c r="D245" s="41" t="s">
        <v>20</v>
      </c>
      <c r="E245" s="41" t="s">
        <v>21</v>
      </c>
      <c r="F245" s="41" t="s">
        <v>26</v>
      </c>
      <c r="G245" s="41" t="s">
        <v>17</v>
      </c>
      <c r="H245" s="41" t="s">
        <v>23</v>
      </c>
      <c r="I245" s="42">
        <v>45158.0</v>
      </c>
      <c r="J245" s="41">
        <v>154.0</v>
      </c>
      <c r="K245" s="43">
        <v>412.47</v>
      </c>
      <c r="L245" s="43">
        <v>66.02</v>
      </c>
      <c r="M245" s="43">
        <v>63520.380000000005</v>
      </c>
      <c r="N245" s="43">
        <v>10167.08</v>
      </c>
      <c r="O245" s="43">
        <v>53353.3</v>
      </c>
      <c r="P245" s="44">
        <v>0.839939874415109</v>
      </c>
    </row>
    <row r="246" ht="14.25" customHeight="1">
      <c r="C246" s="41" t="s">
        <v>265</v>
      </c>
      <c r="D246" s="41" t="s">
        <v>20</v>
      </c>
      <c r="E246" s="41" t="s">
        <v>29</v>
      </c>
      <c r="F246" s="41" t="s">
        <v>26</v>
      </c>
      <c r="G246" s="41" t="s">
        <v>27</v>
      </c>
      <c r="H246" s="41" t="s">
        <v>31</v>
      </c>
      <c r="I246" s="42">
        <v>45159.0</v>
      </c>
      <c r="J246" s="41">
        <v>102.0</v>
      </c>
      <c r="K246" s="43">
        <v>263.63</v>
      </c>
      <c r="L246" s="43">
        <v>224.1</v>
      </c>
      <c r="M246" s="43">
        <v>26890.26</v>
      </c>
      <c r="N246" s="43">
        <v>22858.2</v>
      </c>
      <c r="O246" s="43">
        <v>4032.0599999999977</v>
      </c>
      <c r="P246" s="44">
        <v>0.14994499867238167</v>
      </c>
    </row>
    <row r="247" ht="14.25" customHeight="1">
      <c r="C247" s="41" t="s">
        <v>266</v>
      </c>
      <c r="D247" s="41" t="s">
        <v>20</v>
      </c>
      <c r="E247" s="41" t="s">
        <v>34</v>
      </c>
      <c r="F247" s="41" t="s">
        <v>26</v>
      </c>
      <c r="G247" s="41" t="s">
        <v>17</v>
      </c>
      <c r="H247" s="41" t="s">
        <v>31</v>
      </c>
      <c r="I247" s="42">
        <v>45160.0</v>
      </c>
      <c r="J247" s="41">
        <v>318.0</v>
      </c>
      <c r="K247" s="43">
        <v>66.0</v>
      </c>
      <c r="L247" s="43">
        <v>325.08</v>
      </c>
      <c r="M247" s="43">
        <v>20988.0</v>
      </c>
      <c r="N247" s="43">
        <v>103375.43999999999</v>
      </c>
      <c r="O247" s="43">
        <v>-82387.43999999999</v>
      </c>
      <c r="P247" s="44">
        <v>-3.925454545454545</v>
      </c>
    </row>
    <row r="248" ht="14.25" customHeight="1">
      <c r="C248" s="41" t="s">
        <v>267</v>
      </c>
      <c r="D248" s="41" t="s">
        <v>20</v>
      </c>
      <c r="E248" s="41" t="s">
        <v>15</v>
      </c>
      <c r="F248" s="41" t="s">
        <v>26</v>
      </c>
      <c r="G248" s="41" t="s">
        <v>17</v>
      </c>
      <c r="H248" s="41" t="s">
        <v>31</v>
      </c>
      <c r="I248" s="42">
        <v>45161.0</v>
      </c>
      <c r="J248" s="41">
        <v>17.0</v>
      </c>
      <c r="K248" s="43">
        <v>430.41</v>
      </c>
      <c r="L248" s="43">
        <v>297.2</v>
      </c>
      <c r="M248" s="43">
        <v>7316.97</v>
      </c>
      <c r="N248" s="43">
        <v>5052.4</v>
      </c>
      <c r="O248" s="43">
        <v>2264.5700000000006</v>
      </c>
      <c r="P248" s="44">
        <v>0.30949559722125425</v>
      </c>
    </row>
    <row r="249" ht="14.25" customHeight="1">
      <c r="C249" s="41" t="s">
        <v>268</v>
      </c>
      <c r="D249" s="41" t="s">
        <v>20</v>
      </c>
      <c r="E249" s="41" t="s">
        <v>54</v>
      </c>
      <c r="F249" s="41" t="s">
        <v>22</v>
      </c>
      <c r="G249" s="41" t="s">
        <v>27</v>
      </c>
      <c r="H249" s="41" t="s">
        <v>23</v>
      </c>
      <c r="I249" s="42">
        <v>45162.0</v>
      </c>
      <c r="J249" s="41">
        <v>88.0</v>
      </c>
      <c r="K249" s="43">
        <v>400.89</v>
      </c>
      <c r="L249" s="43">
        <v>352.82</v>
      </c>
      <c r="M249" s="43">
        <v>35278.32</v>
      </c>
      <c r="N249" s="43">
        <v>31048.16</v>
      </c>
      <c r="O249" s="43">
        <v>4230.16</v>
      </c>
      <c r="P249" s="44">
        <v>0.11990820424555364</v>
      </c>
    </row>
    <row r="250" ht="14.25" customHeight="1">
      <c r="C250" s="41" t="s">
        <v>269</v>
      </c>
      <c r="D250" s="41" t="s">
        <v>52</v>
      </c>
      <c r="E250" s="41" t="s">
        <v>54</v>
      </c>
      <c r="F250" s="41" t="s">
        <v>16</v>
      </c>
      <c r="G250" s="41" t="s">
        <v>27</v>
      </c>
      <c r="H250" s="41" t="s">
        <v>23</v>
      </c>
      <c r="I250" s="42">
        <v>45163.0</v>
      </c>
      <c r="J250" s="41">
        <v>36.0</v>
      </c>
      <c r="K250" s="43">
        <v>96.37</v>
      </c>
      <c r="L250" s="43">
        <v>112.61</v>
      </c>
      <c r="M250" s="43">
        <v>3469.32</v>
      </c>
      <c r="N250" s="43">
        <v>4053.96</v>
      </c>
      <c r="O250" s="43">
        <v>-584.6399999999999</v>
      </c>
      <c r="P250" s="44">
        <v>-0.16851717339420977</v>
      </c>
    </row>
    <row r="251" ht="14.25" customHeight="1">
      <c r="C251" s="41" t="s">
        <v>270</v>
      </c>
      <c r="D251" s="41" t="s">
        <v>52</v>
      </c>
      <c r="E251" s="41" t="s">
        <v>15</v>
      </c>
      <c r="F251" s="41" t="s">
        <v>30</v>
      </c>
      <c r="G251" s="41" t="s">
        <v>27</v>
      </c>
      <c r="H251" s="41" t="s">
        <v>18</v>
      </c>
      <c r="I251" s="42">
        <v>45164.0</v>
      </c>
      <c r="J251" s="41">
        <v>183.0</v>
      </c>
      <c r="K251" s="43">
        <v>151.16</v>
      </c>
      <c r="L251" s="43">
        <v>79.19</v>
      </c>
      <c r="M251" s="43">
        <v>27662.28</v>
      </c>
      <c r="N251" s="43">
        <v>14491.77</v>
      </c>
      <c r="O251" s="43">
        <v>13170.509999999998</v>
      </c>
      <c r="P251" s="44">
        <v>0.476118020640381</v>
      </c>
    </row>
    <row r="252" ht="14.25" customHeight="1">
      <c r="C252" s="41" t="s">
        <v>271</v>
      </c>
      <c r="D252" s="41" t="s">
        <v>14</v>
      </c>
      <c r="E252" s="41" t="s">
        <v>29</v>
      </c>
      <c r="F252" s="41" t="s">
        <v>30</v>
      </c>
      <c r="G252" s="41" t="s">
        <v>27</v>
      </c>
      <c r="H252" s="41" t="s">
        <v>18</v>
      </c>
      <c r="I252" s="42">
        <v>45165.0</v>
      </c>
      <c r="J252" s="41">
        <v>59.0</v>
      </c>
      <c r="K252" s="43">
        <v>397.74</v>
      </c>
      <c r="L252" s="43">
        <v>352.17</v>
      </c>
      <c r="M252" s="43">
        <v>23466.66</v>
      </c>
      <c r="N252" s="43">
        <v>20778.030000000002</v>
      </c>
      <c r="O252" s="43">
        <v>2688.6299999999974</v>
      </c>
      <c r="P252" s="44">
        <v>0.11457233368532196</v>
      </c>
    </row>
    <row r="253" ht="14.25" customHeight="1">
      <c r="C253" s="41" t="s">
        <v>272</v>
      </c>
      <c r="D253" s="41" t="s">
        <v>20</v>
      </c>
      <c r="E253" s="41" t="s">
        <v>54</v>
      </c>
      <c r="F253" s="41" t="s">
        <v>26</v>
      </c>
      <c r="G253" s="41" t="s">
        <v>17</v>
      </c>
      <c r="H253" s="41" t="s">
        <v>31</v>
      </c>
      <c r="I253" s="42">
        <v>45166.0</v>
      </c>
      <c r="J253" s="41">
        <v>208.0</v>
      </c>
      <c r="K253" s="43">
        <v>96.69</v>
      </c>
      <c r="L253" s="43">
        <v>263.71</v>
      </c>
      <c r="M253" s="43">
        <v>20111.52</v>
      </c>
      <c r="N253" s="43">
        <v>54851.67999999999</v>
      </c>
      <c r="O253" s="43">
        <v>-34740.15999999999</v>
      </c>
      <c r="P253" s="44">
        <v>-1.727376150584341</v>
      </c>
    </row>
    <row r="254" ht="14.25" customHeight="1">
      <c r="C254" s="41" t="s">
        <v>273</v>
      </c>
      <c r="D254" s="41" t="s">
        <v>52</v>
      </c>
      <c r="E254" s="41" t="s">
        <v>34</v>
      </c>
      <c r="F254" s="41" t="s">
        <v>26</v>
      </c>
      <c r="G254" s="41" t="s">
        <v>17</v>
      </c>
      <c r="H254" s="41" t="s">
        <v>23</v>
      </c>
      <c r="I254" s="42">
        <v>45167.0</v>
      </c>
      <c r="J254" s="41">
        <v>396.0</v>
      </c>
      <c r="K254" s="43">
        <v>459.29</v>
      </c>
      <c r="L254" s="43">
        <v>125.75</v>
      </c>
      <c r="M254" s="43">
        <v>181878.84</v>
      </c>
      <c r="N254" s="43">
        <v>49797.0</v>
      </c>
      <c r="O254" s="43">
        <v>132081.84</v>
      </c>
      <c r="P254" s="44">
        <v>0.7262078425395719</v>
      </c>
    </row>
    <row r="255" ht="14.25" customHeight="1">
      <c r="C255" s="41" t="s">
        <v>274</v>
      </c>
      <c r="D255" s="41" t="s">
        <v>14</v>
      </c>
      <c r="E255" s="41" t="s">
        <v>29</v>
      </c>
      <c r="F255" s="41" t="s">
        <v>46</v>
      </c>
      <c r="G255" s="41" t="s">
        <v>27</v>
      </c>
      <c r="H255" s="41" t="s">
        <v>23</v>
      </c>
      <c r="I255" s="42">
        <v>45168.0</v>
      </c>
      <c r="J255" s="41">
        <v>358.0</v>
      </c>
      <c r="K255" s="43">
        <v>215.14</v>
      </c>
      <c r="L255" s="43">
        <v>297.45</v>
      </c>
      <c r="M255" s="43">
        <v>77020.12</v>
      </c>
      <c r="N255" s="43">
        <v>106487.09999999999</v>
      </c>
      <c r="O255" s="43">
        <v>-29466.979999999996</v>
      </c>
      <c r="P255" s="44">
        <v>-0.38258808217904616</v>
      </c>
    </row>
    <row r="256" ht="14.25" customHeight="1">
      <c r="C256" s="41" t="s">
        <v>275</v>
      </c>
      <c r="D256" s="41" t="s">
        <v>20</v>
      </c>
      <c r="E256" s="41" t="s">
        <v>34</v>
      </c>
      <c r="F256" s="41" t="s">
        <v>16</v>
      </c>
      <c r="G256" s="41" t="s">
        <v>17</v>
      </c>
      <c r="H256" s="41" t="s">
        <v>23</v>
      </c>
      <c r="I256" s="42">
        <v>45169.0</v>
      </c>
      <c r="J256" s="41">
        <v>457.0</v>
      </c>
      <c r="K256" s="43">
        <v>48.08</v>
      </c>
      <c r="L256" s="43">
        <v>326.42</v>
      </c>
      <c r="M256" s="43">
        <v>21972.559999999998</v>
      </c>
      <c r="N256" s="43">
        <v>149173.94</v>
      </c>
      <c r="O256" s="43">
        <v>-127201.38</v>
      </c>
      <c r="P256" s="44">
        <v>-5.78910149750416</v>
      </c>
    </row>
    <row r="257" ht="14.25" customHeight="1">
      <c r="C257" s="41" t="s">
        <v>276</v>
      </c>
      <c r="D257" s="41" t="s">
        <v>25</v>
      </c>
      <c r="E257" s="41" t="s">
        <v>21</v>
      </c>
      <c r="F257" s="41" t="s">
        <v>22</v>
      </c>
      <c r="G257" s="41" t="s">
        <v>17</v>
      </c>
      <c r="H257" s="41" t="s">
        <v>31</v>
      </c>
      <c r="I257" s="42">
        <v>45170.0</v>
      </c>
      <c r="J257" s="41">
        <v>437.0</v>
      </c>
      <c r="K257" s="43">
        <v>408.8</v>
      </c>
      <c r="L257" s="43">
        <v>246.76</v>
      </c>
      <c r="M257" s="43">
        <v>178645.6</v>
      </c>
      <c r="N257" s="43">
        <v>107834.12</v>
      </c>
      <c r="O257" s="43">
        <v>70811.48000000001</v>
      </c>
      <c r="P257" s="44">
        <v>0.3963796477495108</v>
      </c>
    </row>
    <row r="258" ht="14.25" customHeight="1">
      <c r="C258" s="41" t="s">
        <v>277</v>
      </c>
      <c r="D258" s="41" t="s">
        <v>14</v>
      </c>
      <c r="E258" s="41" t="s">
        <v>29</v>
      </c>
      <c r="F258" s="41" t="s">
        <v>30</v>
      </c>
      <c r="G258" s="41" t="s">
        <v>17</v>
      </c>
      <c r="H258" s="41" t="s">
        <v>18</v>
      </c>
      <c r="I258" s="42">
        <v>45171.0</v>
      </c>
      <c r="J258" s="41">
        <v>190.0</v>
      </c>
      <c r="K258" s="43">
        <v>189.89</v>
      </c>
      <c r="L258" s="43">
        <v>275.78</v>
      </c>
      <c r="M258" s="43">
        <v>36079.1</v>
      </c>
      <c r="N258" s="43">
        <v>52398.2</v>
      </c>
      <c r="O258" s="43">
        <v>-16319.099999999999</v>
      </c>
      <c r="P258" s="44">
        <v>-0.45231449786718625</v>
      </c>
    </row>
    <row r="259" ht="14.25" customHeight="1">
      <c r="C259" s="41" t="s">
        <v>278</v>
      </c>
      <c r="D259" s="41" t="s">
        <v>52</v>
      </c>
      <c r="E259" s="41" t="s">
        <v>54</v>
      </c>
      <c r="F259" s="41" t="s">
        <v>46</v>
      </c>
      <c r="G259" s="41" t="s">
        <v>27</v>
      </c>
      <c r="H259" s="41" t="s">
        <v>31</v>
      </c>
      <c r="I259" s="42">
        <v>45172.0</v>
      </c>
      <c r="J259" s="41">
        <v>33.0</v>
      </c>
      <c r="K259" s="43">
        <v>265.62</v>
      </c>
      <c r="L259" s="43">
        <v>151.35</v>
      </c>
      <c r="M259" s="43">
        <v>8765.460000000001</v>
      </c>
      <c r="N259" s="43">
        <v>4994.55</v>
      </c>
      <c r="O259" s="43">
        <v>3770.9100000000008</v>
      </c>
      <c r="P259" s="44">
        <v>0.4302010390783827</v>
      </c>
    </row>
    <row r="260" ht="14.25" customHeight="1">
      <c r="C260" s="41" t="s">
        <v>279</v>
      </c>
      <c r="D260" s="41" t="s">
        <v>25</v>
      </c>
      <c r="E260" s="41" t="s">
        <v>29</v>
      </c>
      <c r="F260" s="41" t="s">
        <v>46</v>
      </c>
      <c r="G260" s="41" t="s">
        <v>17</v>
      </c>
      <c r="H260" s="41" t="s">
        <v>18</v>
      </c>
      <c r="I260" s="42">
        <v>45173.0</v>
      </c>
      <c r="J260" s="41">
        <v>325.0</v>
      </c>
      <c r="K260" s="43">
        <v>60.59</v>
      </c>
      <c r="L260" s="43">
        <v>216.4</v>
      </c>
      <c r="M260" s="43">
        <v>19691.75</v>
      </c>
      <c r="N260" s="43">
        <v>70330.0</v>
      </c>
      <c r="O260" s="43">
        <v>-50638.25</v>
      </c>
      <c r="P260" s="44">
        <v>-2.57154645981185</v>
      </c>
    </row>
    <row r="261" ht="14.25" customHeight="1">
      <c r="C261" s="41" t="s">
        <v>280</v>
      </c>
      <c r="D261" s="41" t="s">
        <v>25</v>
      </c>
      <c r="E261" s="41" t="s">
        <v>29</v>
      </c>
      <c r="F261" s="41" t="s">
        <v>30</v>
      </c>
      <c r="G261" s="41" t="s">
        <v>27</v>
      </c>
      <c r="H261" s="41" t="s">
        <v>18</v>
      </c>
      <c r="I261" s="42">
        <v>45174.0</v>
      </c>
      <c r="J261" s="41">
        <v>387.0</v>
      </c>
      <c r="K261" s="43">
        <v>6.28</v>
      </c>
      <c r="L261" s="43">
        <v>210.62</v>
      </c>
      <c r="M261" s="43">
        <v>2430.36</v>
      </c>
      <c r="N261" s="43">
        <v>81509.94</v>
      </c>
      <c r="O261" s="43">
        <v>-79079.58</v>
      </c>
      <c r="P261" s="44">
        <v>-32.538216560509554</v>
      </c>
    </row>
    <row r="262" ht="14.25" customHeight="1">
      <c r="C262" s="41" t="s">
        <v>281</v>
      </c>
      <c r="D262" s="41" t="s">
        <v>25</v>
      </c>
      <c r="E262" s="41" t="s">
        <v>29</v>
      </c>
      <c r="F262" s="41" t="s">
        <v>22</v>
      </c>
      <c r="G262" s="41" t="s">
        <v>17</v>
      </c>
      <c r="H262" s="41" t="s">
        <v>31</v>
      </c>
      <c r="I262" s="42">
        <v>45175.0</v>
      </c>
      <c r="J262" s="41">
        <v>396.0</v>
      </c>
      <c r="K262" s="43">
        <v>320.8</v>
      </c>
      <c r="L262" s="43">
        <v>339.52</v>
      </c>
      <c r="M262" s="43">
        <v>127036.8</v>
      </c>
      <c r="N262" s="43">
        <v>134449.91999999998</v>
      </c>
      <c r="O262" s="43">
        <v>-7413.119999999981</v>
      </c>
      <c r="P262" s="44">
        <v>-0.058354114713216804</v>
      </c>
    </row>
    <row r="263" ht="14.25" customHeight="1">
      <c r="C263" s="41" t="s">
        <v>282</v>
      </c>
      <c r="D263" s="41" t="s">
        <v>14</v>
      </c>
      <c r="E263" s="41" t="s">
        <v>29</v>
      </c>
      <c r="F263" s="41" t="s">
        <v>46</v>
      </c>
      <c r="G263" s="41" t="s">
        <v>17</v>
      </c>
      <c r="H263" s="41" t="s">
        <v>18</v>
      </c>
      <c r="I263" s="42">
        <v>45176.0</v>
      </c>
      <c r="J263" s="41">
        <v>413.0</v>
      </c>
      <c r="K263" s="43">
        <v>260.01</v>
      </c>
      <c r="L263" s="43">
        <v>336.31</v>
      </c>
      <c r="M263" s="43">
        <v>107384.12999999999</v>
      </c>
      <c r="N263" s="43">
        <v>138896.03</v>
      </c>
      <c r="O263" s="43">
        <v>-31511.90000000001</v>
      </c>
      <c r="P263" s="44">
        <v>-0.2934502519133881</v>
      </c>
    </row>
    <row r="264" ht="14.25" hidden="1" customHeight="1">
      <c r="C264" s="41" t="s">
        <v>283</v>
      </c>
      <c r="D264" s="41" t="s">
        <v>52</v>
      </c>
      <c r="E264" s="41" t="s">
        <v>34</v>
      </c>
      <c r="F264" s="41" t="s">
        <v>46</v>
      </c>
      <c r="G264" s="41" t="s">
        <v>17</v>
      </c>
      <c r="H264" s="41" t="s">
        <v>18</v>
      </c>
      <c r="I264" s="42">
        <v>45177.0</v>
      </c>
      <c r="J264" s="41">
        <v>255.9029411764706</v>
      </c>
      <c r="K264" s="43">
        <v>298.8</v>
      </c>
      <c r="L264" s="43">
        <v>333.41</v>
      </c>
      <c r="M264" s="43">
        <v>76463.79882352942</v>
      </c>
      <c r="N264" s="43">
        <v>85320.59961764707</v>
      </c>
      <c r="O264" s="43">
        <v>-8856.800794117647</v>
      </c>
      <c r="P264" s="44">
        <v>-0.11582998661311913</v>
      </c>
    </row>
    <row r="265" ht="14.25" customHeight="1">
      <c r="C265" s="41" t="s">
        <v>284</v>
      </c>
      <c r="D265" s="41" t="s">
        <v>25</v>
      </c>
      <c r="E265" s="41" t="s">
        <v>21</v>
      </c>
      <c r="F265" s="41" t="s">
        <v>16</v>
      </c>
      <c r="G265" s="41" t="s">
        <v>27</v>
      </c>
      <c r="H265" s="41" t="s">
        <v>23</v>
      </c>
      <c r="I265" s="42">
        <v>45178.0</v>
      </c>
      <c r="J265" s="41">
        <v>24.0</v>
      </c>
      <c r="K265" s="43">
        <v>397.9</v>
      </c>
      <c r="L265" s="43">
        <v>6.39</v>
      </c>
      <c r="M265" s="43">
        <v>9549.599999999999</v>
      </c>
      <c r="N265" s="43">
        <v>153.35999999999999</v>
      </c>
      <c r="O265" s="43">
        <v>9396.239999999998</v>
      </c>
      <c r="P265" s="44">
        <v>0.9839406886152299</v>
      </c>
    </row>
    <row r="266" ht="14.25" hidden="1" customHeight="1">
      <c r="C266" s="41" t="s">
        <v>285</v>
      </c>
      <c r="D266" s="41" t="s">
        <v>20</v>
      </c>
      <c r="E266" s="41" t="s">
        <v>15</v>
      </c>
      <c r="F266" s="41" t="s">
        <v>39</v>
      </c>
      <c r="G266" s="41" t="s">
        <v>17</v>
      </c>
      <c r="H266" s="41" t="s">
        <v>18</v>
      </c>
      <c r="I266" s="42">
        <v>45179.0</v>
      </c>
      <c r="J266" s="41">
        <v>162.0</v>
      </c>
      <c r="K266" s="43">
        <v>325.07</v>
      </c>
      <c r="L266" s="43">
        <v>300.32</v>
      </c>
      <c r="M266" s="43">
        <v>52661.34</v>
      </c>
      <c r="N266" s="43">
        <v>48651.84</v>
      </c>
      <c r="O266" s="43">
        <v>4009.5</v>
      </c>
      <c r="P266" s="44">
        <v>0.07613744731903899</v>
      </c>
    </row>
    <row r="267" ht="14.25" customHeight="1">
      <c r="C267" s="41" t="s">
        <v>286</v>
      </c>
      <c r="D267" s="41" t="s">
        <v>25</v>
      </c>
      <c r="E267" s="41" t="s">
        <v>29</v>
      </c>
      <c r="F267" s="41" t="s">
        <v>46</v>
      </c>
      <c r="G267" s="41" t="s">
        <v>27</v>
      </c>
      <c r="H267" s="41" t="s">
        <v>31</v>
      </c>
      <c r="I267" s="42">
        <v>45180.0</v>
      </c>
      <c r="J267" s="41">
        <v>231.0</v>
      </c>
      <c r="K267" s="43">
        <v>91.51</v>
      </c>
      <c r="L267" s="43">
        <v>303.95</v>
      </c>
      <c r="M267" s="43">
        <v>21138.81</v>
      </c>
      <c r="N267" s="43">
        <v>70212.45</v>
      </c>
      <c r="O267" s="43">
        <v>-49073.64</v>
      </c>
      <c r="P267" s="44">
        <v>-2.321494918588132</v>
      </c>
    </row>
    <row r="268" ht="14.25" customHeight="1">
      <c r="C268" s="41" t="s">
        <v>287</v>
      </c>
      <c r="D268" s="41" t="s">
        <v>25</v>
      </c>
      <c r="E268" s="41" t="s">
        <v>54</v>
      </c>
      <c r="F268" s="41" t="s">
        <v>22</v>
      </c>
      <c r="G268" s="41" t="s">
        <v>27</v>
      </c>
      <c r="H268" s="41" t="s">
        <v>31</v>
      </c>
      <c r="I268" s="42">
        <v>45181.0</v>
      </c>
      <c r="J268" s="41">
        <v>215.0</v>
      </c>
      <c r="K268" s="43">
        <v>183.58</v>
      </c>
      <c r="L268" s="43">
        <v>271.99</v>
      </c>
      <c r="M268" s="43">
        <v>39469.700000000004</v>
      </c>
      <c r="N268" s="43">
        <v>58477.85</v>
      </c>
      <c r="O268" s="43">
        <v>-19008.149999999994</v>
      </c>
      <c r="P268" s="44">
        <v>-0.4815884083233466</v>
      </c>
    </row>
    <row r="269" ht="14.25" customHeight="1">
      <c r="C269" s="41" t="s">
        <v>288</v>
      </c>
      <c r="D269" s="41" t="s">
        <v>14</v>
      </c>
      <c r="E269" s="41" t="s">
        <v>29</v>
      </c>
      <c r="F269" s="41" t="s">
        <v>30</v>
      </c>
      <c r="G269" s="41" t="s">
        <v>27</v>
      </c>
      <c r="H269" s="41" t="s">
        <v>18</v>
      </c>
      <c r="I269" s="42">
        <v>45182.0</v>
      </c>
      <c r="J269" s="41">
        <v>464.0</v>
      </c>
      <c r="K269" s="43">
        <v>453.42</v>
      </c>
      <c r="L269" s="43">
        <v>302.99</v>
      </c>
      <c r="M269" s="43">
        <v>210386.88</v>
      </c>
      <c r="N269" s="43">
        <v>140587.36000000002</v>
      </c>
      <c r="O269" s="43">
        <v>69799.51999999999</v>
      </c>
      <c r="P269" s="44">
        <v>0.33176745622160464</v>
      </c>
    </row>
    <row r="270" ht="14.25" hidden="1" customHeight="1">
      <c r="C270" s="41" t="s">
        <v>289</v>
      </c>
      <c r="D270" s="41" t="s">
        <v>14</v>
      </c>
      <c r="E270" s="41" t="s">
        <v>54</v>
      </c>
      <c r="F270" s="41" t="s">
        <v>26</v>
      </c>
      <c r="G270" s="41" t="s">
        <v>17</v>
      </c>
      <c r="H270" s="41" t="s">
        <v>23</v>
      </c>
      <c r="I270" s="42">
        <v>45183.0</v>
      </c>
      <c r="J270" s="41">
        <v>282.0</v>
      </c>
      <c r="K270" s="43">
        <v>249.64520588235297</v>
      </c>
      <c r="L270" s="43">
        <v>337.1</v>
      </c>
      <c r="M270" s="43">
        <v>70399.94805882353</v>
      </c>
      <c r="N270" s="43">
        <v>95062.20000000001</v>
      </c>
      <c r="O270" s="43">
        <v>-24662.25194117648</v>
      </c>
      <c r="P270" s="44">
        <v>-0.35031633717356775</v>
      </c>
    </row>
    <row r="271" ht="14.25" customHeight="1">
      <c r="C271" s="41" t="s">
        <v>290</v>
      </c>
      <c r="D271" s="41" t="s">
        <v>52</v>
      </c>
      <c r="E271" s="41" t="s">
        <v>34</v>
      </c>
      <c r="F271" s="41" t="s">
        <v>46</v>
      </c>
      <c r="G271" s="41" t="s">
        <v>17</v>
      </c>
      <c r="H271" s="41" t="s">
        <v>23</v>
      </c>
      <c r="I271" s="42">
        <v>45184.0</v>
      </c>
      <c r="J271" s="41">
        <v>391.0</v>
      </c>
      <c r="K271" s="43">
        <v>280.54</v>
      </c>
      <c r="L271" s="43">
        <v>189.19</v>
      </c>
      <c r="M271" s="43">
        <v>109691.14000000001</v>
      </c>
      <c r="N271" s="43">
        <v>73973.29</v>
      </c>
      <c r="O271" s="43">
        <v>35717.85000000002</v>
      </c>
      <c r="P271" s="44">
        <v>0.3256220146859629</v>
      </c>
    </row>
    <row r="272" ht="14.25" customHeight="1">
      <c r="C272" s="41" t="s">
        <v>291</v>
      </c>
      <c r="D272" s="41" t="s">
        <v>20</v>
      </c>
      <c r="E272" s="41" t="s">
        <v>54</v>
      </c>
      <c r="F272" s="41" t="s">
        <v>16</v>
      </c>
      <c r="G272" s="41" t="s">
        <v>17</v>
      </c>
      <c r="H272" s="41" t="s">
        <v>18</v>
      </c>
      <c r="I272" s="42">
        <v>45185.0</v>
      </c>
      <c r="J272" s="41">
        <v>245.0</v>
      </c>
      <c r="K272" s="43">
        <v>131.54</v>
      </c>
      <c r="L272" s="43">
        <v>201.82</v>
      </c>
      <c r="M272" s="43">
        <v>32227.3</v>
      </c>
      <c r="N272" s="43">
        <v>49445.9</v>
      </c>
      <c r="O272" s="43">
        <v>-17218.600000000002</v>
      </c>
      <c r="P272" s="44">
        <v>-0.5342861487000153</v>
      </c>
    </row>
    <row r="273" ht="14.25" customHeight="1">
      <c r="C273" s="41" t="s">
        <v>292</v>
      </c>
      <c r="D273" s="41" t="s">
        <v>14</v>
      </c>
      <c r="E273" s="41" t="s">
        <v>15</v>
      </c>
      <c r="F273" s="41" t="s">
        <v>30</v>
      </c>
      <c r="G273" s="41" t="s">
        <v>17</v>
      </c>
      <c r="H273" s="41" t="s">
        <v>18</v>
      </c>
      <c r="I273" s="42">
        <v>45186.0</v>
      </c>
      <c r="J273" s="41">
        <v>349.0</v>
      </c>
      <c r="K273" s="43">
        <v>154.52</v>
      </c>
      <c r="L273" s="43">
        <v>51.64</v>
      </c>
      <c r="M273" s="43">
        <v>53927.48</v>
      </c>
      <c r="N273" s="43">
        <v>18022.36</v>
      </c>
      <c r="O273" s="43">
        <v>35905.12</v>
      </c>
      <c r="P273" s="44">
        <v>0.6658037794460264</v>
      </c>
    </row>
    <row r="274" ht="14.25" hidden="1" customHeight="1">
      <c r="C274" s="41" t="s">
        <v>293</v>
      </c>
      <c r="D274" s="41" t="s">
        <v>25</v>
      </c>
      <c r="E274" s="41" t="s">
        <v>21</v>
      </c>
      <c r="F274" s="41" t="s">
        <v>22</v>
      </c>
      <c r="G274" s="41" t="s">
        <v>27</v>
      </c>
      <c r="H274" s="41" t="s">
        <v>31</v>
      </c>
      <c r="I274" s="42">
        <v>45187.0</v>
      </c>
      <c r="J274" s="41">
        <v>237.0</v>
      </c>
      <c r="K274" s="43">
        <v>249.64520588235297</v>
      </c>
      <c r="L274" s="43">
        <v>155.38</v>
      </c>
      <c r="M274" s="43">
        <v>59165.91379411765</v>
      </c>
      <c r="N274" s="43">
        <v>36825.06</v>
      </c>
      <c r="O274" s="43">
        <v>22340.853794117655</v>
      </c>
      <c r="P274" s="44">
        <v>0.3775966998812551</v>
      </c>
    </row>
    <row r="275" ht="14.25" customHeight="1">
      <c r="C275" s="41" t="s">
        <v>294</v>
      </c>
      <c r="D275" s="41" t="s">
        <v>52</v>
      </c>
      <c r="E275" s="41" t="s">
        <v>54</v>
      </c>
      <c r="F275" s="41" t="s">
        <v>30</v>
      </c>
      <c r="G275" s="41" t="s">
        <v>27</v>
      </c>
      <c r="H275" s="41" t="s">
        <v>18</v>
      </c>
      <c r="I275" s="42">
        <v>45188.0</v>
      </c>
      <c r="J275" s="41">
        <v>18.0</v>
      </c>
      <c r="K275" s="43">
        <v>426.33</v>
      </c>
      <c r="L275" s="43">
        <v>258.06</v>
      </c>
      <c r="M275" s="43">
        <v>7673.94</v>
      </c>
      <c r="N275" s="43">
        <v>4645.08</v>
      </c>
      <c r="O275" s="43">
        <v>3028.8599999999997</v>
      </c>
      <c r="P275" s="44">
        <v>0.3946942509323763</v>
      </c>
    </row>
    <row r="276" ht="14.25" customHeight="1">
      <c r="C276" s="41" t="s">
        <v>295</v>
      </c>
      <c r="D276" s="41" t="s">
        <v>25</v>
      </c>
      <c r="E276" s="41" t="s">
        <v>54</v>
      </c>
      <c r="F276" s="41" t="s">
        <v>46</v>
      </c>
      <c r="G276" s="41" t="s">
        <v>27</v>
      </c>
      <c r="H276" s="41" t="s">
        <v>23</v>
      </c>
      <c r="I276" s="42">
        <v>45189.0</v>
      </c>
      <c r="J276" s="41">
        <v>175.0</v>
      </c>
      <c r="K276" s="43">
        <v>337.36</v>
      </c>
      <c r="L276" s="43">
        <v>312.6</v>
      </c>
      <c r="M276" s="43">
        <v>59038.0</v>
      </c>
      <c r="N276" s="43">
        <v>54705.00000000001</v>
      </c>
      <c r="O276" s="43">
        <v>4332.999999999993</v>
      </c>
      <c r="P276" s="44">
        <v>0.0733934076357599</v>
      </c>
    </row>
    <row r="277" ht="14.25" hidden="1" customHeight="1">
      <c r="C277" s="41" t="s">
        <v>296</v>
      </c>
      <c r="D277" s="41" t="s">
        <v>25</v>
      </c>
      <c r="E277" s="41" t="s">
        <v>21</v>
      </c>
      <c r="F277" s="41" t="s">
        <v>39</v>
      </c>
      <c r="G277" s="41" t="s">
        <v>17</v>
      </c>
      <c r="H277" s="41" t="s">
        <v>18</v>
      </c>
      <c r="I277" s="42">
        <v>45190.0</v>
      </c>
      <c r="J277" s="41">
        <v>441.0</v>
      </c>
      <c r="K277" s="43">
        <v>405.72</v>
      </c>
      <c r="L277" s="43">
        <v>88.45</v>
      </c>
      <c r="M277" s="43">
        <v>178922.52000000002</v>
      </c>
      <c r="N277" s="43">
        <v>39006.450000000004</v>
      </c>
      <c r="O277" s="43">
        <v>139916.07</v>
      </c>
      <c r="P277" s="44">
        <v>0.7819925071477866</v>
      </c>
    </row>
    <row r="278" ht="14.25" customHeight="1">
      <c r="C278" s="41" t="s">
        <v>297</v>
      </c>
      <c r="D278" s="41" t="s">
        <v>14</v>
      </c>
      <c r="E278" s="41" t="s">
        <v>15</v>
      </c>
      <c r="F278" s="41" t="s">
        <v>26</v>
      </c>
      <c r="G278" s="41" t="s">
        <v>27</v>
      </c>
      <c r="H278" s="41" t="s">
        <v>31</v>
      </c>
      <c r="I278" s="42">
        <v>45191.0</v>
      </c>
      <c r="J278" s="41">
        <v>453.0</v>
      </c>
      <c r="K278" s="43">
        <v>384.49</v>
      </c>
      <c r="L278" s="43">
        <v>56.85</v>
      </c>
      <c r="M278" s="43">
        <v>174173.97</v>
      </c>
      <c r="N278" s="43">
        <v>25753.05</v>
      </c>
      <c r="O278" s="43">
        <v>148420.92</v>
      </c>
      <c r="P278" s="44">
        <v>0.8521417982262218</v>
      </c>
    </row>
    <row r="279" ht="14.25" customHeight="1">
      <c r="C279" s="41" t="s">
        <v>298</v>
      </c>
      <c r="D279" s="41" t="s">
        <v>52</v>
      </c>
      <c r="E279" s="41" t="s">
        <v>29</v>
      </c>
      <c r="F279" s="41" t="s">
        <v>30</v>
      </c>
      <c r="G279" s="41" t="s">
        <v>17</v>
      </c>
      <c r="H279" s="41" t="s">
        <v>31</v>
      </c>
      <c r="I279" s="42">
        <v>45192.0</v>
      </c>
      <c r="J279" s="41">
        <v>328.0</v>
      </c>
      <c r="K279" s="43">
        <v>79.1</v>
      </c>
      <c r="L279" s="43">
        <v>265.89</v>
      </c>
      <c r="M279" s="43">
        <v>25944.8</v>
      </c>
      <c r="N279" s="43">
        <v>87211.92</v>
      </c>
      <c r="O279" s="43">
        <v>-61267.119999999995</v>
      </c>
      <c r="P279" s="44">
        <v>-2.361441213653603</v>
      </c>
    </row>
    <row r="280" ht="14.25" customHeight="1">
      <c r="C280" s="41" t="s">
        <v>299</v>
      </c>
      <c r="D280" s="41" t="s">
        <v>20</v>
      </c>
      <c r="E280" s="41" t="s">
        <v>54</v>
      </c>
      <c r="F280" s="41" t="s">
        <v>46</v>
      </c>
      <c r="G280" s="41" t="s">
        <v>27</v>
      </c>
      <c r="H280" s="41" t="s">
        <v>31</v>
      </c>
      <c r="I280" s="42">
        <v>45193.0</v>
      </c>
      <c r="J280" s="41">
        <v>223.0</v>
      </c>
      <c r="K280" s="43">
        <v>214.85</v>
      </c>
      <c r="L280" s="43">
        <v>2.75</v>
      </c>
      <c r="M280" s="43">
        <v>47911.549999999996</v>
      </c>
      <c r="N280" s="43">
        <v>613.25</v>
      </c>
      <c r="O280" s="43">
        <v>47298.299999999996</v>
      </c>
      <c r="P280" s="44">
        <v>0.9872003723528043</v>
      </c>
    </row>
    <row r="281" ht="14.25" customHeight="1">
      <c r="C281" s="41" t="s">
        <v>300</v>
      </c>
      <c r="D281" s="41" t="s">
        <v>20</v>
      </c>
      <c r="E281" s="41" t="s">
        <v>21</v>
      </c>
      <c r="F281" s="41" t="s">
        <v>16</v>
      </c>
      <c r="G281" s="41" t="s">
        <v>17</v>
      </c>
      <c r="H281" s="41" t="s">
        <v>31</v>
      </c>
      <c r="I281" s="42">
        <v>45194.0</v>
      </c>
      <c r="J281" s="41">
        <v>126.0</v>
      </c>
      <c r="K281" s="43">
        <v>80.73</v>
      </c>
      <c r="L281" s="43">
        <v>72.99</v>
      </c>
      <c r="M281" s="43">
        <v>10171.980000000001</v>
      </c>
      <c r="N281" s="43">
        <v>9196.74</v>
      </c>
      <c r="O281" s="43">
        <v>975.2400000000016</v>
      </c>
      <c r="P281" s="44">
        <v>0.09587513935340036</v>
      </c>
    </row>
    <row r="282" ht="14.25" customHeight="1">
      <c r="C282" s="41" t="s">
        <v>301</v>
      </c>
      <c r="D282" s="41" t="s">
        <v>14</v>
      </c>
      <c r="E282" s="41" t="s">
        <v>34</v>
      </c>
      <c r="F282" s="41" t="s">
        <v>22</v>
      </c>
      <c r="G282" s="41" t="s">
        <v>17</v>
      </c>
      <c r="H282" s="41" t="s">
        <v>31</v>
      </c>
      <c r="I282" s="42">
        <v>45195.0</v>
      </c>
      <c r="J282" s="41">
        <v>395.0</v>
      </c>
      <c r="K282" s="43">
        <v>121.44</v>
      </c>
      <c r="L282" s="43">
        <v>13.57</v>
      </c>
      <c r="M282" s="43">
        <v>47968.799999999996</v>
      </c>
      <c r="N282" s="43">
        <v>5360.150000000001</v>
      </c>
      <c r="O282" s="43">
        <v>42608.649999999994</v>
      </c>
      <c r="P282" s="44">
        <v>0.8882575757575757</v>
      </c>
    </row>
    <row r="283" ht="14.25" customHeight="1">
      <c r="C283" s="41" t="s">
        <v>302</v>
      </c>
      <c r="D283" s="41" t="s">
        <v>14</v>
      </c>
      <c r="E283" s="41" t="s">
        <v>21</v>
      </c>
      <c r="F283" s="41" t="s">
        <v>30</v>
      </c>
      <c r="G283" s="41" t="s">
        <v>27</v>
      </c>
      <c r="H283" s="41" t="s">
        <v>18</v>
      </c>
      <c r="I283" s="42">
        <v>45196.0</v>
      </c>
      <c r="J283" s="41">
        <v>353.0</v>
      </c>
      <c r="K283" s="43">
        <v>435.28</v>
      </c>
      <c r="L283" s="43">
        <v>68.42</v>
      </c>
      <c r="M283" s="43">
        <v>153653.84</v>
      </c>
      <c r="N283" s="43">
        <v>24152.260000000002</v>
      </c>
      <c r="O283" s="43">
        <v>129501.57999999999</v>
      </c>
      <c r="P283" s="44">
        <v>0.8428138209887888</v>
      </c>
    </row>
    <row r="284" ht="14.25" customHeight="1">
      <c r="C284" s="41" t="s">
        <v>303</v>
      </c>
      <c r="D284" s="41" t="s">
        <v>52</v>
      </c>
      <c r="E284" s="41" t="s">
        <v>34</v>
      </c>
      <c r="F284" s="41" t="s">
        <v>30</v>
      </c>
      <c r="G284" s="41" t="s">
        <v>27</v>
      </c>
      <c r="H284" s="41" t="s">
        <v>18</v>
      </c>
      <c r="I284" s="42">
        <v>45197.0</v>
      </c>
      <c r="J284" s="41">
        <v>81.0</v>
      </c>
      <c r="K284" s="43">
        <v>239.08</v>
      </c>
      <c r="L284" s="43">
        <v>74.17</v>
      </c>
      <c r="M284" s="43">
        <v>19365.48</v>
      </c>
      <c r="N284" s="43">
        <v>6007.77</v>
      </c>
      <c r="O284" s="43">
        <v>13357.71</v>
      </c>
      <c r="P284" s="44">
        <v>0.6897691149406057</v>
      </c>
    </row>
    <row r="285" ht="14.25" customHeight="1">
      <c r="C285" s="41" t="s">
        <v>304</v>
      </c>
      <c r="D285" s="41" t="s">
        <v>20</v>
      </c>
      <c r="E285" s="41" t="s">
        <v>15</v>
      </c>
      <c r="F285" s="41" t="s">
        <v>26</v>
      </c>
      <c r="G285" s="41" t="s">
        <v>27</v>
      </c>
      <c r="H285" s="41" t="s">
        <v>18</v>
      </c>
      <c r="I285" s="42">
        <v>45198.0</v>
      </c>
      <c r="J285" s="41">
        <v>404.0</v>
      </c>
      <c r="K285" s="43">
        <v>270.0</v>
      </c>
      <c r="L285" s="43">
        <v>156.29</v>
      </c>
      <c r="M285" s="43">
        <v>109080.0</v>
      </c>
      <c r="N285" s="43">
        <v>63141.159999999996</v>
      </c>
      <c r="O285" s="43">
        <v>45938.840000000004</v>
      </c>
      <c r="P285" s="44">
        <v>0.42114814814814816</v>
      </c>
    </row>
    <row r="286" ht="14.25" customHeight="1">
      <c r="C286" s="41" t="s">
        <v>305</v>
      </c>
      <c r="D286" s="41" t="s">
        <v>20</v>
      </c>
      <c r="E286" s="41" t="s">
        <v>29</v>
      </c>
      <c r="F286" s="41" t="s">
        <v>26</v>
      </c>
      <c r="G286" s="41" t="s">
        <v>27</v>
      </c>
      <c r="H286" s="41" t="s">
        <v>18</v>
      </c>
      <c r="I286" s="42">
        <v>45199.0</v>
      </c>
      <c r="J286" s="41">
        <v>73.0</v>
      </c>
      <c r="K286" s="43">
        <v>93.33</v>
      </c>
      <c r="L286" s="43">
        <v>162.13</v>
      </c>
      <c r="M286" s="43">
        <v>6813.09</v>
      </c>
      <c r="N286" s="43">
        <v>11835.49</v>
      </c>
      <c r="O286" s="43">
        <v>-5022.4</v>
      </c>
      <c r="P286" s="44">
        <v>-0.7371691846137362</v>
      </c>
    </row>
    <row r="287" ht="14.25" customHeight="1">
      <c r="C287" s="41" t="s">
        <v>306</v>
      </c>
      <c r="D287" s="41" t="s">
        <v>20</v>
      </c>
      <c r="E287" s="41" t="s">
        <v>21</v>
      </c>
      <c r="F287" s="41" t="s">
        <v>16</v>
      </c>
      <c r="G287" s="41" t="s">
        <v>17</v>
      </c>
      <c r="H287" s="41" t="s">
        <v>31</v>
      </c>
      <c r="I287" s="42">
        <v>45200.0</v>
      </c>
      <c r="J287" s="41">
        <v>214.0</v>
      </c>
      <c r="K287" s="43">
        <v>159.57</v>
      </c>
      <c r="L287" s="43">
        <v>349.96</v>
      </c>
      <c r="M287" s="43">
        <v>34147.979999999996</v>
      </c>
      <c r="N287" s="43">
        <v>74891.44</v>
      </c>
      <c r="O287" s="43">
        <v>-40743.46000000001</v>
      </c>
      <c r="P287" s="44">
        <v>-1.1931440747007587</v>
      </c>
    </row>
    <row r="288" ht="14.25" customHeight="1">
      <c r="C288" s="41" t="s">
        <v>307</v>
      </c>
      <c r="D288" s="41" t="s">
        <v>25</v>
      </c>
      <c r="E288" s="41" t="s">
        <v>54</v>
      </c>
      <c r="F288" s="41" t="s">
        <v>16</v>
      </c>
      <c r="G288" s="41" t="s">
        <v>27</v>
      </c>
      <c r="H288" s="41" t="s">
        <v>23</v>
      </c>
      <c r="I288" s="42">
        <v>45201.0</v>
      </c>
      <c r="J288" s="41">
        <v>218.0</v>
      </c>
      <c r="K288" s="43">
        <v>118.97</v>
      </c>
      <c r="L288" s="43">
        <v>205.02</v>
      </c>
      <c r="M288" s="43">
        <v>25935.46</v>
      </c>
      <c r="N288" s="43">
        <v>44694.36</v>
      </c>
      <c r="O288" s="43">
        <v>-18758.9</v>
      </c>
      <c r="P288" s="44">
        <v>-0.7232915861141465</v>
      </c>
    </row>
    <row r="289" ht="14.25" customHeight="1">
      <c r="C289" s="41" t="s">
        <v>308</v>
      </c>
      <c r="D289" s="41" t="s">
        <v>20</v>
      </c>
      <c r="E289" s="41" t="s">
        <v>15</v>
      </c>
      <c r="F289" s="41" t="s">
        <v>46</v>
      </c>
      <c r="G289" s="41" t="s">
        <v>27</v>
      </c>
      <c r="H289" s="41" t="s">
        <v>18</v>
      </c>
      <c r="I289" s="42">
        <v>45202.0</v>
      </c>
      <c r="J289" s="41">
        <v>81.0</v>
      </c>
      <c r="K289" s="43">
        <v>107.06</v>
      </c>
      <c r="L289" s="43">
        <v>289.92</v>
      </c>
      <c r="M289" s="43">
        <v>8671.86</v>
      </c>
      <c r="N289" s="43">
        <v>23483.52</v>
      </c>
      <c r="O289" s="43">
        <v>-14811.66</v>
      </c>
      <c r="P289" s="44">
        <v>-1.7080141976461796</v>
      </c>
    </row>
    <row r="290" ht="14.25" customHeight="1">
      <c r="C290" s="41" t="s">
        <v>309</v>
      </c>
      <c r="D290" s="41" t="s">
        <v>25</v>
      </c>
      <c r="E290" s="41" t="s">
        <v>21</v>
      </c>
      <c r="F290" s="41" t="s">
        <v>46</v>
      </c>
      <c r="G290" s="41" t="s">
        <v>27</v>
      </c>
      <c r="H290" s="41" t="s">
        <v>23</v>
      </c>
      <c r="I290" s="42">
        <v>45203.0</v>
      </c>
      <c r="J290" s="41">
        <v>286.0</v>
      </c>
      <c r="K290" s="43">
        <v>320.79</v>
      </c>
      <c r="L290" s="43">
        <v>43.45</v>
      </c>
      <c r="M290" s="43">
        <v>91745.94</v>
      </c>
      <c r="N290" s="43">
        <v>12426.7</v>
      </c>
      <c r="O290" s="43">
        <v>79319.24</v>
      </c>
      <c r="P290" s="44">
        <v>0.8645531344493282</v>
      </c>
    </row>
    <row r="291" ht="14.25" customHeight="1">
      <c r="C291" s="41" t="s">
        <v>310</v>
      </c>
      <c r="D291" s="41" t="s">
        <v>52</v>
      </c>
      <c r="E291" s="41" t="s">
        <v>54</v>
      </c>
      <c r="F291" s="41" t="s">
        <v>16</v>
      </c>
      <c r="G291" s="41" t="s">
        <v>17</v>
      </c>
      <c r="H291" s="41" t="s">
        <v>18</v>
      </c>
      <c r="I291" s="42">
        <v>45204.0</v>
      </c>
      <c r="J291" s="41">
        <v>283.0</v>
      </c>
      <c r="K291" s="43">
        <v>132.16</v>
      </c>
      <c r="L291" s="43">
        <v>91.72</v>
      </c>
      <c r="M291" s="43">
        <v>37401.28</v>
      </c>
      <c r="N291" s="43">
        <v>25956.76</v>
      </c>
      <c r="O291" s="43">
        <v>11444.52</v>
      </c>
      <c r="P291" s="44">
        <v>0.30599273607748184</v>
      </c>
    </row>
    <row r="292" ht="14.25" customHeight="1">
      <c r="C292" s="41" t="s">
        <v>311</v>
      </c>
      <c r="D292" s="41" t="s">
        <v>25</v>
      </c>
      <c r="E292" s="41" t="s">
        <v>21</v>
      </c>
      <c r="F292" s="41" t="s">
        <v>16</v>
      </c>
      <c r="G292" s="41" t="s">
        <v>17</v>
      </c>
      <c r="H292" s="41" t="s">
        <v>18</v>
      </c>
      <c r="I292" s="42">
        <v>45205.0</v>
      </c>
      <c r="J292" s="41">
        <v>487.0</v>
      </c>
      <c r="K292" s="43">
        <v>317.85</v>
      </c>
      <c r="L292" s="43">
        <v>281.77</v>
      </c>
      <c r="M292" s="43">
        <v>154792.95</v>
      </c>
      <c r="N292" s="43">
        <v>137221.99</v>
      </c>
      <c r="O292" s="43">
        <v>17570.96000000002</v>
      </c>
      <c r="P292" s="44">
        <v>0.11351266320591487</v>
      </c>
    </row>
    <row r="293" ht="14.25" customHeight="1">
      <c r="C293" s="41" t="s">
        <v>312</v>
      </c>
      <c r="D293" s="41" t="s">
        <v>52</v>
      </c>
      <c r="E293" s="41" t="s">
        <v>34</v>
      </c>
      <c r="F293" s="41" t="s">
        <v>22</v>
      </c>
      <c r="G293" s="41" t="s">
        <v>27</v>
      </c>
      <c r="H293" s="41" t="s">
        <v>23</v>
      </c>
      <c r="I293" s="42">
        <v>45206.0</v>
      </c>
      <c r="J293" s="41">
        <v>329.0</v>
      </c>
      <c r="K293" s="43">
        <v>33.94</v>
      </c>
      <c r="L293" s="43">
        <v>23.02</v>
      </c>
      <c r="M293" s="43">
        <v>11166.259999999998</v>
      </c>
      <c r="N293" s="43">
        <v>7573.58</v>
      </c>
      <c r="O293" s="43">
        <v>3592.6799999999985</v>
      </c>
      <c r="P293" s="44">
        <v>0.32174425456688266</v>
      </c>
    </row>
    <row r="294" ht="14.25" customHeight="1">
      <c r="C294" s="41" t="s">
        <v>313</v>
      </c>
      <c r="D294" s="41" t="s">
        <v>20</v>
      </c>
      <c r="E294" s="41" t="s">
        <v>21</v>
      </c>
      <c r="F294" s="41" t="s">
        <v>26</v>
      </c>
      <c r="G294" s="41" t="s">
        <v>17</v>
      </c>
      <c r="H294" s="41" t="s">
        <v>31</v>
      </c>
      <c r="I294" s="42">
        <v>45207.0</v>
      </c>
      <c r="J294" s="41">
        <v>347.0</v>
      </c>
      <c r="K294" s="43">
        <v>75.18</v>
      </c>
      <c r="L294" s="43">
        <v>195.67</v>
      </c>
      <c r="M294" s="43">
        <v>26087.460000000003</v>
      </c>
      <c r="N294" s="43">
        <v>67897.48999999999</v>
      </c>
      <c r="O294" s="43">
        <v>-41810.029999999984</v>
      </c>
      <c r="P294" s="44">
        <v>-1.602686884809789</v>
      </c>
    </row>
    <row r="295" ht="14.25" customHeight="1">
      <c r="C295" s="41" t="s">
        <v>314</v>
      </c>
      <c r="D295" s="41" t="s">
        <v>20</v>
      </c>
      <c r="E295" s="41" t="s">
        <v>21</v>
      </c>
      <c r="F295" s="41" t="s">
        <v>46</v>
      </c>
      <c r="G295" s="41" t="s">
        <v>27</v>
      </c>
      <c r="H295" s="41" t="s">
        <v>18</v>
      </c>
      <c r="I295" s="42">
        <v>45208.0</v>
      </c>
      <c r="J295" s="41">
        <v>375.0</v>
      </c>
      <c r="K295" s="43">
        <v>140.9</v>
      </c>
      <c r="L295" s="43">
        <v>240.55</v>
      </c>
      <c r="M295" s="43">
        <v>52837.5</v>
      </c>
      <c r="N295" s="43">
        <v>90206.25</v>
      </c>
      <c r="O295" s="43">
        <v>-37368.75</v>
      </c>
      <c r="P295" s="44">
        <v>-0.7072391767210788</v>
      </c>
    </row>
    <row r="296" ht="14.25" customHeight="1">
      <c r="C296" s="41" t="s">
        <v>315</v>
      </c>
      <c r="D296" s="41" t="s">
        <v>52</v>
      </c>
      <c r="E296" s="41" t="s">
        <v>21</v>
      </c>
      <c r="F296" s="41" t="s">
        <v>26</v>
      </c>
      <c r="G296" s="41" t="s">
        <v>17</v>
      </c>
      <c r="H296" s="41" t="s">
        <v>18</v>
      </c>
      <c r="I296" s="42">
        <v>45209.0</v>
      </c>
      <c r="J296" s="41">
        <v>104.0</v>
      </c>
      <c r="K296" s="43">
        <v>300.54</v>
      </c>
      <c r="L296" s="43">
        <v>241.65</v>
      </c>
      <c r="M296" s="43">
        <v>31256.160000000003</v>
      </c>
      <c r="N296" s="43">
        <v>25131.600000000002</v>
      </c>
      <c r="O296" s="43">
        <v>6124.560000000001</v>
      </c>
      <c r="P296" s="44">
        <v>0.1959472948692354</v>
      </c>
    </row>
    <row r="297" ht="14.25" hidden="1" customHeight="1">
      <c r="C297" s="41" t="s">
        <v>316</v>
      </c>
      <c r="D297" s="41" t="s">
        <v>14</v>
      </c>
      <c r="E297" s="41" t="s">
        <v>15</v>
      </c>
      <c r="F297" s="41" t="s">
        <v>39</v>
      </c>
      <c r="G297" s="41" t="s">
        <v>17</v>
      </c>
      <c r="H297" s="41" t="s">
        <v>18</v>
      </c>
      <c r="I297" s="42">
        <v>45210.0</v>
      </c>
      <c r="J297" s="41">
        <v>175.0</v>
      </c>
      <c r="K297" s="43">
        <v>339.54</v>
      </c>
      <c r="L297" s="43">
        <v>11.13</v>
      </c>
      <c r="M297" s="43">
        <v>59419.5</v>
      </c>
      <c r="N297" s="43">
        <v>1947.7500000000002</v>
      </c>
      <c r="O297" s="43">
        <v>57471.75</v>
      </c>
      <c r="P297" s="44">
        <v>0.9672203569535254</v>
      </c>
    </row>
    <row r="298" ht="14.25" customHeight="1">
      <c r="C298" s="41" t="s">
        <v>317</v>
      </c>
      <c r="D298" s="41" t="s">
        <v>52</v>
      </c>
      <c r="E298" s="41" t="s">
        <v>21</v>
      </c>
      <c r="F298" s="41" t="s">
        <v>16</v>
      </c>
      <c r="G298" s="41" t="s">
        <v>17</v>
      </c>
      <c r="H298" s="41" t="s">
        <v>23</v>
      </c>
      <c r="I298" s="42">
        <v>45211.0</v>
      </c>
      <c r="J298" s="41">
        <v>41.0</v>
      </c>
      <c r="K298" s="43">
        <v>224.14</v>
      </c>
      <c r="L298" s="43">
        <v>130.2</v>
      </c>
      <c r="M298" s="43">
        <v>9189.74</v>
      </c>
      <c r="N298" s="43">
        <v>5338.2</v>
      </c>
      <c r="O298" s="43">
        <v>3851.54</v>
      </c>
      <c r="P298" s="44">
        <v>0.41911305434103685</v>
      </c>
    </row>
    <row r="299" ht="14.25" customHeight="1">
      <c r="C299" s="41" t="s">
        <v>318</v>
      </c>
      <c r="D299" s="41" t="s">
        <v>14</v>
      </c>
      <c r="E299" s="41" t="s">
        <v>54</v>
      </c>
      <c r="F299" s="41" t="s">
        <v>22</v>
      </c>
      <c r="G299" s="41" t="s">
        <v>17</v>
      </c>
      <c r="H299" s="41" t="s">
        <v>31</v>
      </c>
      <c r="I299" s="42">
        <v>45212.0</v>
      </c>
      <c r="J299" s="41">
        <v>20.0</v>
      </c>
      <c r="K299" s="43">
        <v>225.67</v>
      </c>
      <c r="L299" s="43">
        <v>255.32</v>
      </c>
      <c r="M299" s="43">
        <v>4513.4</v>
      </c>
      <c r="N299" s="43">
        <v>5106.4</v>
      </c>
      <c r="O299" s="43">
        <v>-593.0</v>
      </c>
      <c r="P299" s="44">
        <v>-0.13138653786502416</v>
      </c>
    </row>
    <row r="300" ht="14.25" customHeight="1">
      <c r="C300" s="41" t="s">
        <v>319</v>
      </c>
      <c r="D300" s="41" t="s">
        <v>25</v>
      </c>
      <c r="E300" s="41" t="s">
        <v>34</v>
      </c>
      <c r="F300" s="41" t="s">
        <v>30</v>
      </c>
      <c r="G300" s="41" t="s">
        <v>27</v>
      </c>
      <c r="H300" s="41" t="s">
        <v>23</v>
      </c>
      <c r="I300" s="42">
        <v>45213.0</v>
      </c>
      <c r="J300" s="41">
        <v>310.0</v>
      </c>
      <c r="K300" s="43">
        <v>363.64</v>
      </c>
      <c r="L300" s="43">
        <v>61.3</v>
      </c>
      <c r="M300" s="43">
        <v>112728.4</v>
      </c>
      <c r="N300" s="43">
        <v>19003.0</v>
      </c>
      <c r="O300" s="43">
        <v>93725.4</v>
      </c>
      <c r="P300" s="44">
        <v>0.8314266857331427</v>
      </c>
    </row>
    <row r="301" ht="14.25" hidden="1" customHeight="1">
      <c r="C301" s="41" t="s">
        <v>320</v>
      </c>
      <c r="D301" s="41" t="s">
        <v>25</v>
      </c>
      <c r="E301" s="41" t="s">
        <v>34</v>
      </c>
      <c r="F301" s="41" t="s">
        <v>22</v>
      </c>
      <c r="G301" s="41" t="s">
        <v>27</v>
      </c>
      <c r="H301" s="41" t="s">
        <v>23</v>
      </c>
      <c r="I301" s="42">
        <v>45214.0</v>
      </c>
      <c r="J301" s="41">
        <v>226.0</v>
      </c>
      <c r="K301" s="43">
        <v>249.64520588235297</v>
      </c>
      <c r="L301" s="43">
        <v>278.78</v>
      </c>
      <c r="M301" s="43">
        <v>56419.81652941177</v>
      </c>
      <c r="N301" s="43">
        <v>63004.27999999999</v>
      </c>
      <c r="O301" s="43">
        <v>-6584.46347058822</v>
      </c>
      <c r="P301" s="44">
        <v>-0.11670480117842505</v>
      </c>
    </row>
    <row r="302" ht="14.25" hidden="1" customHeight="1">
      <c r="C302" s="41" t="s">
        <v>321</v>
      </c>
      <c r="D302" s="41" t="s">
        <v>25</v>
      </c>
      <c r="E302" s="41" t="s">
        <v>21</v>
      </c>
      <c r="F302" s="41" t="s">
        <v>22</v>
      </c>
      <c r="G302" s="41" t="s">
        <v>27</v>
      </c>
      <c r="H302" s="41" t="s">
        <v>31</v>
      </c>
      <c r="I302" s="42">
        <v>45215.0</v>
      </c>
      <c r="J302" s="41">
        <v>255.9029411764706</v>
      </c>
      <c r="K302" s="43">
        <v>173.84</v>
      </c>
      <c r="L302" s="43">
        <v>298.88</v>
      </c>
      <c r="M302" s="43">
        <v>44486.16729411765</v>
      </c>
      <c r="N302" s="43">
        <v>76484.27105882353</v>
      </c>
      <c r="O302" s="43">
        <v>-31998.103764705884</v>
      </c>
      <c r="P302" s="44">
        <v>-0.7192820984813622</v>
      </c>
    </row>
    <row r="303" ht="14.25" customHeight="1">
      <c r="C303" s="41" t="s">
        <v>322</v>
      </c>
      <c r="D303" s="41" t="s">
        <v>20</v>
      </c>
      <c r="E303" s="41" t="s">
        <v>15</v>
      </c>
      <c r="F303" s="41" t="s">
        <v>26</v>
      </c>
      <c r="G303" s="41" t="s">
        <v>17</v>
      </c>
      <c r="H303" s="41" t="s">
        <v>23</v>
      </c>
      <c r="I303" s="42">
        <v>45216.0</v>
      </c>
      <c r="J303" s="41">
        <v>111.0</v>
      </c>
      <c r="K303" s="43">
        <v>410.26</v>
      </c>
      <c r="L303" s="43">
        <v>392.82</v>
      </c>
      <c r="M303" s="43">
        <v>45538.86</v>
      </c>
      <c r="N303" s="43">
        <v>43603.02</v>
      </c>
      <c r="O303" s="43">
        <v>1935.8400000000038</v>
      </c>
      <c r="P303" s="44">
        <v>0.04250962804075473</v>
      </c>
    </row>
    <row r="304" ht="14.25" customHeight="1">
      <c r="C304" s="41" t="s">
        <v>323</v>
      </c>
      <c r="D304" s="41" t="s">
        <v>25</v>
      </c>
      <c r="E304" s="41" t="s">
        <v>15</v>
      </c>
      <c r="F304" s="41" t="s">
        <v>22</v>
      </c>
      <c r="G304" s="41" t="s">
        <v>27</v>
      </c>
      <c r="H304" s="41" t="s">
        <v>31</v>
      </c>
      <c r="I304" s="42">
        <v>45217.0</v>
      </c>
      <c r="J304" s="41">
        <v>434.0</v>
      </c>
      <c r="K304" s="43">
        <v>303.59</v>
      </c>
      <c r="L304" s="43">
        <v>85.52</v>
      </c>
      <c r="M304" s="43">
        <v>131758.06</v>
      </c>
      <c r="N304" s="43">
        <v>37115.68</v>
      </c>
      <c r="O304" s="43">
        <v>94642.38</v>
      </c>
      <c r="P304" s="44">
        <v>0.7183042919727264</v>
      </c>
    </row>
    <row r="305" ht="14.25" customHeight="1">
      <c r="C305" s="41" t="s">
        <v>324</v>
      </c>
      <c r="D305" s="41" t="s">
        <v>14</v>
      </c>
      <c r="E305" s="41" t="s">
        <v>54</v>
      </c>
      <c r="F305" s="41" t="s">
        <v>46</v>
      </c>
      <c r="G305" s="41" t="s">
        <v>27</v>
      </c>
      <c r="H305" s="41" t="s">
        <v>18</v>
      </c>
      <c r="I305" s="42">
        <v>45218.0</v>
      </c>
      <c r="J305" s="41">
        <v>401.0</v>
      </c>
      <c r="K305" s="43">
        <v>171.93</v>
      </c>
      <c r="L305" s="43">
        <v>330.4</v>
      </c>
      <c r="M305" s="43">
        <v>68943.93000000001</v>
      </c>
      <c r="N305" s="43">
        <v>132490.4</v>
      </c>
      <c r="O305" s="43">
        <v>-63546.46999999999</v>
      </c>
      <c r="P305" s="44">
        <v>-0.9217123247833418</v>
      </c>
    </row>
    <row r="306" ht="14.25" customHeight="1">
      <c r="C306" s="41" t="s">
        <v>325</v>
      </c>
      <c r="D306" s="41" t="s">
        <v>25</v>
      </c>
      <c r="E306" s="41" t="s">
        <v>21</v>
      </c>
      <c r="F306" s="41" t="s">
        <v>26</v>
      </c>
      <c r="G306" s="41" t="s">
        <v>27</v>
      </c>
      <c r="H306" s="41" t="s">
        <v>31</v>
      </c>
      <c r="I306" s="42">
        <v>45219.0</v>
      </c>
      <c r="J306" s="41">
        <v>276.0</v>
      </c>
      <c r="K306" s="43">
        <v>453.23</v>
      </c>
      <c r="L306" s="43">
        <v>209.08</v>
      </c>
      <c r="M306" s="43">
        <v>125091.48000000001</v>
      </c>
      <c r="N306" s="43">
        <v>57706.08</v>
      </c>
      <c r="O306" s="43">
        <v>67385.40000000001</v>
      </c>
      <c r="P306" s="44">
        <v>0.5386889658672197</v>
      </c>
    </row>
    <row r="307" ht="14.25" hidden="1" customHeight="1">
      <c r="C307" s="41" t="s">
        <v>326</v>
      </c>
      <c r="D307" s="41" t="s">
        <v>52</v>
      </c>
      <c r="E307" s="41" t="s">
        <v>34</v>
      </c>
      <c r="F307" s="41" t="s">
        <v>46</v>
      </c>
      <c r="G307" s="41" t="s">
        <v>17</v>
      </c>
      <c r="H307" s="41" t="s">
        <v>18</v>
      </c>
      <c r="I307" s="42">
        <v>45220.0</v>
      </c>
      <c r="J307" s="41">
        <v>255.9029411764706</v>
      </c>
      <c r="K307" s="43">
        <v>387.45</v>
      </c>
      <c r="L307" s="43">
        <v>150.64</v>
      </c>
      <c r="M307" s="43">
        <v>99149.59455882353</v>
      </c>
      <c r="N307" s="43">
        <v>38549.219058823524</v>
      </c>
      <c r="O307" s="43">
        <v>60600.37550000001</v>
      </c>
      <c r="P307" s="44">
        <v>0.6112014453477869</v>
      </c>
    </row>
    <row r="308" ht="14.25" customHeight="1">
      <c r="C308" s="41" t="s">
        <v>327</v>
      </c>
      <c r="D308" s="41" t="s">
        <v>52</v>
      </c>
      <c r="E308" s="41" t="s">
        <v>15</v>
      </c>
      <c r="F308" s="41" t="s">
        <v>30</v>
      </c>
      <c r="G308" s="41" t="s">
        <v>17</v>
      </c>
      <c r="H308" s="41" t="s">
        <v>23</v>
      </c>
      <c r="I308" s="42">
        <v>45221.0</v>
      </c>
      <c r="J308" s="41">
        <v>188.0</v>
      </c>
      <c r="K308" s="43">
        <v>136.12</v>
      </c>
      <c r="L308" s="43">
        <v>50.71</v>
      </c>
      <c r="M308" s="43">
        <v>25590.56</v>
      </c>
      <c r="N308" s="43">
        <v>9533.48</v>
      </c>
      <c r="O308" s="43">
        <v>16057.080000000002</v>
      </c>
      <c r="P308" s="44">
        <v>0.6274610637672642</v>
      </c>
    </row>
    <row r="309" ht="14.25" customHeight="1">
      <c r="C309" s="41" t="s">
        <v>328</v>
      </c>
      <c r="D309" s="41" t="s">
        <v>20</v>
      </c>
      <c r="E309" s="41" t="s">
        <v>21</v>
      </c>
      <c r="F309" s="41" t="s">
        <v>26</v>
      </c>
      <c r="G309" s="41" t="s">
        <v>17</v>
      </c>
      <c r="H309" s="41" t="s">
        <v>23</v>
      </c>
      <c r="I309" s="42">
        <v>45222.0</v>
      </c>
      <c r="J309" s="41">
        <v>97.0</v>
      </c>
      <c r="K309" s="43">
        <v>324.42</v>
      </c>
      <c r="L309" s="43">
        <v>294.73</v>
      </c>
      <c r="M309" s="43">
        <v>31468.74</v>
      </c>
      <c r="N309" s="43">
        <v>28588.81</v>
      </c>
      <c r="O309" s="43">
        <v>2879.9300000000003</v>
      </c>
      <c r="P309" s="44">
        <v>0.09151716910178165</v>
      </c>
    </row>
    <row r="310" ht="14.25" customHeight="1">
      <c r="C310" s="41" t="s">
        <v>329</v>
      </c>
      <c r="D310" s="41" t="s">
        <v>52</v>
      </c>
      <c r="E310" s="41" t="s">
        <v>15</v>
      </c>
      <c r="F310" s="41" t="s">
        <v>30</v>
      </c>
      <c r="G310" s="41" t="s">
        <v>27</v>
      </c>
      <c r="H310" s="41" t="s">
        <v>18</v>
      </c>
      <c r="I310" s="42">
        <v>45223.0</v>
      </c>
      <c r="J310" s="41">
        <v>50.0</v>
      </c>
      <c r="K310" s="43">
        <v>299.9</v>
      </c>
      <c r="L310" s="43">
        <v>95.87</v>
      </c>
      <c r="M310" s="43">
        <v>14994.999999999998</v>
      </c>
      <c r="N310" s="43">
        <v>4793.5</v>
      </c>
      <c r="O310" s="43">
        <v>10201.499999999998</v>
      </c>
      <c r="P310" s="44">
        <v>0.6803267755918639</v>
      </c>
    </row>
    <row r="311" ht="14.25" customHeight="1">
      <c r="C311" s="41" t="s">
        <v>330</v>
      </c>
      <c r="D311" s="41" t="s">
        <v>14</v>
      </c>
      <c r="E311" s="41" t="s">
        <v>15</v>
      </c>
      <c r="F311" s="41" t="s">
        <v>26</v>
      </c>
      <c r="G311" s="41" t="s">
        <v>27</v>
      </c>
      <c r="H311" s="41" t="s">
        <v>23</v>
      </c>
      <c r="I311" s="42">
        <v>45224.0</v>
      </c>
      <c r="J311" s="41">
        <v>410.0</v>
      </c>
      <c r="K311" s="43">
        <v>203.59</v>
      </c>
      <c r="L311" s="43">
        <v>149.83</v>
      </c>
      <c r="M311" s="43">
        <v>83471.9</v>
      </c>
      <c r="N311" s="43">
        <v>61430.3</v>
      </c>
      <c r="O311" s="43">
        <v>22041.59999999999</v>
      </c>
      <c r="P311" s="44">
        <v>0.264060120831082</v>
      </c>
    </row>
    <row r="312" ht="14.25" customHeight="1">
      <c r="C312" s="41" t="s">
        <v>331</v>
      </c>
      <c r="D312" s="41" t="s">
        <v>25</v>
      </c>
      <c r="E312" s="41" t="s">
        <v>34</v>
      </c>
      <c r="F312" s="41" t="s">
        <v>16</v>
      </c>
      <c r="G312" s="41" t="s">
        <v>27</v>
      </c>
      <c r="H312" s="41" t="s">
        <v>31</v>
      </c>
      <c r="I312" s="42">
        <v>45225.0</v>
      </c>
      <c r="J312" s="41">
        <v>85.0</v>
      </c>
      <c r="K312" s="43">
        <v>186.64</v>
      </c>
      <c r="L312" s="43">
        <v>26.89</v>
      </c>
      <c r="M312" s="43">
        <v>15864.4</v>
      </c>
      <c r="N312" s="43">
        <v>2285.65</v>
      </c>
      <c r="O312" s="43">
        <v>13578.75</v>
      </c>
      <c r="P312" s="44">
        <v>0.8559258465495071</v>
      </c>
    </row>
    <row r="313" ht="14.25" customHeight="1">
      <c r="C313" s="41" t="s">
        <v>332</v>
      </c>
      <c r="D313" s="41" t="s">
        <v>20</v>
      </c>
      <c r="E313" s="41" t="s">
        <v>29</v>
      </c>
      <c r="F313" s="41" t="s">
        <v>22</v>
      </c>
      <c r="G313" s="41" t="s">
        <v>17</v>
      </c>
      <c r="H313" s="41" t="s">
        <v>18</v>
      </c>
      <c r="I313" s="42">
        <v>45226.0</v>
      </c>
      <c r="J313" s="41">
        <v>386.0</v>
      </c>
      <c r="K313" s="43">
        <v>175.06</v>
      </c>
      <c r="L313" s="43">
        <v>320.94</v>
      </c>
      <c r="M313" s="43">
        <v>67573.16</v>
      </c>
      <c r="N313" s="43">
        <v>123882.84</v>
      </c>
      <c r="O313" s="43">
        <v>-56309.67999999999</v>
      </c>
      <c r="P313" s="44">
        <v>-0.8333142922426595</v>
      </c>
    </row>
    <row r="314" ht="14.25" customHeight="1">
      <c r="C314" s="41" t="s">
        <v>333</v>
      </c>
      <c r="D314" s="41" t="s">
        <v>25</v>
      </c>
      <c r="E314" s="41" t="s">
        <v>54</v>
      </c>
      <c r="F314" s="41" t="s">
        <v>16</v>
      </c>
      <c r="G314" s="41" t="s">
        <v>17</v>
      </c>
      <c r="H314" s="41" t="s">
        <v>23</v>
      </c>
      <c r="I314" s="42">
        <v>45227.0</v>
      </c>
      <c r="J314" s="41">
        <v>55.0</v>
      </c>
      <c r="K314" s="43">
        <v>310.49</v>
      </c>
      <c r="L314" s="43">
        <v>307.1</v>
      </c>
      <c r="M314" s="43">
        <v>17076.95</v>
      </c>
      <c r="N314" s="43">
        <v>16890.5</v>
      </c>
      <c r="O314" s="43">
        <v>186.45000000000073</v>
      </c>
      <c r="P314" s="44">
        <v>0.010918226029823869</v>
      </c>
    </row>
    <row r="315" ht="14.25" customHeight="1">
      <c r="C315" s="41" t="s">
        <v>334</v>
      </c>
      <c r="D315" s="41" t="s">
        <v>25</v>
      </c>
      <c r="E315" s="41" t="s">
        <v>54</v>
      </c>
      <c r="F315" s="41" t="s">
        <v>30</v>
      </c>
      <c r="G315" s="41" t="s">
        <v>27</v>
      </c>
      <c r="H315" s="41" t="s">
        <v>18</v>
      </c>
      <c r="I315" s="42">
        <v>45228.0</v>
      </c>
      <c r="J315" s="41">
        <v>169.0</v>
      </c>
      <c r="K315" s="43">
        <v>223.99</v>
      </c>
      <c r="L315" s="43">
        <v>293.98</v>
      </c>
      <c r="M315" s="43">
        <v>37854.310000000005</v>
      </c>
      <c r="N315" s="43">
        <v>49682.62</v>
      </c>
      <c r="O315" s="43">
        <v>-11828.309999999998</v>
      </c>
      <c r="P315" s="44">
        <v>-0.312469306665476</v>
      </c>
    </row>
    <row r="316" ht="14.25" customHeight="1">
      <c r="C316" s="41" t="s">
        <v>335</v>
      </c>
      <c r="D316" s="41" t="s">
        <v>14</v>
      </c>
      <c r="E316" s="41" t="s">
        <v>34</v>
      </c>
      <c r="F316" s="41" t="s">
        <v>22</v>
      </c>
      <c r="G316" s="41" t="s">
        <v>17</v>
      </c>
      <c r="H316" s="41" t="s">
        <v>31</v>
      </c>
      <c r="I316" s="42">
        <v>45229.0</v>
      </c>
      <c r="J316" s="41">
        <v>472.0</v>
      </c>
      <c r="K316" s="43">
        <v>416.77</v>
      </c>
      <c r="L316" s="43">
        <v>121.18</v>
      </c>
      <c r="M316" s="43">
        <v>196715.44</v>
      </c>
      <c r="N316" s="43">
        <v>57196.96000000001</v>
      </c>
      <c r="O316" s="43">
        <v>139518.47999999998</v>
      </c>
      <c r="P316" s="44">
        <v>0.7092401084531035</v>
      </c>
    </row>
    <row r="317" ht="14.25" customHeight="1">
      <c r="C317" s="41" t="s">
        <v>336</v>
      </c>
      <c r="D317" s="41" t="s">
        <v>52</v>
      </c>
      <c r="E317" s="41" t="s">
        <v>15</v>
      </c>
      <c r="F317" s="41" t="s">
        <v>26</v>
      </c>
      <c r="G317" s="41" t="s">
        <v>17</v>
      </c>
      <c r="H317" s="41" t="s">
        <v>31</v>
      </c>
      <c r="I317" s="42">
        <v>45230.0</v>
      </c>
      <c r="J317" s="41">
        <v>89.0</v>
      </c>
      <c r="K317" s="43">
        <v>336.45</v>
      </c>
      <c r="L317" s="43">
        <v>71.05</v>
      </c>
      <c r="M317" s="43">
        <v>29944.05</v>
      </c>
      <c r="N317" s="43">
        <v>6323.45</v>
      </c>
      <c r="O317" s="43">
        <v>23620.6</v>
      </c>
      <c r="P317" s="44">
        <v>0.7888244910090653</v>
      </c>
    </row>
    <row r="318" ht="14.25" customHeight="1">
      <c r="C318" s="41" t="s">
        <v>337</v>
      </c>
      <c r="D318" s="41" t="s">
        <v>52</v>
      </c>
      <c r="E318" s="41" t="s">
        <v>21</v>
      </c>
      <c r="F318" s="41" t="s">
        <v>22</v>
      </c>
      <c r="G318" s="41" t="s">
        <v>17</v>
      </c>
      <c r="H318" s="41" t="s">
        <v>23</v>
      </c>
      <c r="I318" s="42">
        <v>45231.0</v>
      </c>
      <c r="J318" s="41">
        <v>319.0</v>
      </c>
      <c r="K318" s="43">
        <v>39.62</v>
      </c>
      <c r="L318" s="43">
        <v>255.75</v>
      </c>
      <c r="M318" s="43">
        <v>12638.779999999999</v>
      </c>
      <c r="N318" s="43">
        <v>81584.25</v>
      </c>
      <c r="O318" s="43">
        <v>-68945.47</v>
      </c>
      <c r="P318" s="44">
        <v>-5.455073195355881</v>
      </c>
    </row>
    <row r="319" ht="14.25" hidden="1" customHeight="1">
      <c r="C319" s="41" t="s">
        <v>338</v>
      </c>
      <c r="D319" s="41" t="s">
        <v>25</v>
      </c>
      <c r="E319" s="41" t="s">
        <v>15</v>
      </c>
      <c r="F319" s="41" t="s">
        <v>39</v>
      </c>
      <c r="G319" s="41" t="s">
        <v>17</v>
      </c>
      <c r="H319" s="41" t="s">
        <v>31</v>
      </c>
      <c r="I319" s="42">
        <v>45232.0</v>
      </c>
      <c r="J319" s="41">
        <v>95.0</v>
      </c>
      <c r="K319" s="43">
        <v>321.88</v>
      </c>
      <c r="L319" s="43">
        <v>199.47</v>
      </c>
      <c r="M319" s="43">
        <v>30578.6</v>
      </c>
      <c r="N319" s="43">
        <v>18949.65</v>
      </c>
      <c r="O319" s="43">
        <v>11628.949999999997</v>
      </c>
      <c r="P319" s="44">
        <v>0.3802970050950664</v>
      </c>
    </row>
    <row r="320" ht="14.25" hidden="1" customHeight="1">
      <c r="C320" s="41" t="s">
        <v>339</v>
      </c>
      <c r="D320" s="41" t="s">
        <v>20</v>
      </c>
      <c r="E320" s="41" t="s">
        <v>34</v>
      </c>
      <c r="F320" s="41" t="s">
        <v>39</v>
      </c>
      <c r="G320" s="41" t="s">
        <v>27</v>
      </c>
      <c r="H320" s="41" t="s">
        <v>18</v>
      </c>
      <c r="I320" s="42">
        <v>45233.0</v>
      </c>
      <c r="J320" s="41">
        <v>101.0</v>
      </c>
      <c r="K320" s="43">
        <v>139.22</v>
      </c>
      <c r="L320" s="43">
        <v>72.94</v>
      </c>
      <c r="M320" s="43">
        <v>14061.22</v>
      </c>
      <c r="N320" s="43">
        <v>7366.94</v>
      </c>
      <c r="O320" s="43">
        <v>6694.28</v>
      </c>
      <c r="P320" s="44">
        <v>0.47608102284154574</v>
      </c>
    </row>
    <row r="321" ht="14.25" hidden="1" customHeight="1">
      <c r="C321" s="41" t="s">
        <v>340</v>
      </c>
      <c r="D321" s="41" t="s">
        <v>52</v>
      </c>
      <c r="E321" s="41" t="s">
        <v>54</v>
      </c>
      <c r="F321" s="41" t="s">
        <v>39</v>
      </c>
      <c r="G321" s="41" t="s">
        <v>17</v>
      </c>
      <c r="H321" s="41" t="s">
        <v>31</v>
      </c>
      <c r="I321" s="42">
        <v>45234.0</v>
      </c>
      <c r="J321" s="41">
        <v>157.0</v>
      </c>
      <c r="K321" s="43">
        <v>249.64520588235297</v>
      </c>
      <c r="L321" s="43">
        <v>274.99</v>
      </c>
      <c r="M321" s="43">
        <v>39194.29732352942</v>
      </c>
      <c r="N321" s="43">
        <v>43173.43</v>
      </c>
      <c r="O321" s="43">
        <v>-3979.132676470581</v>
      </c>
      <c r="P321" s="44">
        <v>-0.10152325588655975</v>
      </c>
    </row>
    <row r="322" ht="14.25" customHeight="1">
      <c r="C322" s="41" t="s">
        <v>341</v>
      </c>
      <c r="D322" s="41" t="s">
        <v>20</v>
      </c>
      <c r="E322" s="41" t="s">
        <v>15</v>
      </c>
      <c r="F322" s="41" t="s">
        <v>22</v>
      </c>
      <c r="G322" s="41" t="s">
        <v>17</v>
      </c>
      <c r="H322" s="41" t="s">
        <v>18</v>
      </c>
      <c r="I322" s="42">
        <v>45235.0</v>
      </c>
      <c r="J322" s="41">
        <v>170.0</v>
      </c>
      <c r="K322" s="43">
        <v>341.67</v>
      </c>
      <c r="L322" s="43">
        <v>396.47</v>
      </c>
      <c r="M322" s="43">
        <v>58083.9</v>
      </c>
      <c r="N322" s="43">
        <v>67399.90000000001</v>
      </c>
      <c r="O322" s="43">
        <v>-9316.000000000007</v>
      </c>
      <c r="P322" s="44">
        <v>-0.16038867913483784</v>
      </c>
    </row>
    <row r="323" ht="14.25" customHeight="1">
      <c r="C323" s="41" t="s">
        <v>342</v>
      </c>
      <c r="D323" s="41" t="s">
        <v>52</v>
      </c>
      <c r="E323" s="41" t="s">
        <v>54</v>
      </c>
      <c r="F323" s="41" t="s">
        <v>46</v>
      </c>
      <c r="G323" s="41" t="s">
        <v>17</v>
      </c>
      <c r="H323" s="41" t="s">
        <v>18</v>
      </c>
      <c r="I323" s="42">
        <v>45236.0</v>
      </c>
      <c r="J323" s="41">
        <v>211.0</v>
      </c>
      <c r="K323" s="43">
        <v>119.26</v>
      </c>
      <c r="L323" s="43">
        <v>299.39</v>
      </c>
      <c r="M323" s="43">
        <v>25163.86</v>
      </c>
      <c r="N323" s="43">
        <v>63171.28999999999</v>
      </c>
      <c r="O323" s="43">
        <v>-38007.42999999999</v>
      </c>
      <c r="P323" s="44">
        <v>-1.5103974509475093</v>
      </c>
    </row>
    <row r="324" ht="14.25" customHeight="1">
      <c r="C324" s="41" t="s">
        <v>343</v>
      </c>
      <c r="D324" s="41" t="s">
        <v>20</v>
      </c>
      <c r="E324" s="41" t="s">
        <v>21</v>
      </c>
      <c r="F324" s="41" t="s">
        <v>30</v>
      </c>
      <c r="G324" s="41" t="s">
        <v>17</v>
      </c>
      <c r="H324" s="41" t="s">
        <v>31</v>
      </c>
      <c r="I324" s="42">
        <v>45237.0</v>
      </c>
      <c r="J324" s="41">
        <v>433.0</v>
      </c>
      <c r="K324" s="43">
        <v>231.15</v>
      </c>
      <c r="L324" s="43">
        <v>296.51</v>
      </c>
      <c r="M324" s="43">
        <v>100087.95</v>
      </c>
      <c r="N324" s="43">
        <v>128388.83</v>
      </c>
      <c r="O324" s="43">
        <v>-28300.880000000005</v>
      </c>
      <c r="P324" s="44">
        <v>-0.28276011248107297</v>
      </c>
    </row>
    <row r="325" ht="14.25" customHeight="1">
      <c r="C325" s="41" t="s">
        <v>344</v>
      </c>
      <c r="D325" s="41" t="s">
        <v>14</v>
      </c>
      <c r="E325" s="41" t="s">
        <v>54</v>
      </c>
      <c r="F325" s="41" t="s">
        <v>16</v>
      </c>
      <c r="G325" s="41" t="s">
        <v>27</v>
      </c>
      <c r="H325" s="41" t="s">
        <v>23</v>
      </c>
      <c r="I325" s="42">
        <v>45238.0</v>
      </c>
      <c r="J325" s="41">
        <v>425.0</v>
      </c>
      <c r="K325" s="43">
        <v>99.21</v>
      </c>
      <c r="L325" s="43">
        <v>380.22</v>
      </c>
      <c r="M325" s="43">
        <v>42164.25</v>
      </c>
      <c r="N325" s="43">
        <v>161593.5</v>
      </c>
      <c r="O325" s="43">
        <v>-119429.25</v>
      </c>
      <c r="P325" s="44">
        <v>-2.832476564862413</v>
      </c>
    </row>
    <row r="326" ht="14.25" customHeight="1">
      <c r="C326" s="41" t="s">
        <v>345</v>
      </c>
      <c r="D326" s="41" t="s">
        <v>20</v>
      </c>
      <c r="E326" s="41" t="s">
        <v>54</v>
      </c>
      <c r="F326" s="41" t="s">
        <v>26</v>
      </c>
      <c r="G326" s="41" t="s">
        <v>27</v>
      </c>
      <c r="H326" s="41" t="s">
        <v>31</v>
      </c>
      <c r="I326" s="42">
        <v>45239.0</v>
      </c>
      <c r="J326" s="41">
        <v>251.0</v>
      </c>
      <c r="K326" s="43">
        <v>30.91</v>
      </c>
      <c r="L326" s="43">
        <v>82.77</v>
      </c>
      <c r="M326" s="43">
        <v>7758.41</v>
      </c>
      <c r="N326" s="43">
        <v>20775.27</v>
      </c>
      <c r="O326" s="43">
        <v>-13016.86</v>
      </c>
      <c r="P326" s="44">
        <v>-1.6777741831122615</v>
      </c>
    </row>
    <row r="327" ht="14.25" hidden="1" customHeight="1">
      <c r="C327" s="41" t="s">
        <v>346</v>
      </c>
      <c r="D327" s="41" t="s">
        <v>14</v>
      </c>
      <c r="E327" s="41" t="s">
        <v>29</v>
      </c>
      <c r="F327" s="41" t="s">
        <v>22</v>
      </c>
      <c r="G327" s="41" t="s">
        <v>17</v>
      </c>
      <c r="H327" s="41" t="s">
        <v>18</v>
      </c>
      <c r="I327" s="42">
        <v>45240.0</v>
      </c>
      <c r="J327" s="41">
        <v>255.9029411764706</v>
      </c>
      <c r="K327" s="43">
        <v>192.35</v>
      </c>
      <c r="L327" s="43">
        <v>227.09</v>
      </c>
      <c r="M327" s="43">
        <v>49222.93073529412</v>
      </c>
      <c r="N327" s="43">
        <v>58112.998911764706</v>
      </c>
      <c r="O327" s="43">
        <v>-8890.068176470588</v>
      </c>
      <c r="P327" s="44">
        <v>-0.18060826618144007</v>
      </c>
    </row>
    <row r="328" ht="14.25" customHeight="1">
      <c r="C328" s="41" t="s">
        <v>347</v>
      </c>
      <c r="D328" s="41" t="s">
        <v>14</v>
      </c>
      <c r="E328" s="41" t="s">
        <v>29</v>
      </c>
      <c r="F328" s="41" t="s">
        <v>16</v>
      </c>
      <c r="G328" s="41" t="s">
        <v>17</v>
      </c>
      <c r="H328" s="41" t="s">
        <v>18</v>
      </c>
      <c r="I328" s="42">
        <v>45241.0</v>
      </c>
      <c r="J328" s="41">
        <v>11.0</v>
      </c>
      <c r="K328" s="43">
        <v>184.66</v>
      </c>
      <c r="L328" s="43">
        <v>391.9</v>
      </c>
      <c r="M328" s="43">
        <v>2031.26</v>
      </c>
      <c r="N328" s="43">
        <v>4310.9</v>
      </c>
      <c r="O328" s="43">
        <v>-2279.6399999999994</v>
      </c>
      <c r="P328" s="44">
        <v>-1.1222787826275313</v>
      </c>
    </row>
    <row r="329" ht="14.25" customHeight="1">
      <c r="C329" s="41" t="s">
        <v>348</v>
      </c>
      <c r="D329" s="41" t="s">
        <v>20</v>
      </c>
      <c r="E329" s="41" t="s">
        <v>29</v>
      </c>
      <c r="F329" s="41" t="s">
        <v>26</v>
      </c>
      <c r="G329" s="41" t="s">
        <v>17</v>
      </c>
      <c r="H329" s="41" t="s">
        <v>31</v>
      </c>
      <c r="I329" s="42">
        <v>45242.0</v>
      </c>
      <c r="J329" s="41">
        <v>234.0</v>
      </c>
      <c r="K329" s="43">
        <v>497.76</v>
      </c>
      <c r="L329" s="43">
        <v>67.79</v>
      </c>
      <c r="M329" s="43">
        <v>116475.84</v>
      </c>
      <c r="N329" s="43">
        <v>15862.86</v>
      </c>
      <c r="O329" s="43">
        <v>100612.98</v>
      </c>
      <c r="P329" s="44">
        <v>0.863809868209579</v>
      </c>
    </row>
    <row r="330" ht="14.25" hidden="1" customHeight="1">
      <c r="C330" s="41" t="s">
        <v>349</v>
      </c>
      <c r="D330" s="41" t="s">
        <v>14</v>
      </c>
      <c r="E330" s="41" t="s">
        <v>54</v>
      </c>
      <c r="F330" s="41" t="s">
        <v>26</v>
      </c>
      <c r="G330" s="41" t="s">
        <v>17</v>
      </c>
      <c r="H330" s="41" t="s">
        <v>23</v>
      </c>
      <c r="I330" s="42">
        <v>45243.0</v>
      </c>
      <c r="J330" s="41">
        <v>255.9029411764706</v>
      </c>
      <c r="K330" s="43">
        <v>225.94</v>
      </c>
      <c r="L330" s="43">
        <v>280.7</v>
      </c>
      <c r="M330" s="43">
        <v>57818.710529411765</v>
      </c>
      <c r="N330" s="43">
        <v>71831.95558823529</v>
      </c>
      <c r="O330" s="43">
        <v>-14013.245058823522</v>
      </c>
      <c r="P330" s="44">
        <v>-0.24236522970700175</v>
      </c>
    </row>
    <row r="331" ht="14.25" customHeight="1">
      <c r="C331" s="41" t="s">
        <v>350</v>
      </c>
      <c r="D331" s="41" t="s">
        <v>25</v>
      </c>
      <c r="E331" s="41" t="s">
        <v>34</v>
      </c>
      <c r="F331" s="41" t="s">
        <v>46</v>
      </c>
      <c r="G331" s="41" t="s">
        <v>17</v>
      </c>
      <c r="H331" s="41" t="s">
        <v>23</v>
      </c>
      <c r="I331" s="42">
        <v>45244.0</v>
      </c>
      <c r="J331" s="41">
        <v>242.0</v>
      </c>
      <c r="K331" s="43">
        <v>170.12</v>
      </c>
      <c r="L331" s="43">
        <v>235.15</v>
      </c>
      <c r="M331" s="43">
        <v>41169.04</v>
      </c>
      <c r="N331" s="43">
        <v>56906.3</v>
      </c>
      <c r="O331" s="43">
        <v>-15737.260000000002</v>
      </c>
      <c r="P331" s="44">
        <v>-0.38225958147190225</v>
      </c>
    </row>
    <row r="332" ht="14.25" customHeight="1">
      <c r="C332" s="41" t="s">
        <v>351</v>
      </c>
      <c r="D332" s="41" t="s">
        <v>14</v>
      </c>
      <c r="E332" s="41" t="s">
        <v>54</v>
      </c>
      <c r="F332" s="41" t="s">
        <v>30</v>
      </c>
      <c r="G332" s="41" t="s">
        <v>17</v>
      </c>
      <c r="H332" s="41" t="s">
        <v>18</v>
      </c>
      <c r="I332" s="42">
        <v>45245.0</v>
      </c>
      <c r="J332" s="41">
        <v>470.0</v>
      </c>
      <c r="K332" s="43">
        <v>292.34</v>
      </c>
      <c r="L332" s="43">
        <v>235.42</v>
      </c>
      <c r="M332" s="43">
        <v>137399.8</v>
      </c>
      <c r="N332" s="43">
        <v>110647.4</v>
      </c>
      <c r="O332" s="43">
        <v>26752.399999999994</v>
      </c>
      <c r="P332" s="44">
        <v>0.1947047957857289</v>
      </c>
    </row>
    <row r="333" ht="14.25" customHeight="1">
      <c r="C333" s="41" t="s">
        <v>352</v>
      </c>
      <c r="D333" s="41" t="s">
        <v>52</v>
      </c>
      <c r="E333" s="41" t="s">
        <v>34</v>
      </c>
      <c r="F333" s="41" t="s">
        <v>30</v>
      </c>
      <c r="G333" s="41" t="s">
        <v>27</v>
      </c>
      <c r="H333" s="41" t="s">
        <v>18</v>
      </c>
      <c r="I333" s="42">
        <v>45246.0</v>
      </c>
      <c r="J333" s="41">
        <v>423.0</v>
      </c>
      <c r="K333" s="43">
        <v>48.94</v>
      </c>
      <c r="L333" s="43">
        <v>279.67</v>
      </c>
      <c r="M333" s="43">
        <v>20701.62</v>
      </c>
      <c r="N333" s="43">
        <v>118300.41</v>
      </c>
      <c r="O333" s="43">
        <v>-97598.79000000001</v>
      </c>
      <c r="P333" s="44">
        <v>-4.714548426644872</v>
      </c>
    </row>
    <row r="334" ht="14.25" customHeight="1">
      <c r="C334" s="41" t="s">
        <v>353</v>
      </c>
      <c r="D334" s="41" t="s">
        <v>20</v>
      </c>
      <c r="E334" s="41" t="s">
        <v>34</v>
      </c>
      <c r="F334" s="41" t="s">
        <v>16</v>
      </c>
      <c r="G334" s="41" t="s">
        <v>17</v>
      </c>
      <c r="H334" s="41" t="s">
        <v>23</v>
      </c>
      <c r="I334" s="42">
        <v>45247.0</v>
      </c>
      <c r="J334" s="41">
        <v>426.0</v>
      </c>
      <c r="K334" s="43">
        <v>481.02</v>
      </c>
      <c r="L334" s="43">
        <v>371.99</v>
      </c>
      <c r="M334" s="43">
        <v>204914.52</v>
      </c>
      <c r="N334" s="43">
        <v>158467.74</v>
      </c>
      <c r="O334" s="43">
        <v>46446.78</v>
      </c>
      <c r="P334" s="44">
        <v>0.22666417196790156</v>
      </c>
    </row>
    <row r="335" ht="14.25" customHeight="1">
      <c r="C335" s="41" t="s">
        <v>354</v>
      </c>
      <c r="D335" s="41" t="s">
        <v>25</v>
      </c>
      <c r="E335" s="41" t="s">
        <v>29</v>
      </c>
      <c r="F335" s="41" t="s">
        <v>30</v>
      </c>
      <c r="G335" s="41" t="s">
        <v>27</v>
      </c>
      <c r="H335" s="41" t="s">
        <v>31</v>
      </c>
      <c r="I335" s="42">
        <v>45248.0</v>
      </c>
      <c r="J335" s="41">
        <v>86.0</v>
      </c>
      <c r="K335" s="43">
        <v>319.31</v>
      </c>
      <c r="L335" s="43">
        <v>313.47</v>
      </c>
      <c r="M335" s="43">
        <v>27460.66</v>
      </c>
      <c r="N335" s="43">
        <v>26958.420000000002</v>
      </c>
      <c r="O335" s="43">
        <v>502.23999999999796</v>
      </c>
      <c r="P335" s="44">
        <v>0.01828943659766364</v>
      </c>
    </row>
    <row r="336" ht="14.25" customHeight="1">
      <c r="C336" s="41" t="s">
        <v>355</v>
      </c>
      <c r="D336" s="41" t="s">
        <v>20</v>
      </c>
      <c r="E336" s="41" t="s">
        <v>15</v>
      </c>
      <c r="F336" s="41" t="s">
        <v>22</v>
      </c>
      <c r="G336" s="41" t="s">
        <v>27</v>
      </c>
      <c r="H336" s="41" t="s">
        <v>18</v>
      </c>
      <c r="I336" s="42">
        <v>45249.0</v>
      </c>
      <c r="J336" s="41">
        <v>125.0</v>
      </c>
      <c r="K336" s="43">
        <v>378.64</v>
      </c>
      <c r="L336" s="43">
        <v>24.34</v>
      </c>
      <c r="M336" s="43">
        <v>47330.0</v>
      </c>
      <c r="N336" s="43">
        <v>3042.5</v>
      </c>
      <c r="O336" s="43">
        <v>44287.5</v>
      </c>
      <c r="P336" s="44">
        <v>0.9357173040354955</v>
      </c>
    </row>
    <row r="337" ht="14.25" hidden="1" customHeight="1">
      <c r="C337" s="41" t="s">
        <v>356</v>
      </c>
      <c r="D337" s="41" t="s">
        <v>52</v>
      </c>
      <c r="E337" s="41" t="s">
        <v>21</v>
      </c>
      <c r="F337" s="41" t="s">
        <v>39</v>
      </c>
      <c r="G337" s="41" t="s">
        <v>17</v>
      </c>
      <c r="H337" s="41" t="s">
        <v>18</v>
      </c>
      <c r="I337" s="42">
        <v>45250.0</v>
      </c>
      <c r="J337" s="41">
        <v>163.0</v>
      </c>
      <c r="K337" s="43">
        <v>89.39</v>
      </c>
      <c r="L337" s="43">
        <v>341.39</v>
      </c>
      <c r="M337" s="43">
        <v>14570.57</v>
      </c>
      <c r="N337" s="43">
        <v>55646.57</v>
      </c>
      <c r="O337" s="43">
        <v>-41076.0</v>
      </c>
      <c r="P337" s="44">
        <v>-2.8191072826938135</v>
      </c>
    </row>
    <row r="338" ht="14.25" customHeight="1">
      <c r="C338" s="41" t="s">
        <v>357</v>
      </c>
      <c r="D338" s="41" t="s">
        <v>52</v>
      </c>
      <c r="E338" s="41" t="s">
        <v>29</v>
      </c>
      <c r="F338" s="41" t="s">
        <v>16</v>
      </c>
      <c r="G338" s="41" t="s">
        <v>27</v>
      </c>
      <c r="H338" s="41" t="s">
        <v>23</v>
      </c>
      <c r="I338" s="42">
        <v>45251.0</v>
      </c>
      <c r="J338" s="41">
        <v>415.0</v>
      </c>
      <c r="K338" s="43">
        <v>207.69</v>
      </c>
      <c r="L338" s="43">
        <v>91.77</v>
      </c>
      <c r="M338" s="43">
        <v>86191.35</v>
      </c>
      <c r="N338" s="43">
        <v>38084.549999999996</v>
      </c>
      <c r="O338" s="43">
        <v>48106.80000000001</v>
      </c>
      <c r="P338" s="44">
        <v>0.558139534883721</v>
      </c>
    </row>
    <row r="339" ht="14.25" customHeight="1">
      <c r="C339" s="41" t="s">
        <v>358</v>
      </c>
      <c r="D339" s="41" t="s">
        <v>52</v>
      </c>
      <c r="E339" s="41" t="s">
        <v>29</v>
      </c>
      <c r="F339" s="41" t="s">
        <v>30</v>
      </c>
      <c r="G339" s="41" t="s">
        <v>27</v>
      </c>
      <c r="H339" s="41" t="s">
        <v>31</v>
      </c>
      <c r="I339" s="42">
        <v>45252.0</v>
      </c>
      <c r="J339" s="41">
        <v>112.0</v>
      </c>
      <c r="K339" s="43">
        <v>214.23</v>
      </c>
      <c r="L339" s="43">
        <v>152.01</v>
      </c>
      <c r="M339" s="43">
        <v>23993.76</v>
      </c>
      <c r="N339" s="43">
        <v>17025.12</v>
      </c>
      <c r="O339" s="43">
        <v>6968.639999999999</v>
      </c>
      <c r="P339" s="44">
        <v>0.2904355132334407</v>
      </c>
    </row>
    <row r="340" ht="14.25" customHeight="1">
      <c r="C340" s="41" t="s">
        <v>359</v>
      </c>
      <c r="D340" s="41" t="s">
        <v>14</v>
      </c>
      <c r="E340" s="41" t="s">
        <v>15</v>
      </c>
      <c r="F340" s="41" t="s">
        <v>22</v>
      </c>
      <c r="G340" s="41" t="s">
        <v>27</v>
      </c>
      <c r="H340" s="41" t="s">
        <v>23</v>
      </c>
      <c r="I340" s="42">
        <v>45253.0</v>
      </c>
      <c r="J340" s="41">
        <v>203.0</v>
      </c>
      <c r="K340" s="43">
        <v>411.79</v>
      </c>
      <c r="L340" s="43">
        <v>185.77</v>
      </c>
      <c r="M340" s="43">
        <v>83593.37000000001</v>
      </c>
      <c r="N340" s="43">
        <v>37711.310000000005</v>
      </c>
      <c r="O340" s="43">
        <v>45882.060000000005</v>
      </c>
      <c r="P340" s="44">
        <v>0.5488719978629885</v>
      </c>
    </row>
    <row r="341" ht="14.25" hidden="1" customHeight="1">
      <c r="C341" s="41" t="s">
        <v>360</v>
      </c>
      <c r="D341" s="41" t="s">
        <v>14</v>
      </c>
      <c r="E341" s="41" t="s">
        <v>21</v>
      </c>
      <c r="F341" s="41" t="s">
        <v>46</v>
      </c>
      <c r="G341" s="41" t="s">
        <v>27</v>
      </c>
      <c r="H341" s="41" t="s">
        <v>31</v>
      </c>
      <c r="I341" s="42">
        <v>45254.0</v>
      </c>
      <c r="J341" s="41">
        <v>255.9029411764706</v>
      </c>
      <c r="K341" s="43">
        <v>5.61</v>
      </c>
      <c r="L341" s="43">
        <v>193.4</v>
      </c>
      <c r="M341" s="43">
        <v>1435.6155</v>
      </c>
      <c r="N341" s="43">
        <v>49491.62882352941</v>
      </c>
      <c r="O341" s="43">
        <v>-48056.01332352941</v>
      </c>
      <c r="P341" s="44">
        <v>-33.474153297682705</v>
      </c>
    </row>
    <row r="342" ht="14.25" customHeight="1">
      <c r="C342" s="41" t="s">
        <v>361</v>
      </c>
      <c r="D342" s="41" t="s">
        <v>20</v>
      </c>
      <c r="E342" s="41" t="s">
        <v>54</v>
      </c>
      <c r="F342" s="41" t="s">
        <v>16</v>
      </c>
      <c r="G342" s="41" t="s">
        <v>27</v>
      </c>
      <c r="H342" s="41" t="s">
        <v>31</v>
      </c>
      <c r="I342" s="42">
        <v>45255.0</v>
      </c>
      <c r="J342" s="41">
        <v>368.0</v>
      </c>
      <c r="K342" s="43">
        <v>153.92</v>
      </c>
      <c r="L342" s="43">
        <v>175.2</v>
      </c>
      <c r="M342" s="43">
        <v>56642.56</v>
      </c>
      <c r="N342" s="43">
        <v>64473.6</v>
      </c>
      <c r="O342" s="43">
        <v>-7831.040000000001</v>
      </c>
      <c r="P342" s="44">
        <v>-0.13825363825363826</v>
      </c>
    </row>
    <row r="343" ht="14.25" customHeight="1">
      <c r="C343" s="41" t="s">
        <v>362</v>
      </c>
      <c r="D343" s="41" t="s">
        <v>20</v>
      </c>
      <c r="E343" s="41" t="s">
        <v>54</v>
      </c>
      <c r="F343" s="41" t="s">
        <v>46</v>
      </c>
      <c r="G343" s="41" t="s">
        <v>27</v>
      </c>
      <c r="H343" s="41" t="s">
        <v>31</v>
      </c>
      <c r="I343" s="42">
        <v>45256.0</v>
      </c>
      <c r="J343" s="41">
        <v>99.0</v>
      </c>
      <c r="K343" s="43">
        <v>490.71</v>
      </c>
      <c r="L343" s="43">
        <v>375.07</v>
      </c>
      <c r="M343" s="43">
        <v>48580.29</v>
      </c>
      <c r="N343" s="43">
        <v>37131.93</v>
      </c>
      <c r="O343" s="43">
        <v>11448.36</v>
      </c>
      <c r="P343" s="44">
        <v>0.2356585355912861</v>
      </c>
    </row>
    <row r="344" ht="14.25" customHeight="1">
      <c r="C344" s="41" t="s">
        <v>363</v>
      </c>
      <c r="D344" s="41" t="s">
        <v>25</v>
      </c>
      <c r="E344" s="41" t="s">
        <v>29</v>
      </c>
      <c r="F344" s="41" t="s">
        <v>46</v>
      </c>
      <c r="G344" s="41" t="s">
        <v>17</v>
      </c>
      <c r="H344" s="41" t="s">
        <v>18</v>
      </c>
      <c r="I344" s="42">
        <v>45257.0</v>
      </c>
      <c r="J344" s="41">
        <v>183.0</v>
      </c>
      <c r="K344" s="43">
        <v>240.07</v>
      </c>
      <c r="L344" s="43">
        <v>283.0</v>
      </c>
      <c r="M344" s="43">
        <v>43932.81</v>
      </c>
      <c r="N344" s="43">
        <v>51789.0</v>
      </c>
      <c r="O344" s="43">
        <v>-7856.190000000002</v>
      </c>
      <c r="P344" s="44">
        <v>-0.17882284333736</v>
      </c>
    </row>
    <row r="345" ht="14.25" hidden="1" customHeight="1">
      <c r="C345" s="41" t="s">
        <v>364</v>
      </c>
      <c r="D345" s="41" t="s">
        <v>39</v>
      </c>
      <c r="E345" s="41" t="s">
        <v>21</v>
      </c>
      <c r="F345" s="41" t="s">
        <v>46</v>
      </c>
      <c r="G345" s="41" t="s">
        <v>27</v>
      </c>
      <c r="H345" s="41" t="s">
        <v>23</v>
      </c>
      <c r="I345" s="42">
        <v>45258.0</v>
      </c>
      <c r="J345" s="41">
        <v>131.0</v>
      </c>
      <c r="K345" s="43">
        <v>194.35</v>
      </c>
      <c r="L345" s="43">
        <v>253.21</v>
      </c>
      <c r="M345" s="43">
        <v>25459.85</v>
      </c>
      <c r="N345" s="43">
        <v>33170.51</v>
      </c>
      <c r="O345" s="43">
        <v>-7710.6600000000035</v>
      </c>
      <c r="P345" s="44">
        <v>-0.3028556727553385</v>
      </c>
    </row>
    <row r="346" ht="14.25" customHeight="1">
      <c r="C346" s="41" t="s">
        <v>365</v>
      </c>
      <c r="D346" s="41" t="s">
        <v>20</v>
      </c>
      <c r="E346" s="41" t="s">
        <v>29</v>
      </c>
      <c r="F346" s="41" t="s">
        <v>26</v>
      </c>
      <c r="G346" s="41" t="s">
        <v>27</v>
      </c>
      <c r="H346" s="41" t="s">
        <v>23</v>
      </c>
      <c r="I346" s="42">
        <v>45259.0</v>
      </c>
      <c r="J346" s="41">
        <v>152.0</v>
      </c>
      <c r="K346" s="43">
        <v>64.32</v>
      </c>
      <c r="L346" s="43">
        <v>21.84</v>
      </c>
      <c r="M346" s="43">
        <v>9776.64</v>
      </c>
      <c r="N346" s="43">
        <v>3319.68</v>
      </c>
      <c r="O346" s="43">
        <v>6456.959999999999</v>
      </c>
      <c r="P346" s="44">
        <v>0.6604477611940298</v>
      </c>
    </row>
    <row r="347" ht="14.25" customHeight="1">
      <c r="C347" s="41" t="s">
        <v>366</v>
      </c>
      <c r="D347" s="41" t="s">
        <v>14</v>
      </c>
      <c r="E347" s="41" t="s">
        <v>34</v>
      </c>
      <c r="F347" s="41" t="s">
        <v>26</v>
      </c>
      <c r="G347" s="41" t="s">
        <v>27</v>
      </c>
      <c r="H347" s="41" t="s">
        <v>31</v>
      </c>
      <c r="I347" s="42">
        <v>45260.0</v>
      </c>
      <c r="J347" s="41">
        <v>491.0</v>
      </c>
      <c r="K347" s="43">
        <v>487.21</v>
      </c>
      <c r="L347" s="43">
        <v>361.76</v>
      </c>
      <c r="M347" s="43">
        <v>239220.11</v>
      </c>
      <c r="N347" s="43">
        <v>177624.16</v>
      </c>
      <c r="O347" s="43">
        <v>61595.94999999998</v>
      </c>
      <c r="P347" s="44">
        <v>0.2574865047925945</v>
      </c>
    </row>
    <row r="348" ht="14.25" customHeight="1">
      <c r="C348" s="41" t="s">
        <v>367</v>
      </c>
      <c r="D348" s="41" t="s">
        <v>52</v>
      </c>
      <c r="E348" s="41" t="s">
        <v>29</v>
      </c>
      <c r="F348" s="41" t="s">
        <v>46</v>
      </c>
      <c r="G348" s="41" t="s">
        <v>17</v>
      </c>
      <c r="H348" s="41" t="s">
        <v>18</v>
      </c>
      <c r="I348" s="42">
        <v>45261.0</v>
      </c>
      <c r="J348" s="41">
        <v>115.0</v>
      </c>
      <c r="K348" s="43">
        <v>14.91</v>
      </c>
      <c r="L348" s="43">
        <v>363.94</v>
      </c>
      <c r="M348" s="43">
        <v>1714.65</v>
      </c>
      <c r="N348" s="43">
        <v>41853.1</v>
      </c>
      <c r="O348" s="43">
        <v>-40138.45</v>
      </c>
      <c r="P348" s="44">
        <v>-23.409121395036884</v>
      </c>
    </row>
    <row r="349" ht="14.25" customHeight="1">
      <c r="C349" s="41" t="s">
        <v>368</v>
      </c>
      <c r="D349" s="41" t="s">
        <v>20</v>
      </c>
      <c r="E349" s="41" t="s">
        <v>29</v>
      </c>
      <c r="F349" s="41" t="s">
        <v>16</v>
      </c>
      <c r="G349" s="41" t="s">
        <v>27</v>
      </c>
      <c r="H349" s="41" t="s">
        <v>18</v>
      </c>
      <c r="I349" s="42">
        <v>45262.0</v>
      </c>
      <c r="J349" s="41">
        <v>384.0</v>
      </c>
      <c r="K349" s="43">
        <v>369.9</v>
      </c>
      <c r="L349" s="43">
        <v>312.52</v>
      </c>
      <c r="M349" s="43">
        <v>142041.59999999998</v>
      </c>
      <c r="N349" s="43">
        <v>120007.68</v>
      </c>
      <c r="O349" s="43">
        <v>22033.919999999984</v>
      </c>
      <c r="P349" s="44">
        <v>0.15512300621789665</v>
      </c>
    </row>
    <row r="350" ht="14.25" customHeight="1">
      <c r="C350" s="41" t="s">
        <v>369</v>
      </c>
      <c r="D350" s="41" t="s">
        <v>25</v>
      </c>
      <c r="E350" s="41" t="s">
        <v>54</v>
      </c>
      <c r="F350" s="41" t="s">
        <v>22</v>
      </c>
      <c r="G350" s="41" t="s">
        <v>17</v>
      </c>
      <c r="H350" s="41" t="s">
        <v>23</v>
      </c>
      <c r="I350" s="42">
        <v>45263.0</v>
      </c>
      <c r="J350" s="41">
        <v>437.0</v>
      </c>
      <c r="K350" s="43">
        <v>385.46</v>
      </c>
      <c r="L350" s="43">
        <v>4.8</v>
      </c>
      <c r="M350" s="43">
        <v>168446.02</v>
      </c>
      <c r="N350" s="43">
        <v>2097.6</v>
      </c>
      <c r="O350" s="43">
        <v>166348.41999999998</v>
      </c>
      <c r="P350" s="44">
        <v>0.9875473460281222</v>
      </c>
    </row>
    <row r="351" ht="14.25" customHeight="1">
      <c r="C351" s="41" t="s">
        <v>370</v>
      </c>
      <c r="D351" s="41" t="s">
        <v>14</v>
      </c>
      <c r="E351" s="41" t="s">
        <v>54</v>
      </c>
      <c r="F351" s="41" t="s">
        <v>22</v>
      </c>
      <c r="G351" s="41" t="s">
        <v>27</v>
      </c>
      <c r="H351" s="41" t="s">
        <v>18</v>
      </c>
      <c r="I351" s="42">
        <v>45264.0</v>
      </c>
      <c r="J351" s="41">
        <v>314.0</v>
      </c>
      <c r="K351" s="43">
        <v>125.61</v>
      </c>
      <c r="L351" s="43">
        <v>24.8</v>
      </c>
      <c r="M351" s="43">
        <v>39441.54</v>
      </c>
      <c r="N351" s="43">
        <v>7787.2</v>
      </c>
      <c r="O351" s="43">
        <v>31654.34</v>
      </c>
      <c r="P351" s="44">
        <v>0.8025634901679802</v>
      </c>
    </row>
    <row r="352" ht="14.25" customHeight="1">
      <c r="C352" s="41" t="s">
        <v>371</v>
      </c>
      <c r="D352" s="41" t="s">
        <v>20</v>
      </c>
      <c r="E352" s="41" t="s">
        <v>54</v>
      </c>
      <c r="F352" s="41" t="s">
        <v>30</v>
      </c>
      <c r="G352" s="41" t="s">
        <v>17</v>
      </c>
      <c r="H352" s="41" t="s">
        <v>18</v>
      </c>
      <c r="I352" s="42">
        <v>45265.0</v>
      </c>
      <c r="J352" s="41">
        <v>369.0</v>
      </c>
      <c r="K352" s="43">
        <v>337.42</v>
      </c>
      <c r="L352" s="43">
        <v>91.64</v>
      </c>
      <c r="M352" s="43">
        <v>124507.98000000001</v>
      </c>
      <c r="N352" s="43">
        <v>33815.16</v>
      </c>
      <c r="O352" s="43">
        <v>90692.82</v>
      </c>
      <c r="P352" s="44">
        <v>0.7284096971133899</v>
      </c>
    </row>
    <row r="353" ht="14.25" customHeight="1">
      <c r="C353" s="41" t="s">
        <v>372</v>
      </c>
      <c r="D353" s="41" t="s">
        <v>20</v>
      </c>
      <c r="E353" s="41" t="s">
        <v>34</v>
      </c>
      <c r="F353" s="41" t="s">
        <v>16</v>
      </c>
      <c r="G353" s="41" t="s">
        <v>17</v>
      </c>
      <c r="H353" s="41" t="s">
        <v>31</v>
      </c>
      <c r="I353" s="42">
        <v>45266.0</v>
      </c>
      <c r="J353" s="41">
        <v>468.0</v>
      </c>
      <c r="K353" s="43">
        <v>51.0</v>
      </c>
      <c r="L353" s="43">
        <v>54.28</v>
      </c>
      <c r="M353" s="43">
        <v>23868.0</v>
      </c>
      <c r="N353" s="43">
        <v>25403.04</v>
      </c>
      <c r="O353" s="43">
        <v>-1535.0400000000009</v>
      </c>
      <c r="P353" s="44">
        <v>-0.06431372549019612</v>
      </c>
    </row>
    <row r="354" ht="14.25" customHeight="1">
      <c r="C354" s="41" t="s">
        <v>373</v>
      </c>
      <c r="D354" s="41" t="s">
        <v>14</v>
      </c>
      <c r="E354" s="41" t="s">
        <v>54</v>
      </c>
      <c r="F354" s="41" t="s">
        <v>26</v>
      </c>
      <c r="G354" s="41" t="s">
        <v>27</v>
      </c>
      <c r="H354" s="41" t="s">
        <v>18</v>
      </c>
      <c r="I354" s="42">
        <v>45267.0</v>
      </c>
      <c r="J354" s="41">
        <v>326.0</v>
      </c>
      <c r="K354" s="43">
        <v>132.24</v>
      </c>
      <c r="L354" s="43">
        <v>160.74</v>
      </c>
      <c r="M354" s="43">
        <v>43110.240000000005</v>
      </c>
      <c r="N354" s="43">
        <v>52401.240000000005</v>
      </c>
      <c r="O354" s="43">
        <v>-9291.0</v>
      </c>
      <c r="P354" s="44">
        <v>-0.21551724137931033</v>
      </c>
    </row>
    <row r="355" ht="14.25" customHeight="1">
      <c r="C355" s="41" t="s">
        <v>374</v>
      </c>
      <c r="D355" s="41" t="s">
        <v>20</v>
      </c>
      <c r="E355" s="41" t="s">
        <v>21</v>
      </c>
      <c r="F355" s="41" t="s">
        <v>46</v>
      </c>
      <c r="G355" s="41" t="s">
        <v>27</v>
      </c>
      <c r="H355" s="41" t="s">
        <v>31</v>
      </c>
      <c r="I355" s="42">
        <v>45268.0</v>
      </c>
      <c r="J355" s="41">
        <v>460.0</v>
      </c>
      <c r="K355" s="43">
        <v>395.01</v>
      </c>
      <c r="L355" s="43">
        <v>369.2</v>
      </c>
      <c r="M355" s="43">
        <v>181704.6</v>
      </c>
      <c r="N355" s="43">
        <v>169832.0</v>
      </c>
      <c r="O355" s="43">
        <v>11872.600000000006</v>
      </c>
      <c r="P355" s="44">
        <v>0.06534011797169695</v>
      </c>
    </row>
    <row r="356" ht="14.25" customHeight="1">
      <c r="C356" s="41" t="s">
        <v>375</v>
      </c>
      <c r="D356" s="41" t="s">
        <v>14</v>
      </c>
      <c r="E356" s="41" t="s">
        <v>15</v>
      </c>
      <c r="F356" s="41" t="s">
        <v>30</v>
      </c>
      <c r="G356" s="41" t="s">
        <v>17</v>
      </c>
      <c r="H356" s="41" t="s">
        <v>23</v>
      </c>
      <c r="I356" s="42">
        <v>45269.0</v>
      </c>
      <c r="J356" s="41">
        <v>132.0</v>
      </c>
      <c r="K356" s="43">
        <v>433.02</v>
      </c>
      <c r="L356" s="43">
        <v>189.88</v>
      </c>
      <c r="M356" s="43">
        <v>57158.64</v>
      </c>
      <c r="N356" s="43">
        <v>25064.16</v>
      </c>
      <c r="O356" s="43">
        <v>32094.48</v>
      </c>
      <c r="P356" s="44">
        <v>0.5614983141656275</v>
      </c>
    </row>
    <row r="357" ht="14.25" customHeight="1">
      <c r="C357" s="41" t="s">
        <v>376</v>
      </c>
      <c r="D357" s="41" t="s">
        <v>52</v>
      </c>
      <c r="E357" s="41" t="s">
        <v>21</v>
      </c>
      <c r="F357" s="41" t="s">
        <v>22</v>
      </c>
      <c r="G357" s="41" t="s">
        <v>27</v>
      </c>
      <c r="H357" s="41" t="s">
        <v>18</v>
      </c>
      <c r="I357" s="42">
        <v>45270.0</v>
      </c>
      <c r="J357" s="41">
        <v>399.0</v>
      </c>
      <c r="K357" s="43">
        <v>306.2</v>
      </c>
      <c r="L357" s="43">
        <v>7.33</v>
      </c>
      <c r="M357" s="43">
        <v>122173.79999999999</v>
      </c>
      <c r="N357" s="43">
        <v>2924.67</v>
      </c>
      <c r="O357" s="43">
        <v>119249.12999999999</v>
      </c>
      <c r="P357" s="44">
        <v>0.9760613977792293</v>
      </c>
    </row>
    <row r="358" ht="14.25" customHeight="1">
      <c r="C358" s="41" t="s">
        <v>377</v>
      </c>
      <c r="D358" s="41" t="s">
        <v>14</v>
      </c>
      <c r="E358" s="41" t="s">
        <v>21</v>
      </c>
      <c r="F358" s="41" t="s">
        <v>26</v>
      </c>
      <c r="G358" s="41" t="s">
        <v>17</v>
      </c>
      <c r="H358" s="41" t="s">
        <v>23</v>
      </c>
      <c r="I358" s="42">
        <v>45271.0</v>
      </c>
      <c r="J358" s="41">
        <v>18.0</v>
      </c>
      <c r="K358" s="43">
        <v>255.89</v>
      </c>
      <c r="L358" s="43">
        <v>114.53</v>
      </c>
      <c r="M358" s="43">
        <v>4606.0199999999995</v>
      </c>
      <c r="N358" s="43">
        <v>2061.54</v>
      </c>
      <c r="O358" s="43">
        <v>2544.4799999999996</v>
      </c>
      <c r="P358" s="44">
        <v>0.5524248700613544</v>
      </c>
    </row>
    <row r="359" ht="14.25" customHeight="1">
      <c r="C359" s="41" t="s">
        <v>378</v>
      </c>
      <c r="D359" s="41" t="s">
        <v>14</v>
      </c>
      <c r="E359" s="41" t="s">
        <v>54</v>
      </c>
      <c r="F359" s="41" t="s">
        <v>26</v>
      </c>
      <c r="G359" s="41" t="s">
        <v>17</v>
      </c>
      <c r="H359" s="41" t="s">
        <v>23</v>
      </c>
      <c r="I359" s="42">
        <v>45272.0</v>
      </c>
      <c r="J359" s="41">
        <v>271.0</v>
      </c>
      <c r="K359" s="43">
        <v>83.86</v>
      </c>
      <c r="L359" s="43">
        <v>19.75</v>
      </c>
      <c r="M359" s="43">
        <v>22726.06</v>
      </c>
      <c r="N359" s="43">
        <v>5352.25</v>
      </c>
      <c r="O359" s="43">
        <v>17373.81</v>
      </c>
      <c r="P359" s="44">
        <v>0.7644884331027904</v>
      </c>
    </row>
    <row r="360" ht="14.25" hidden="1" customHeight="1">
      <c r="C360" s="41" t="s">
        <v>379</v>
      </c>
      <c r="D360" s="41" t="s">
        <v>39</v>
      </c>
      <c r="E360" s="41" t="s">
        <v>15</v>
      </c>
      <c r="F360" s="41" t="s">
        <v>46</v>
      </c>
      <c r="G360" s="41" t="s">
        <v>17</v>
      </c>
      <c r="H360" s="41" t="s">
        <v>18</v>
      </c>
      <c r="I360" s="42">
        <v>45273.0</v>
      </c>
      <c r="J360" s="41">
        <v>82.0</v>
      </c>
      <c r="K360" s="43">
        <v>36.24</v>
      </c>
      <c r="L360" s="43">
        <v>16.44</v>
      </c>
      <c r="M360" s="43">
        <v>2971.6800000000003</v>
      </c>
      <c r="N360" s="43">
        <v>1348.0800000000002</v>
      </c>
      <c r="O360" s="43">
        <v>1623.6000000000001</v>
      </c>
      <c r="P360" s="44">
        <v>0.5463576158940397</v>
      </c>
    </row>
    <row r="361" ht="14.25" customHeight="1">
      <c r="C361" s="41" t="s">
        <v>380</v>
      </c>
      <c r="D361" s="41" t="s">
        <v>20</v>
      </c>
      <c r="E361" s="41" t="s">
        <v>15</v>
      </c>
      <c r="F361" s="41" t="s">
        <v>22</v>
      </c>
      <c r="G361" s="41" t="s">
        <v>17</v>
      </c>
      <c r="H361" s="41" t="s">
        <v>18</v>
      </c>
      <c r="I361" s="42">
        <v>45274.0</v>
      </c>
      <c r="J361" s="41">
        <v>368.0</v>
      </c>
      <c r="K361" s="43">
        <v>63.24</v>
      </c>
      <c r="L361" s="43">
        <v>111.74</v>
      </c>
      <c r="M361" s="43">
        <v>23272.32</v>
      </c>
      <c r="N361" s="43">
        <v>41120.32</v>
      </c>
      <c r="O361" s="43">
        <v>-17848.0</v>
      </c>
      <c r="P361" s="44">
        <v>-0.7669196710942442</v>
      </c>
    </row>
    <row r="362" ht="14.25" customHeight="1">
      <c r="C362" s="41" t="s">
        <v>381</v>
      </c>
      <c r="D362" s="41" t="s">
        <v>20</v>
      </c>
      <c r="E362" s="41" t="s">
        <v>15</v>
      </c>
      <c r="F362" s="41" t="s">
        <v>16</v>
      </c>
      <c r="G362" s="41" t="s">
        <v>17</v>
      </c>
      <c r="H362" s="41" t="s">
        <v>23</v>
      </c>
      <c r="I362" s="42">
        <v>45275.0</v>
      </c>
      <c r="J362" s="41">
        <v>232.0</v>
      </c>
      <c r="K362" s="43">
        <v>117.54</v>
      </c>
      <c r="L362" s="43">
        <v>111.69</v>
      </c>
      <c r="M362" s="43">
        <v>27269.280000000002</v>
      </c>
      <c r="N362" s="43">
        <v>25912.079999999998</v>
      </c>
      <c r="O362" s="43">
        <v>1357.2000000000044</v>
      </c>
      <c r="P362" s="44">
        <v>0.049770290964778106</v>
      </c>
    </row>
    <row r="363" ht="14.25" customHeight="1">
      <c r="C363" s="41" t="s">
        <v>382</v>
      </c>
      <c r="D363" s="41" t="s">
        <v>14</v>
      </c>
      <c r="E363" s="41" t="s">
        <v>34</v>
      </c>
      <c r="F363" s="41" t="s">
        <v>26</v>
      </c>
      <c r="G363" s="41" t="s">
        <v>27</v>
      </c>
      <c r="H363" s="41" t="s">
        <v>18</v>
      </c>
      <c r="I363" s="42">
        <v>45276.0</v>
      </c>
      <c r="J363" s="41">
        <v>425.0</v>
      </c>
      <c r="K363" s="43">
        <v>174.13</v>
      </c>
      <c r="L363" s="43">
        <v>315.28</v>
      </c>
      <c r="M363" s="43">
        <v>74005.25</v>
      </c>
      <c r="N363" s="43">
        <v>133994.0</v>
      </c>
      <c r="O363" s="43">
        <v>-59988.75</v>
      </c>
      <c r="P363" s="44">
        <v>-0.8106012749095504</v>
      </c>
    </row>
    <row r="364" ht="14.25" customHeight="1">
      <c r="I364" s="46"/>
      <c r="J364" s="47"/>
      <c r="K364" s="47"/>
      <c r="L364" s="47"/>
    </row>
    <row r="365" ht="14.25" customHeight="1">
      <c r="I365" s="46"/>
      <c r="J365" s="47"/>
      <c r="K365" s="47"/>
      <c r="L365" s="47"/>
    </row>
    <row r="366" ht="14.25" customHeight="1">
      <c r="I366" s="46"/>
      <c r="J366" s="47"/>
      <c r="K366" s="47"/>
      <c r="L366" s="47"/>
    </row>
    <row r="367" ht="14.25" customHeight="1">
      <c r="I367" s="46"/>
      <c r="J367" s="47"/>
      <c r="K367" s="47"/>
      <c r="L367" s="47"/>
    </row>
    <row r="368" ht="14.25" customHeight="1">
      <c r="I368" s="46"/>
      <c r="J368" s="47"/>
      <c r="K368" s="47"/>
      <c r="L368" s="47"/>
    </row>
    <row r="369" ht="14.25" customHeight="1">
      <c r="I369" s="46"/>
      <c r="J369" s="47"/>
      <c r="K369" s="47"/>
      <c r="L369" s="47"/>
    </row>
    <row r="370" ht="14.25" customHeight="1">
      <c r="I370" s="46"/>
      <c r="J370" s="47"/>
      <c r="K370" s="47"/>
      <c r="L370" s="47"/>
    </row>
    <row r="371" ht="14.25" customHeight="1">
      <c r="I371" s="46"/>
      <c r="J371" s="47"/>
      <c r="K371" s="47"/>
      <c r="L371" s="47"/>
    </row>
    <row r="372" ht="14.25" customHeight="1">
      <c r="I372" s="46"/>
      <c r="J372" s="47"/>
      <c r="K372" s="47"/>
      <c r="L372" s="47"/>
    </row>
    <row r="373" ht="14.25" customHeight="1">
      <c r="I373" s="46"/>
      <c r="J373" s="47"/>
      <c r="K373" s="47"/>
      <c r="L373" s="47"/>
    </row>
    <row r="374" ht="14.25" customHeight="1">
      <c r="I374" s="46"/>
      <c r="J374" s="47"/>
      <c r="K374" s="47"/>
      <c r="L374" s="47"/>
    </row>
    <row r="375" ht="14.25" customHeight="1">
      <c r="I375" s="46"/>
      <c r="J375" s="47"/>
      <c r="K375" s="47"/>
      <c r="L375" s="47"/>
    </row>
    <row r="376" ht="14.25" customHeight="1">
      <c r="I376" s="46"/>
      <c r="J376" s="47"/>
      <c r="K376" s="47"/>
      <c r="L376" s="47"/>
    </row>
    <row r="377" ht="14.25" customHeight="1">
      <c r="I377" s="46"/>
      <c r="J377" s="47"/>
      <c r="K377" s="47"/>
      <c r="L377" s="47"/>
    </row>
    <row r="378" ht="14.25" customHeight="1">
      <c r="I378" s="46"/>
      <c r="J378" s="47"/>
      <c r="K378" s="47"/>
      <c r="L378" s="47"/>
    </row>
    <row r="379" ht="14.25" customHeight="1">
      <c r="I379" s="46"/>
      <c r="J379" s="47"/>
      <c r="K379" s="47"/>
      <c r="L379" s="47"/>
    </row>
    <row r="380" ht="14.25" customHeight="1">
      <c r="I380" s="46"/>
      <c r="J380" s="47"/>
      <c r="K380" s="47"/>
      <c r="L380" s="47"/>
    </row>
    <row r="381" ht="14.25" customHeight="1">
      <c r="I381" s="46"/>
      <c r="J381" s="47"/>
      <c r="K381" s="47"/>
      <c r="L381" s="47"/>
    </row>
    <row r="382" ht="14.25" customHeight="1">
      <c r="I382" s="46"/>
      <c r="J382" s="47"/>
      <c r="K382" s="47"/>
      <c r="L382" s="47"/>
    </row>
    <row r="383" ht="14.25" customHeight="1">
      <c r="I383" s="46"/>
      <c r="J383" s="47"/>
      <c r="K383" s="47"/>
      <c r="L383" s="47"/>
    </row>
    <row r="384" ht="14.25" customHeight="1">
      <c r="I384" s="46"/>
      <c r="J384" s="47"/>
      <c r="K384" s="47"/>
      <c r="L384" s="47"/>
    </row>
    <row r="385" ht="14.25" customHeight="1">
      <c r="I385" s="46"/>
      <c r="J385" s="47"/>
      <c r="K385" s="47"/>
      <c r="L385" s="47"/>
    </row>
    <row r="386" ht="14.25" customHeight="1">
      <c r="I386" s="46"/>
      <c r="J386" s="47"/>
      <c r="K386" s="47"/>
      <c r="L386" s="47"/>
    </row>
    <row r="387" ht="14.25" customHeight="1">
      <c r="I387" s="46"/>
      <c r="J387" s="47"/>
      <c r="K387" s="47"/>
      <c r="L387" s="47"/>
    </row>
    <row r="388" ht="14.25" customHeight="1">
      <c r="I388" s="46"/>
      <c r="J388" s="47"/>
      <c r="K388" s="47"/>
      <c r="L388" s="47"/>
    </row>
    <row r="389" ht="14.25" customHeight="1">
      <c r="I389" s="46"/>
      <c r="J389" s="47"/>
      <c r="K389" s="47"/>
      <c r="L389" s="47"/>
    </row>
    <row r="390" ht="14.25" customHeight="1">
      <c r="I390" s="46"/>
      <c r="J390" s="47"/>
      <c r="K390" s="47"/>
      <c r="L390" s="47"/>
    </row>
    <row r="391" ht="14.25" customHeight="1">
      <c r="I391" s="46"/>
      <c r="J391" s="47"/>
      <c r="K391" s="47"/>
      <c r="L391" s="47"/>
    </row>
    <row r="392" ht="14.25" customHeight="1">
      <c r="I392" s="46"/>
      <c r="J392" s="47"/>
      <c r="K392" s="47"/>
      <c r="L392" s="47"/>
    </row>
    <row r="393" ht="14.25" customHeight="1">
      <c r="I393" s="46"/>
      <c r="J393" s="47"/>
      <c r="K393" s="47"/>
      <c r="L393" s="47"/>
    </row>
    <row r="394" ht="14.25" customHeight="1">
      <c r="I394" s="46"/>
      <c r="J394" s="47"/>
      <c r="K394" s="47"/>
      <c r="L394" s="47"/>
    </row>
    <row r="395" ht="14.25" customHeight="1">
      <c r="I395" s="46"/>
      <c r="J395" s="47"/>
      <c r="K395" s="47"/>
      <c r="L395" s="47"/>
    </row>
    <row r="396" ht="14.25" customHeight="1">
      <c r="I396" s="46"/>
      <c r="J396" s="47"/>
      <c r="K396" s="47"/>
      <c r="L396" s="47"/>
    </row>
    <row r="397" ht="14.25" customHeight="1">
      <c r="I397" s="46"/>
      <c r="J397" s="47"/>
      <c r="K397" s="47"/>
      <c r="L397" s="47"/>
    </row>
    <row r="398" ht="14.25" customHeight="1">
      <c r="I398" s="46"/>
      <c r="J398" s="47"/>
      <c r="K398" s="47"/>
      <c r="L398" s="47"/>
    </row>
    <row r="399" ht="14.25" customHeight="1">
      <c r="I399" s="46"/>
      <c r="J399" s="47"/>
      <c r="K399" s="47"/>
      <c r="L399" s="47"/>
    </row>
    <row r="400" ht="14.25" customHeight="1">
      <c r="I400" s="46"/>
      <c r="J400" s="47"/>
      <c r="K400" s="47"/>
      <c r="L400" s="47"/>
    </row>
    <row r="401" ht="14.25" customHeight="1">
      <c r="I401" s="46"/>
      <c r="J401" s="47"/>
      <c r="K401" s="47"/>
      <c r="L401" s="47"/>
    </row>
    <row r="402" ht="14.25" customHeight="1">
      <c r="I402" s="46"/>
      <c r="J402" s="47"/>
      <c r="K402" s="47"/>
      <c r="L402" s="47"/>
    </row>
    <row r="403" ht="14.25" customHeight="1">
      <c r="I403" s="46"/>
      <c r="J403" s="47"/>
      <c r="K403" s="47"/>
      <c r="L403" s="47"/>
    </row>
    <row r="404" ht="14.25" customHeight="1">
      <c r="I404" s="46"/>
      <c r="J404" s="47"/>
      <c r="K404" s="47"/>
      <c r="L404" s="47"/>
    </row>
    <row r="405" ht="14.25" customHeight="1">
      <c r="I405" s="46"/>
      <c r="J405" s="47"/>
      <c r="K405" s="47"/>
      <c r="L405" s="47"/>
    </row>
    <row r="406" ht="14.25" customHeight="1">
      <c r="I406" s="46"/>
      <c r="J406" s="47"/>
      <c r="K406" s="47"/>
      <c r="L406" s="47"/>
    </row>
    <row r="407" ht="14.25" customHeight="1">
      <c r="I407" s="46"/>
      <c r="J407" s="47"/>
      <c r="K407" s="47"/>
      <c r="L407" s="47"/>
    </row>
    <row r="408" ht="14.25" customHeight="1">
      <c r="I408" s="46"/>
      <c r="J408" s="47"/>
      <c r="K408" s="47"/>
      <c r="L408" s="47"/>
    </row>
    <row r="409" ht="14.25" customHeight="1">
      <c r="I409" s="46"/>
      <c r="J409" s="47"/>
      <c r="K409" s="47"/>
      <c r="L409" s="47"/>
    </row>
    <row r="410" ht="14.25" customHeight="1">
      <c r="I410" s="46"/>
      <c r="J410" s="47"/>
      <c r="K410" s="47"/>
      <c r="L410" s="47"/>
    </row>
    <row r="411" ht="14.25" customHeight="1">
      <c r="I411" s="46"/>
      <c r="J411" s="47"/>
      <c r="K411" s="47"/>
      <c r="L411" s="47"/>
    </row>
    <row r="412" ht="14.25" customHeight="1">
      <c r="I412" s="46"/>
      <c r="J412" s="47"/>
      <c r="K412" s="47"/>
      <c r="L412" s="47"/>
    </row>
    <row r="413" ht="14.25" customHeight="1">
      <c r="I413" s="46"/>
      <c r="J413" s="47"/>
      <c r="K413" s="47"/>
      <c r="L413" s="47"/>
    </row>
    <row r="414" ht="14.25" customHeight="1">
      <c r="I414" s="46"/>
      <c r="J414" s="47"/>
      <c r="K414" s="47"/>
      <c r="L414" s="47"/>
    </row>
    <row r="415" ht="14.25" customHeight="1">
      <c r="I415" s="46"/>
      <c r="J415" s="47"/>
      <c r="K415" s="47"/>
      <c r="L415" s="47"/>
    </row>
    <row r="416" ht="14.25" customHeight="1">
      <c r="I416" s="46"/>
      <c r="J416" s="47"/>
      <c r="K416" s="47"/>
      <c r="L416" s="47"/>
    </row>
    <row r="417" ht="14.25" customHeight="1">
      <c r="I417" s="46"/>
      <c r="J417" s="47"/>
      <c r="K417" s="47"/>
      <c r="L417" s="47"/>
    </row>
    <row r="418" ht="14.25" customHeight="1">
      <c r="I418" s="46"/>
      <c r="J418" s="47"/>
      <c r="K418" s="47"/>
      <c r="L418" s="47"/>
    </row>
    <row r="419" ht="14.25" customHeight="1">
      <c r="I419" s="46"/>
      <c r="J419" s="47"/>
      <c r="K419" s="47"/>
      <c r="L419" s="47"/>
    </row>
    <row r="420" ht="14.25" customHeight="1">
      <c r="I420" s="46"/>
      <c r="J420" s="47"/>
      <c r="K420" s="47"/>
      <c r="L420" s="47"/>
    </row>
    <row r="421" ht="14.25" customHeight="1">
      <c r="I421" s="46"/>
      <c r="J421" s="47"/>
      <c r="K421" s="47"/>
      <c r="L421" s="47"/>
    </row>
    <row r="422" ht="14.25" customHeight="1">
      <c r="I422" s="46"/>
      <c r="J422" s="47"/>
      <c r="K422" s="47"/>
      <c r="L422" s="47"/>
    </row>
    <row r="423" ht="14.25" customHeight="1">
      <c r="I423" s="46"/>
      <c r="J423" s="47"/>
      <c r="K423" s="47"/>
      <c r="L423" s="47"/>
    </row>
    <row r="424" ht="14.25" customHeight="1">
      <c r="I424" s="46"/>
      <c r="J424" s="47"/>
      <c r="K424" s="47"/>
      <c r="L424" s="47"/>
    </row>
    <row r="425" ht="14.25" customHeight="1">
      <c r="I425" s="46"/>
      <c r="J425" s="47"/>
      <c r="K425" s="47"/>
      <c r="L425" s="47"/>
    </row>
    <row r="426" ht="14.25" customHeight="1">
      <c r="I426" s="46"/>
      <c r="J426" s="47"/>
      <c r="K426" s="47"/>
      <c r="L426" s="47"/>
    </row>
    <row r="427" ht="14.25" customHeight="1">
      <c r="I427" s="46"/>
      <c r="J427" s="47"/>
      <c r="K427" s="47"/>
      <c r="L427" s="47"/>
    </row>
    <row r="428" ht="14.25" customHeight="1">
      <c r="I428" s="46"/>
      <c r="J428" s="47"/>
      <c r="K428" s="47"/>
      <c r="L428" s="47"/>
    </row>
    <row r="429" ht="14.25" customHeight="1">
      <c r="I429" s="46"/>
      <c r="J429" s="47"/>
      <c r="K429" s="47"/>
      <c r="L429" s="47"/>
    </row>
    <row r="430" ht="14.25" customHeight="1">
      <c r="I430" s="46"/>
      <c r="J430" s="47"/>
      <c r="K430" s="47"/>
      <c r="L430" s="47"/>
    </row>
    <row r="431" ht="14.25" customHeight="1">
      <c r="I431" s="46"/>
      <c r="J431" s="47"/>
      <c r="K431" s="47"/>
      <c r="L431" s="47"/>
    </row>
    <row r="432" ht="14.25" customHeight="1">
      <c r="I432" s="46"/>
      <c r="J432" s="47"/>
      <c r="K432" s="47"/>
      <c r="L432" s="47"/>
    </row>
    <row r="433" ht="14.25" customHeight="1">
      <c r="I433" s="46"/>
      <c r="J433" s="47"/>
      <c r="K433" s="47"/>
      <c r="L433" s="47"/>
    </row>
    <row r="434" ht="14.25" customHeight="1">
      <c r="I434" s="46"/>
      <c r="J434" s="47"/>
      <c r="K434" s="47"/>
      <c r="L434" s="47"/>
    </row>
    <row r="435" ht="14.25" customHeight="1">
      <c r="I435" s="46"/>
      <c r="J435" s="47"/>
      <c r="K435" s="47"/>
      <c r="L435" s="47"/>
    </row>
    <row r="436" ht="14.25" customHeight="1">
      <c r="I436" s="46"/>
      <c r="J436" s="47"/>
      <c r="K436" s="47"/>
      <c r="L436" s="47"/>
    </row>
    <row r="437" ht="14.25" customHeight="1">
      <c r="I437" s="46"/>
      <c r="J437" s="47"/>
      <c r="K437" s="47"/>
      <c r="L437" s="47"/>
    </row>
    <row r="438" ht="14.25" customHeight="1">
      <c r="I438" s="46"/>
      <c r="J438" s="47"/>
      <c r="K438" s="47"/>
      <c r="L438" s="47"/>
    </row>
    <row r="439" ht="14.25" customHeight="1">
      <c r="I439" s="46"/>
      <c r="J439" s="47"/>
      <c r="K439" s="47"/>
      <c r="L439" s="47"/>
    </row>
    <row r="440" ht="14.25" customHeight="1">
      <c r="I440" s="46"/>
      <c r="J440" s="47"/>
      <c r="K440" s="47"/>
      <c r="L440" s="47"/>
    </row>
    <row r="441" ht="14.25" customHeight="1">
      <c r="I441" s="46"/>
      <c r="J441" s="47"/>
      <c r="K441" s="47"/>
      <c r="L441" s="47"/>
    </row>
    <row r="442" ht="14.25" customHeight="1">
      <c r="I442" s="46"/>
      <c r="J442" s="47"/>
      <c r="K442" s="47"/>
      <c r="L442" s="47"/>
    </row>
    <row r="443" ht="14.25" customHeight="1">
      <c r="I443" s="46"/>
      <c r="J443" s="47"/>
      <c r="K443" s="47"/>
      <c r="L443" s="47"/>
    </row>
    <row r="444" ht="14.25" customHeight="1">
      <c r="I444" s="46"/>
      <c r="J444" s="47"/>
      <c r="K444" s="47"/>
      <c r="L444" s="47"/>
    </row>
    <row r="445" ht="14.25" customHeight="1">
      <c r="I445" s="46"/>
      <c r="J445" s="47"/>
      <c r="K445" s="47"/>
      <c r="L445" s="47"/>
    </row>
    <row r="446" ht="14.25" customHeight="1">
      <c r="I446" s="46"/>
      <c r="J446" s="47"/>
      <c r="K446" s="47"/>
      <c r="L446" s="47"/>
    </row>
    <row r="447" ht="14.25" customHeight="1">
      <c r="I447" s="46"/>
      <c r="J447" s="47"/>
      <c r="K447" s="47"/>
      <c r="L447" s="47"/>
    </row>
    <row r="448" ht="14.25" customHeight="1">
      <c r="I448" s="46"/>
      <c r="J448" s="47"/>
      <c r="K448" s="47"/>
      <c r="L448" s="47"/>
    </row>
    <row r="449" ht="14.25" customHeight="1">
      <c r="I449" s="46"/>
      <c r="J449" s="47"/>
      <c r="K449" s="47"/>
      <c r="L449" s="47"/>
    </row>
    <row r="450" ht="14.25" customHeight="1">
      <c r="I450" s="46"/>
      <c r="J450" s="47"/>
      <c r="K450" s="47"/>
      <c r="L450" s="47"/>
    </row>
    <row r="451" ht="14.25" customHeight="1">
      <c r="I451" s="46"/>
      <c r="J451" s="47"/>
      <c r="K451" s="47"/>
      <c r="L451" s="47"/>
    </row>
    <row r="452" ht="14.25" customHeight="1">
      <c r="I452" s="46"/>
      <c r="J452" s="47"/>
      <c r="K452" s="47"/>
      <c r="L452" s="47"/>
    </row>
    <row r="453" ht="14.25" customHeight="1">
      <c r="I453" s="46"/>
      <c r="J453" s="47"/>
      <c r="K453" s="47"/>
      <c r="L453" s="47"/>
    </row>
    <row r="454" ht="14.25" customHeight="1">
      <c r="I454" s="46"/>
      <c r="J454" s="47"/>
      <c r="K454" s="47"/>
      <c r="L454" s="47"/>
    </row>
    <row r="455" ht="14.25" customHeight="1">
      <c r="I455" s="46"/>
      <c r="J455" s="47"/>
      <c r="K455" s="47"/>
      <c r="L455" s="47"/>
    </row>
    <row r="456" ht="14.25" customHeight="1">
      <c r="I456" s="46"/>
      <c r="J456" s="47"/>
      <c r="K456" s="47"/>
      <c r="L456" s="47"/>
    </row>
    <row r="457" ht="14.25" customHeight="1">
      <c r="I457" s="46"/>
      <c r="J457" s="47"/>
      <c r="K457" s="47"/>
      <c r="L457" s="47"/>
    </row>
    <row r="458" ht="14.25" customHeight="1">
      <c r="I458" s="46"/>
      <c r="J458" s="47"/>
      <c r="K458" s="47"/>
      <c r="L458" s="47"/>
    </row>
    <row r="459" ht="14.25" customHeight="1">
      <c r="I459" s="46"/>
      <c r="J459" s="47"/>
      <c r="K459" s="47"/>
      <c r="L459" s="47"/>
    </row>
    <row r="460" ht="14.25" customHeight="1">
      <c r="I460" s="46"/>
      <c r="J460" s="47"/>
      <c r="K460" s="47"/>
      <c r="L460" s="47"/>
    </row>
    <row r="461" ht="14.25" customHeight="1">
      <c r="I461" s="46"/>
      <c r="J461" s="47"/>
      <c r="K461" s="47"/>
      <c r="L461" s="47"/>
    </row>
    <row r="462" ht="14.25" customHeight="1">
      <c r="I462" s="46"/>
      <c r="J462" s="47"/>
      <c r="K462" s="47"/>
      <c r="L462" s="47"/>
    </row>
    <row r="463" ht="14.25" customHeight="1">
      <c r="I463" s="46"/>
      <c r="J463" s="47"/>
      <c r="K463" s="47"/>
      <c r="L463" s="47"/>
    </row>
    <row r="464" ht="14.25" customHeight="1">
      <c r="I464" s="46"/>
      <c r="J464" s="47"/>
      <c r="K464" s="47"/>
      <c r="L464" s="47"/>
    </row>
    <row r="465" ht="14.25" customHeight="1">
      <c r="I465" s="46"/>
      <c r="J465" s="47"/>
      <c r="K465" s="47"/>
      <c r="L465" s="47"/>
    </row>
    <row r="466" ht="14.25" customHeight="1">
      <c r="I466" s="46"/>
      <c r="J466" s="47"/>
      <c r="K466" s="47"/>
      <c r="L466" s="47"/>
    </row>
    <row r="467" ht="14.25" customHeight="1">
      <c r="I467" s="46"/>
      <c r="J467" s="47"/>
      <c r="K467" s="47"/>
      <c r="L467" s="47"/>
    </row>
    <row r="468" ht="14.25" customHeight="1">
      <c r="I468" s="46"/>
      <c r="J468" s="47"/>
      <c r="K468" s="47"/>
      <c r="L468" s="47"/>
    </row>
    <row r="469" ht="14.25" customHeight="1">
      <c r="I469" s="46"/>
      <c r="J469" s="47"/>
      <c r="K469" s="47"/>
      <c r="L469" s="47"/>
    </row>
    <row r="470" ht="14.25" customHeight="1">
      <c r="I470" s="46"/>
      <c r="J470" s="47"/>
      <c r="K470" s="47"/>
      <c r="L470" s="47"/>
    </row>
    <row r="471" ht="14.25" customHeight="1">
      <c r="I471" s="46"/>
      <c r="J471" s="47"/>
      <c r="K471" s="47"/>
      <c r="L471" s="47"/>
    </row>
    <row r="472" ht="14.25" customHeight="1">
      <c r="I472" s="46"/>
      <c r="J472" s="47"/>
      <c r="K472" s="47"/>
      <c r="L472" s="47"/>
    </row>
    <row r="473" ht="14.25" customHeight="1">
      <c r="I473" s="46"/>
      <c r="J473" s="47"/>
      <c r="K473" s="47"/>
      <c r="L473" s="47"/>
    </row>
    <row r="474" ht="14.25" customHeight="1">
      <c r="I474" s="46"/>
      <c r="J474" s="47"/>
      <c r="K474" s="47"/>
      <c r="L474" s="47"/>
    </row>
    <row r="475" ht="14.25" customHeight="1">
      <c r="I475" s="46"/>
      <c r="J475" s="47"/>
      <c r="K475" s="47"/>
      <c r="L475" s="47"/>
    </row>
    <row r="476" ht="14.25" customHeight="1">
      <c r="I476" s="46"/>
      <c r="J476" s="47"/>
      <c r="K476" s="47"/>
      <c r="L476" s="47"/>
    </row>
    <row r="477" ht="14.25" customHeight="1">
      <c r="I477" s="46"/>
      <c r="J477" s="47"/>
      <c r="K477" s="47"/>
      <c r="L477" s="47"/>
    </row>
    <row r="478" ht="14.25" customHeight="1">
      <c r="I478" s="46"/>
      <c r="J478" s="47"/>
      <c r="K478" s="47"/>
      <c r="L478" s="47"/>
    </row>
    <row r="479" ht="14.25" customHeight="1">
      <c r="I479" s="46"/>
      <c r="J479" s="47"/>
      <c r="K479" s="47"/>
      <c r="L479" s="47"/>
    </row>
    <row r="480" ht="14.25" customHeight="1">
      <c r="I480" s="46"/>
      <c r="J480" s="47"/>
      <c r="K480" s="47"/>
      <c r="L480" s="47"/>
    </row>
    <row r="481" ht="14.25" customHeight="1">
      <c r="I481" s="46"/>
      <c r="J481" s="47"/>
      <c r="K481" s="47"/>
      <c r="L481" s="47"/>
    </row>
    <row r="482" ht="14.25" customHeight="1">
      <c r="I482" s="46"/>
      <c r="J482" s="47"/>
      <c r="K482" s="47"/>
      <c r="L482" s="47"/>
    </row>
    <row r="483" ht="14.25" customHeight="1">
      <c r="I483" s="46"/>
      <c r="J483" s="47"/>
      <c r="K483" s="47"/>
      <c r="L483" s="47"/>
    </row>
    <row r="484" ht="14.25" customHeight="1">
      <c r="I484" s="46"/>
      <c r="J484" s="47"/>
      <c r="K484" s="47"/>
      <c r="L484" s="47"/>
    </row>
    <row r="485" ht="14.25" customHeight="1">
      <c r="I485" s="46"/>
      <c r="J485" s="47"/>
      <c r="K485" s="47"/>
      <c r="L485" s="47"/>
    </row>
    <row r="486" ht="14.25" customHeight="1">
      <c r="I486" s="46"/>
      <c r="J486" s="47"/>
      <c r="K486" s="47"/>
      <c r="L486" s="47"/>
    </row>
    <row r="487" ht="14.25" customHeight="1">
      <c r="I487" s="46"/>
      <c r="J487" s="47"/>
      <c r="K487" s="47"/>
      <c r="L487" s="47"/>
    </row>
    <row r="488" ht="14.25" customHeight="1">
      <c r="I488" s="46"/>
      <c r="J488" s="47"/>
      <c r="K488" s="47"/>
      <c r="L488" s="47"/>
    </row>
    <row r="489" ht="14.25" customHeight="1">
      <c r="I489" s="46"/>
      <c r="J489" s="47"/>
      <c r="K489" s="47"/>
      <c r="L489" s="47"/>
    </row>
    <row r="490" ht="14.25" customHeight="1">
      <c r="I490" s="46"/>
      <c r="J490" s="47"/>
      <c r="K490" s="47"/>
      <c r="L490" s="47"/>
    </row>
    <row r="491" ht="14.25" customHeight="1">
      <c r="I491" s="46"/>
      <c r="J491" s="47"/>
      <c r="K491" s="47"/>
      <c r="L491" s="47"/>
    </row>
    <row r="492" ht="14.25" customHeight="1">
      <c r="I492" s="46"/>
      <c r="J492" s="47"/>
      <c r="K492" s="47"/>
      <c r="L492" s="47"/>
    </row>
    <row r="493" ht="14.25" customHeight="1">
      <c r="I493" s="46"/>
      <c r="J493" s="47"/>
      <c r="K493" s="47"/>
      <c r="L493" s="47"/>
    </row>
    <row r="494" ht="14.25" customHeight="1">
      <c r="I494" s="46"/>
      <c r="J494" s="47"/>
      <c r="K494" s="47"/>
      <c r="L494" s="47"/>
    </row>
    <row r="495" ht="14.25" customHeight="1">
      <c r="I495" s="46"/>
      <c r="J495" s="47"/>
      <c r="K495" s="47"/>
      <c r="L495" s="47"/>
    </row>
    <row r="496" ht="14.25" customHeight="1">
      <c r="I496" s="46"/>
      <c r="J496" s="47"/>
      <c r="K496" s="47"/>
      <c r="L496" s="47"/>
    </row>
    <row r="497" ht="14.25" customHeight="1">
      <c r="I497" s="46"/>
      <c r="J497" s="47"/>
      <c r="K497" s="47"/>
      <c r="L497" s="47"/>
    </row>
    <row r="498" ht="14.25" customHeight="1">
      <c r="I498" s="46"/>
      <c r="J498" s="47"/>
      <c r="K498" s="47"/>
      <c r="L498" s="47"/>
    </row>
    <row r="499" ht="14.25" customHeight="1">
      <c r="I499" s="46"/>
      <c r="J499" s="47"/>
      <c r="K499" s="47"/>
      <c r="L499" s="47"/>
    </row>
    <row r="500" ht="14.25" customHeight="1">
      <c r="I500" s="46"/>
      <c r="J500" s="47"/>
      <c r="K500" s="47"/>
      <c r="L500" s="47"/>
    </row>
    <row r="501" ht="14.25" customHeight="1">
      <c r="I501" s="46"/>
      <c r="J501" s="47"/>
      <c r="K501" s="47"/>
      <c r="L501" s="47"/>
    </row>
    <row r="502" ht="14.25" customHeight="1">
      <c r="I502" s="46"/>
      <c r="J502" s="47"/>
      <c r="K502" s="47"/>
      <c r="L502" s="47"/>
    </row>
    <row r="503" ht="14.25" customHeight="1">
      <c r="I503" s="46"/>
      <c r="J503" s="47"/>
      <c r="K503" s="47"/>
      <c r="L503" s="47"/>
    </row>
    <row r="504" ht="14.25" customHeight="1">
      <c r="I504" s="46"/>
      <c r="J504" s="47"/>
      <c r="K504" s="47"/>
      <c r="L504" s="47"/>
    </row>
    <row r="505" ht="14.25" customHeight="1">
      <c r="I505" s="46"/>
      <c r="J505" s="47"/>
      <c r="K505" s="47"/>
      <c r="L505" s="47"/>
    </row>
    <row r="506" ht="14.25" customHeight="1">
      <c r="I506" s="46"/>
      <c r="J506" s="47"/>
      <c r="K506" s="47"/>
      <c r="L506" s="47"/>
    </row>
    <row r="507" ht="14.25" customHeight="1">
      <c r="I507" s="46"/>
      <c r="J507" s="47"/>
      <c r="K507" s="47"/>
      <c r="L507" s="47"/>
    </row>
    <row r="508" ht="14.25" customHeight="1">
      <c r="I508" s="46"/>
      <c r="J508" s="47"/>
      <c r="K508" s="47"/>
      <c r="L508" s="47"/>
    </row>
    <row r="509" ht="14.25" customHeight="1">
      <c r="I509" s="46"/>
      <c r="J509" s="47"/>
      <c r="K509" s="47"/>
      <c r="L509" s="47"/>
    </row>
    <row r="510" ht="14.25" customHeight="1">
      <c r="I510" s="46"/>
      <c r="J510" s="47"/>
      <c r="K510" s="47"/>
      <c r="L510" s="47"/>
    </row>
    <row r="511" ht="14.25" customHeight="1">
      <c r="I511" s="46"/>
      <c r="J511" s="47"/>
      <c r="K511" s="47"/>
      <c r="L511" s="47"/>
    </row>
    <row r="512" ht="14.25" customHeight="1">
      <c r="I512" s="46"/>
      <c r="J512" s="47"/>
      <c r="K512" s="47"/>
      <c r="L512" s="47"/>
    </row>
    <row r="513" ht="14.25" customHeight="1">
      <c r="I513" s="46"/>
      <c r="J513" s="47"/>
      <c r="K513" s="47"/>
      <c r="L513" s="47"/>
    </row>
    <row r="514" ht="14.25" customHeight="1">
      <c r="I514" s="46"/>
      <c r="J514" s="47"/>
      <c r="K514" s="47"/>
      <c r="L514" s="47"/>
    </row>
    <row r="515" ht="14.25" customHeight="1">
      <c r="I515" s="46"/>
      <c r="J515" s="47"/>
      <c r="K515" s="47"/>
      <c r="L515" s="47"/>
    </row>
    <row r="516" ht="14.25" customHeight="1">
      <c r="I516" s="46"/>
      <c r="J516" s="47"/>
      <c r="K516" s="47"/>
      <c r="L516" s="47"/>
    </row>
    <row r="517" ht="14.25" customHeight="1">
      <c r="I517" s="46"/>
      <c r="J517" s="47"/>
      <c r="K517" s="47"/>
      <c r="L517" s="47"/>
    </row>
    <row r="518" ht="14.25" customHeight="1">
      <c r="I518" s="46"/>
      <c r="J518" s="47"/>
      <c r="K518" s="47"/>
      <c r="L518" s="47"/>
    </row>
    <row r="519" ht="14.25" customHeight="1">
      <c r="I519" s="46"/>
      <c r="J519" s="47"/>
      <c r="K519" s="47"/>
      <c r="L519" s="47"/>
    </row>
    <row r="520" ht="14.25" customHeight="1">
      <c r="I520" s="46"/>
      <c r="J520" s="47"/>
      <c r="K520" s="47"/>
      <c r="L520" s="47"/>
    </row>
    <row r="521" ht="14.25" customHeight="1">
      <c r="I521" s="46"/>
      <c r="J521" s="47"/>
      <c r="K521" s="47"/>
      <c r="L521" s="47"/>
    </row>
    <row r="522" ht="14.25" customHeight="1">
      <c r="I522" s="46"/>
      <c r="J522" s="47"/>
      <c r="K522" s="47"/>
      <c r="L522" s="47"/>
    </row>
    <row r="523" ht="14.25" customHeight="1">
      <c r="I523" s="46"/>
      <c r="J523" s="47"/>
      <c r="K523" s="47"/>
      <c r="L523" s="47"/>
    </row>
    <row r="524" ht="14.25" customHeight="1">
      <c r="I524" s="46"/>
      <c r="J524" s="47"/>
      <c r="K524" s="47"/>
      <c r="L524" s="47"/>
    </row>
    <row r="525" ht="14.25" customHeight="1">
      <c r="I525" s="46"/>
      <c r="J525" s="47"/>
      <c r="K525" s="47"/>
      <c r="L525" s="47"/>
    </row>
    <row r="526" ht="14.25" customHeight="1">
      <c r="I526" s="46"/>
      <c r="J526" s="47"/>
      <c r="K526" s="47"/>
      <c r="L526" s="47"/>
    </row>
    <row r="527" ht="14.25" customHeight="1">
      <c r="I527" s="46"/>
      <c r="J527" s="47"/>
      <c r="K527" s="47"/>
      <c r="L527" s="47"/>
    </row>
    <row r="528" ht="14.25" customHeight="1">
      <c r="I528" s="46"/>
      <c r="J528" s="47"/>
      <c r="K528" s="47"/>
      <c r="L528" s="47"/>
    </row>
    <row r="529" ht="14.25" customHeight="1">
      <c r="I529" s="46"/>
      <c r="J529" s="47"/>
      <c r="K529" s="47"/>
      <c r="L529" s="47"/>
    </row>
    <row r="530" ht="14.25" customHeight="1">
      <c r="I530" s="46"/>
      <c r="J530" s="47"/>
      <c r="K530" s="47"/>
      <c r="L530" s="47"/>
    </row>
    <row r="531" ht="14.25" customHeight="1">
      <c r="I531" s="46"/>
      <c r="J531" s="47"/>
      <c r="K531" s="47"/>
      <c r="L531" s="47"/>
    </row>
    <row r="532" ht="14.25" customHeight="1">
      <c r="I532" s="46"/>
      <c r="J532" s="47"/>
      <c r="K532" s="47"/>
      <c r="L532" s="47"/>
    </row>
    <row r="533" ht="14.25" customHeight="1">
      <c r="I533" s="46"/>
      <c r="J533" s="47"/>
      <c r="K533" s="47"/>
      <c r="L533" s="47"/>
    </row>
    <row r="534" ht="14.25" customHeight="1">
      <c r="I534" s="46"/>
      <c r="J534" s="47"/>
      <c r="K534" s="47"/>
      <c r="L534" s="47"/>
    </row>
    <row r="535" ht="14.25" customHeight="1">
      <c r="I535" s="46"/>
      <c r="J535" s="47"/>
      <c r="K535" s="47"/>
      <c r="L535" s="47"/>
    </row>
    <row r="536" ht="14.25" customHeight="1">
      <c r="I536" s="46"/>
      <c r="J536" s="47"/>
      <c r="K536" s="47"/>
      <c r="L536" s="47"/>
    </row>
    <row r="537" ht="14.25" customHeight="1">
      <c r="I537" s="46"/>
      <c r="J537" s="47"/>
      <c r="K537" s="47"/>
      <c r="L537" s="47"/>
    </row>
    <row r="538" ht="14.25" customHeight="1">
      <c r="I538" s="46"/>
      <c r="J538" s="47"/>
      <c r="K538" s="47"/>
      <c r="L538" s="47"/>
    </row>
    <row r="539" ht="14.25" customHeight="1">
      <c r="I539" s="46"/>
      <c r="J539" s="47"/>
      <c r="K539" s="47"/>
      <c r="L539" s="47"/>
    </row>
    <row r="540" ht="14.25" customHeight="1">
      <c r="I540" s="46"/>
      <c r="J540" s="47"/>
      <c r="K540" s="47"/>
      <c r="L540" s="47"/>
    </row>
    <row r="541" ht="14.25" customHeight="1">
      <c r="I541" s="46"/>
      <c r="J541" s="47"/>
      <c r="K541" s="47"/>
      <c r="L541" s="47"/>
    </row>
    <row r="542" ht="14.25" customHeight="1">
      <c r="I542" s="46"/>
      <c r="J542" s="47"/>
      <c r="K542" s="47"/>
      <c r="L542" s="47"/>
    </row>
    <row r="543" ht="14.25" customHeight="1">
      <c r="I543" s="46"/>
      <c r="J543" s="47"/>
      <c r="K543" s="47"/>
      <c r="L543" s="47"/>
    </row>
    <row r="544" ht="14.25" customHeight="1">
      <c r="I544" s="46"/>
      <c r="J544" s="47"/>
      <c r="K544" s="47"/>
      <c r="L544" s="47"/>
    </row>
    <row r="545" ht="14.25" customHeight="1">
      <c r="I545" s="46"/>
      <c r="J545" s="47"/>
      <c r="K545" s="47"/>
      <c r="L545" s="47"/>
    </row>
    <row r="546" ht="14.25" customHeight="1">
      <c r="I546" s="46"/>
      <c r="J546" s="47"/>
      <c r="K546" s="47"/>
      <c r="L546" s="47"/>
    </row>
    <row r="547" ht="14.25" customHeight="1">
      <c r="I547" s="46"/>
      <c r="J547" s="47"/>
      <c r="K547" s="47"/>
      <c r="L547" s="47"/>
    </row>
    <row r="548" ht="14.25" customHeight="1">
      <c r="I548" s="46"/>
      <c r="J548" s="47"/>
      <c r="K548" s="47"/>
      <c r="L548" s="47"/>
    </row>
    <row r="549" ht="14.25" customHeight="1">
      <c r="I549" s="46"/>
      <c r="J549" s="47"/>
      <c r="K549" s="47"/>
      <c r="L549" s="47"/>
    </row>
    <row r="550" ht="14.25" customHeight="1">
      <c r="I550" s="46"/>
      <c r="J550" s="47"/>
      <c r="K550" s="47"/>
      <c r="L550" s="47"/>
    </row>
    <row r="551" ht="14.25" customHeight="1">
      <c r="I551" s="46"/>
      <c r="J551" s="47"/>
      <c r="K551" s="47"/>
      <c r="L551" s="47"/>
    </row>
    <row r="552" ht="14.25" customHeight="1">
      <c r="I552" s="46"/>
      <c r="J552" s="47"/>
      <c r="K552" s="47"/>
      <c r="L552" s="47"/>
    </row>
    <row r="553" ht="14.25" customHeight="1">
      <c r="I553" s="46"/>
      <c r="J553" s="47"/>
      <c r="K553" s="47"/>
      <c r="L553" s="47"/>
    </row>
    <row r="554" ht="14.25" customHeight="1">
      <c r="I554" s="46"/>
      <c r="J554" s="47"/>
      <c r="K554" s="47"/>
      <c r="L554" s="47"/>
    </row>
    <row r="555" ht="14.25" customHeight="1">
      <c r="I555" s="46"/>
      <c r="J555" s="47"/>
      <c r="K555" s="47"/>
      <c r="L555" s="47"/>
    </row>
    <row r="556" ht="14.25" customHeight="1">
      <c r="I556" s="46"/>
      <c r="J556" s="47"/>
      <c r="K556" s="47"/>
      <c r="L556" s="47"/>
    </row>
    <row r="557" ht="14.25" customHeight="1">
      <c r="I557" s="46"/>
      <c r="J557" s="47"/>
      <c r="K557" s="47"/>
      <c r="L557" s="47"/>
    </row>
    <row r="558" ht="14.25" customHeight="1">
      <c r="I558" s="46"/>
      <c r="J558" s="47"/>
      <c r="K558" s="47"/>
      <c r="L558" s="47"/>
    </row>
    <row r="559" ht="14.25" customHeight="1">
      <c r="I559" s="46"/>
      <c r="J559" s="47"/>
      <c r="K559" s="47"/>
      <c r="L559" s="47"/>
    </row>
    <row r="560" ht="14.25" customHeight="1">
      <c r="I560" s="46"/>
      <c r="J560" s="47"/>
      <c r="K560" s="47"/>
      <c r="L560" s="47"/>
    </row>
    <row r="561" ht="14.25" customHeight="1">
      <c r="I561" s="46"/>
      <c r="J561" s="47"/>
      <c r="K561" s="47"/>
      <c r="L561" s="47"/>
    </row>
    <row r="562" ht="14.25" customHeight="1">
      <c r="I562" s="46"/>
      <c r="J562" s="47"/>
      <c r="K562" s="47"/>
      <c r="L562" s="47"/>
    </row>
    <row r="563" ht="14.25" customHeight="1">
      <c r="I563" s="46"/>
      <c r="J563" s="47"/>
      <c r="K563" s="47"/>
      <c r="L563" s="47"/>
    </row>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R18:W18"/>
    <mergeCell ref="R17:W17"/>
    <mergeCell ref="R16:W16"/>
    <mergeCell ref="R15:W15"/>
    <mergeCell ref="R14:W14"/>
    <mergeCell ref="R13:W13"/>
    <mergeCell ref="R9:T9"/>
    <mergeCell ref="R8:T8"/>
    <mergeCell ref="R11:W11"/>
    <mergeCell ref="R12:W12"/>
    <mergeCell ref="R2:T2"/>
    <mergeCell ref="R4:X4"/>
    <mergeCell ref="R7:T7"/>
    <mergeCell ref="R6:T6"/>
    <mergeCell ref="R5:T5"/>
    <mergeCell ref="C2:I2"/>
    <mergeCell ref="C4:D4"/>
    <mergeCell ref="C6:J6"/>
    <mergeCell ref="C7:J7"/>
    <mergeCell ref="C10:L10"/>
    <mergeCell ref="C11:L11"/>
  </mergeCells>
  <dataValidations>
    <dataValidation type="list" allowBlank="1" showErrorMessage="1" sqref="C14:C363">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G14:G363">
      <formula1>"Online,Offline"</formula1>
    </dataValidation>
    <dataValidation type="list" allowBlank="1" showErrorMessage="1" sqref="D14:D363">
      <formula1>"East,West,North,Unknown,South"</formula1>
    </dataValidation>
    <dataValidation type="list" allowBlank="1" showErrorMessage="1" sqref="E14:E363">
      <formula1>"Germany,India,USA,UK,Australia"</formula1>
    </dataValidation>
    <dataValidation type="list" allowBlank="1" showErrorMessage="1" sqref="F14:F363">
      <formula1>"Beverages,Food,Clothing,Furniture,Electronics,Unknown"</formula1>
    </dataValidation>
    <dataValidation type="list" allowBlank="1" showErrorMessage="1" sqref="H14:H363">
      <formula1>"High,Low,Medium"</formula1>
    </dataValidation>
  </dataValidations>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8.63"/>
    <col customWidth="1" min="6" max="6" width="10.63"/>
    <col customWidth="1" min="7" max="8" width="8.63"/>
    <col customWidth="1" min="9" max="9" width="12.88"/>
    <col customWidth="1" min="10" max="10" width="14.13"/>
    <col customWidth="1" min="11" max="11" width="14.38"/>
    <col customWidth="1" min="12" max="15" width="8.63"/>
    <col customWidth="1" min="16" max="16" width="13.13"/>
    <col customWidth="1" min="17" max="23" width="8.63"/>
  </cols>
  <sheetData>
    <row r="1" ht="14.25" customHeight="1"/>
    <row r="2" ht="14.25" customHeight="1">
      <c r="C2" s="52" t="s">
        <v>461</v>
      </c>
      <c r="D2" s="36"/>
      <c r="E2" s="36"/>
      <c r="F2" s="36"/>
      <c r="G2" s="36"/>
      <c r="H2" s="36"/>
      <c r="I2" s="36"/>
      <c r="J2" s="36"/>
      <c r="K2" s="36"/>
      <c r="L2" s="36"/>
      <c r="M2" s="36"/>
    </row>
    <row r="3" ht="14.25" customHeight="1"/>
    <row r="4" ht="14.25" customHeight="1"/>
    <row r="5" ht="14.25" customHeight="1">
      <c r="C5" s="48" t="s">
        <v>442</v>
      </c>
      <c r="D5" s="36"/>
    </row>
    <row r="6" ht="14.25" customHeight="1"/>
    <row r="7" ht="14.25" customHeight="1">
      <c r="C7" s="37" t="s">
        <v>462</v>
      </c>
      <c r="D7" s="36"/>
      <c r="E7" s="36"/>
      <c r="F7" s="36"/>
      <c r="G7" s="36"/>
      <c r="H7" s="36"/>
      <c r="I7" s="36"/>
      <c r="J7" s="36"/>
      <c r="K7" s="36"/>
      <c r="L7" s="36"/>
      <c r="M7" s="36"/>
    </row>
    <row r="8" ht="14.25" customHeight="1">
      <c r="C8" s="37" t="s">
        <v>463</v>
      </c>
      <c r="D8" s="36"/>
      <c r="E8" s="36"/>
      <c r="F8" s="36"/>
      <c r="G8" s="36"/>
      <c r="H8" s="36"/>
      <c r="I8" s="36"/>
      <c r="J8" s="36"/>
      <c r="K8" s="36"/>
      <c r="L8" s="36"/>
      <c r="M8" s="36"/>
    </row>
    <row r="9" ht="14.25" customHeight="1"/>
    <row r="10" ht="14.25" customHeight="1"/>
    <row r="11" ht="14.25" customHeight="1">
      <c r="C11" s="37" t="s">
        <v>464</v>
      </c>
      <c r="D11" s="36"/>
      <c r="E11" s="36"/>
      <c r="F11" s="36"/>
      <c r="G11" s="36"/>
      <c r="H11" s="36"/>
      <c r="I11" s="36"/>
      <c r="J11" s="36"/>
      <c r="K11" s="36"/>
      <c r="L11" s="36"/>
      <c r="M11" s="36"/>
    </row>
    <row r="12" ht="14.25" customHeight="1">
      <c r="C12" s="37" t="s">
        <v>465</v>
      </c>
      <c r="D12" s="36"/>
      <c r="E12" s="36"/>
      <c r="F12" s="36"/>
      <c r="G12" s="36"/>
      <c r="H12" s="36"/>
      <c r="I12" s="36"/>
      <c r="J12" s="36"/>
      <c r="K12" s="36"/>
      <c r="L12" s="36"/>
      <c r="M12" s="36"/>
    </row>
    <row r="13" ht="14.25" customHeight="1">
      <c r="C13" s="37" t="s">
        <v>466</v>
      </c>
      <c r="D13" s="36"/>
      <c r="E13" s="36"/>
      <c r="F13" s="36"/>
      <c r="G13" s="36"/>
      <c r="H13" s="36"/>
      <c r="I13" s="36"/>
      <c r="J13" s="36"/>
      <c r="K13" s="36"/>
      <c r="L13" s="36"/>
      <c r="M13" s="36"/>
    </row>
    <row r="14" ht="14.25" customHeight="1"/>
    <row r="15" ht="14.25" customHeight="1"/>
    <row r="16" ht="14.25" customHeight="1">
      <c r="C16" s="38" t="s">
        <v>0</v>
      </c>
      <c r="D16" s="38" t="s">
        <v>1</v>
      </c>
      <c r="E16" s="38" t="s">
        <v>2</v>
      </c>
      <c r="F16" s="38" t="s">
        <v>3</v>
      </c>
      <c r="G16" s="38" t="s">
        <v>4</v>
      </c>
      <c r="H16" s="38" t="s">
        <v>5</v>
      </c>
      <c r="I16" s="38" t="s">
        <v>6</v>
      </c>
      <c r="J16" s="38" t="s">
        <v>7</v>
      </c>
      <c r="K16" s="39" t="s">
        <v>8</v>
      </c>
      <c r="L16" s="39" t="s">
        <v>9</v>
      </c>
      <c r="M16" s="39" t="s">
        <v>10</v>
      </c>
      <c r="N16" s="39" t="s">
        <v>11</v>
      </c>
      <c r="O16" s="39" t="s">
        <v>12</v>
      </c>
      <c r="P16" s="38" t="s">
        <v>383</v>
      </c>
      <c r="R16" s="53" t="s">
        <v>7</v>
      </c>
      <c r="T16" s="49"/>
      <c r="U16" s="49"/>
      <c r="V16" s="49"/>
      <c r="W16" s="49"/>
      <c r="X16" s="49"/>
      <c r="Y16" s="49"/>
      <c r="Z16" s="49"/>
    </row>
    <row r="17" ht="14.25" customHeight="1">
      <c r="C17" s="40" t="s">
        <v>13</v>
      </c>
      <c r="D17" s="41" t="s">
        <v>14</v>
      </c>
      <c r="E17" s="41" t="s">
        <v>15</v>
      </c>
      <c r="F17" s="41" t="s">
        <v>16</v>
      </c>
      <c r="G17" s="41" t="s">
        <v>17</v>
      </c>
      <c r="H17" s="41" t="s">
        <v>18</v>
      </c>
      <c r="I17" s="42">
        <v>44927.0</v>
      </c>
      <c r="J17" s="41">
        <v>235.0</v>
      </c>
      <c r="K17" s="43">
        <v>152.92</v>
      </c>
      <c r="L17" s="43">
        <v>153.6</v>
      </c>
      <c r="M17" s="43">
        <v>35936.2</v>
      </c>
      <c r="N17" s="43">
        <v>36096.0</v>
      </c>
      <c r="O17" s="43">
        <v>-159.8000000000029</v>
      </c>
      <c r="P17" s="44">
        <v>-0.00444676955270738</v>
      </c>
      <c r="R17" s="54" t="s">
        <v>467</v>
      </c>
    </row>
    <row r="18" ht="14.25" customHeight="1">
      <c r="C18" s="41" t="s">
        <v>19</v>
      </c>
      <c r="D18" s="41" t="s">
        <v>20</v>
      </c>
      <c r="E18" s="41" t="s">
        <v>21</v>
      </c>
      <c r="F18" s="41" t="s">
        <v>22</v>
      </c>
      <c r="G18" s="41" t="s">
        <v>17</v>
      </c>
      <c r="H18" s="41" t="s">
        <v>23</v>
      </c>
      <c r="I18" s="42">
        <v>44928.0</v>
      </c>
      <c r="J18" s="41">
        <v>341.0</v>
      </c>
      <c r="K18" s="43">
        <v>467.92</v>
      </c>
      <c r="L18" s="43">
        <v>139.84</v>
      </c>
      <c r="M18" s="43">
        <v>159560.72</v>
      </c>
      <c r="N18" s="43">
        <v>47685.44</v>
      </c>
      <c r="O18" s="43">
        <v>111875.28</v>
      </c>
      <c r="P18" s="44">
        <v>0.7011454949564028</v>
      </c>
      <c r="R18" s="49" t="s">
        <v>468</v>
      </c>
    </row>
    <row r="19" ht="14.25" customHeight="1">
      <c r="C19" s="41" t="s">
        <v>24</v>
      </c>
      <c r="D19" s="41" t="s">
        <v>25</v>
      </c>
      <c r="E19" s="41" t="s">
        <v>21</v>
      </c>
      <c r="F19" s="41" t="s">
        <v>26</v>
      </c>
      <c r="G19" s="41" t="s">
        <v>27</v>
      </c>
      <c r="H19" s="41" t="s">
        <v>18</v>
      </c>
      <c r="I19" s="42">
        <v>44929.0</v>
      </c>
      <c r="J19" s="41">
        <v>179.0</v>
      </c>
      <c r="K19" s="43">
        <v>473.94</v>
      </c>
      <c r="L19" s="43">
        <v>97.14</v>
      </c>
      <c r="M19" s="43">
        <v>84835.26</v>
      </c>
      <c r="N19" s="43">
        <v>17388.06</v>
      </c>
      <c r="O19" s="43">
        <v>67447.2</v>
      </c>
      <c r="P19" s="44">
        <v>0.7950373464995569</v>
      </c>
      <c r="R19" s="49" t="s">
        <v>469</v>
      </c>
    </row>
    <row r="20" ht="14.25" customHeight="1">
      <c r="C20" s="41" t="s">
        <v>28</v>
      </c>
      <c r="D20" s="41" t="s">
        <v>14</v>
      </c>
      <c r="E20" s="41" t="s">
        <v>29</v>
      </c>
      <c r="F20" s="41" t="s">
        <v>30</v>
      </c>
      <c r="G20" s="41" t="s">
        <v>27</v>
      </c>
      <c r="H20" s="41" t="s">
        <v>31</v>
      </c>
      <c r="I20" s="42">
        <v>44930.0</v>
      </c>
      <c r="J20" s="41">
        <v>18.0</v>
      </c>
      <c r="K20" s="43">
        <v>314.53</v>
      </c>
      <c r="L20" s="43">
        <v>204.87</v>
      </c>
      <c r="M20" s="43">
        <v>5661.539999999999</v>
      </c>
      <c r="N20" s="43">
        <v>3687.66</v>
      </c>
      <c r="O20" s="43">
        <v>1973.8799999999992</v>
      </c>
      <c r="P20" s="44">
        <v>0.3486471878676119</v>
      </c>
      <c r="R20" s="49" t="s">
        <v>470</v>
      </c>
    </row>
    <row r="21" ht="14.25" customHeight="1">
      <c r="C21" s="41" t="s">
        <v>32</v>
      </c>
      <c r="D21" s="41" t="s">
        <v>14</v>
      </c>
      <c r="E21" s="41" t="s">
        <v>21</v>
      </c>
      <c r="F21" s="41" t="s">
        <v>30</v>
      </c>
      <c r="G21" s="41" t="s">
        <v>27</v>
      </c>
      <c r="H21" s="41" t="s">
        <v>31</v>
      </c>
      <c r="I21" s="42">
        <v>44931.0</v>
      </c>
      <c r="J21" s="41">
        <v>472.0</v>
      </c>
      <c r="K21" s="43">
        <v>392.79</v>
      </c>
      <c r="L21" s="43">
        <v>330.46</v>
      </c>
      <c r="M21" s="43">
        <v>185396.88</v>
      </c>
      <c r="N21" s="43">
        <v>155977.12</v>
      </c>
      <c r="O21" s="43">
        <v>29419.76000000001</v>
      </c>
      <c r="P21" s="44">
        <v>0.15868530257898628</v>
      </c>
      <c r="R21" s="49" t="s">
        <v>471</v>
      </c>
    </row>
    <row r="22" ht="14.25" customHeight="1">
      <c r="C22" s="41" t="s">
        <v>33</v>
      </c>
      <c r="D22" s="41" t="s">
        <v>20</v>
      </c>
      <c r="E22" s="41" t="s">
        <v>34</v>
      </c>
      <c r="F22" s="41" t="s">
        <v>26</v>
      </c>
      <c r="G22" s="41" t="s">
        <v>17</v>
      </c>
      <c r="H22" s="41" t="s">
        <v>18</v>
      </c>
      <c r="I22" s="42">
        <v>44932.0</v>
      </c>
      <c r="J22" s="41">
        <v>49.0</v>
      </c>
      <c r="K22" s="43">
        <v>308.07</v>
      </c>
      <c r="L22" s="43">
        <v>113.32</v>
      </c>
      <c r="M22" s="43">
        <v>15095.43</v>
      </c>
      <c r="N22" s="43">
        <v>5552.679999999999</v>
      </c>
      <c r="O22" s="43">
        <v>9542.75</v>
      </c>
      <c r="P22" s="44">
        <v>0.6321615217320739</v>
      </c>
      <c r="R22" s="49" t="s">
        <v>472</v>
      </c>
    </row>
    <row r="23" ht="14.25" customHeight="1">
      <c r="C23" s="41" t="s">
        <v>35</v>
      </c>
      <c r="D23" s="41" t="s">
        <v>25</v>
      </c>
      <c r="E23" s="41" t="s">
        <v>15</v>
      </c>
      <c r="F23" s="41" t="s">
        <v>26</v>
      </c>
      <c r="G23" s="41" t="s">
        <v>17</v>
      </c>
      <c r="H23" s="41" t="s">
        <v>23</v>
      </c>
      <c r="I23" s="42">
        <v>44933.0</v>
      </c>
      <c r="J23" s="41">
        <v>34.0</v>
      </c>
      <c r="K23" s="43">
        <v>244.78</v>
      </c>
      <c r="L23" s="43">
        <v>377.07</v>
      </c>
      <c r="M23" s="43">
        <v>8322.52</v>
      </c>
      <c r="N23" s="43">
        <v>12820.38</v>
      </c>
      <c r="O23" s="43">
        <v>-4497.859999999999</v>
      </c>
      <c r="P23" s="44">
        <v>-0.5404444807582317</v>
      </c>
      <c r="R23" s="49" t="s">
        <v>473</v>
      </c>
    </row>
    <row r="24" ht="14.25" customHeight="1">
      <c r="C24" s="41" t="s">
        <v>36</v>
      </c>
      <c r="D24" s="41" t="s">
        <v>25</v>
      </c>
      <c r="E24" s="41" t="s">
        <v>21</v>
      </c>
      <c r="F24" s="41" t="s">
        <v>16</v>
      </c>
      <c r="G24" s="41" t="s">
        <v>17</v>
      </c>
      <c r="H24" s="41" t="s">
        <v>18</v>
      </c>
      <c r="I24" s="42">
        <v>44934.0</v>
      </c>
      <c r="J24" s="41">
        <v>270.0</v>
      </c>
      <c r="K24" s="43">
        <v>332.11</v>
      </c>
      <c r="L24" s="43">
        <v>349.59</v>
      </c>
      <c r="M24" s="43">
        <v>89669.7</v>
      </c>
      <c r="N24" s="43">
        <v>94389.29999999999</v>
      </c>
      <c r="O24" s="43">
        <v>-4719.599999999991</v>
      </c>
      <c r="P24" s="44">
        <v>-0.05263316371081861</v>
      </c>
      <c r="R24" s="49" t="s">
        <v>474</v>
      </c>
    </row>
    <row r="25" ht="14.25" customHeight="1">
      <c r="C25" s="41" t="s">
        <v>37</v>
      </c>
      <c r="D25" s="41" t="s">
        <v>14</v>
      </c>
      <c r="E25" s="41" t="s">
        <v>21</v>
      </c>
      <c r="F25" s="41" t="s">
        <v>16</v>
      </c>
      <c r="G25" s="41" t="s">
        <v>17</v>
      </c>
      <c r="H25" s="41" t="s">
        <v>23</v>
      </c>
      <c r="I25" s="42">
        <v>44935.0</v>
      </c>
      <c r="J25" s="41">
        <v>404.0</v>
      </c>
      <c r="K25" s="43">
        <v>278.74</v>
      </c>
      <c r="L25" s="43">
        <v>66.38</v>
      </c>
      <c r="M25" s="43">
        <v>112610.96</v>
      </c>
      <c r="N25" s="43">
        <v>26817.519999999997</v>
      </c>
      <c r="O25" s="43">
        <v>85793.44</v>
      </c>
      <c r="P25" s="44">
        <v>0.7618569276027839</v>
      </c>
      <c r="R25" s="49" t="s">
        <v>475</v>
      </c>
    </row>
    <row r="26" ht="14.25" customHeight="1">
      <c r="C26" s="41" t="s">
        <v>38</v>
      </c>
      <c r="D26" s="41" t="s">
        <v>39</v>
      </c>
      <c r="E26" s="41" t="s">
        <v>29</v>
      </c>
      <c r="F26" s="41" t="s">
        <v>30</v>
      </c>
      <c r="G26" s="41" t="s">
        <v>17</v>
      </c>
      <c r="H26" s="41" t="s">
        <v>31</v>
      </c>
      <c r="I26" s="42">
        <v>44936.0</v>
      </c>
      <c r="J26" s="41">
        <v>452.0</v>
      </c>
      <c r="K26" s="43">
        <v>300.75</v>
      </c>
      <c r="L26" s="43">
        <v>314.94</v>
      </c>
      <c r="M26" s="43">
        <v>135939.0</v>
      </c>
      <c r="N26" s="43">
        <v>142352.88</v>
      </c>
      <c r="O26" s="43">
        <v>-6413.880000000005</v>
      </c>
      <c r="P26" s="44">
        <v>-0.047182044887780585</v>
      </c>
      <c r="R26" s="49" t="s">
        <v>476</v>
      </c>
    </row>
    <row r="27" ht="14.25" customHeight="1">
      <c r="C27" s="41" t="s">
        <v>40</v>
      </c>
      <c r="D27" s="41" t="s">
        <v>14</v>
      </c>
      <c r="E27" s="41" t="s">
        <v>29</v>
      </c>
      <c r="F27" s="41" t="s">
        <v>22</v>
      </c>
      <c r="G27" s="41" t="s">
        <v>17</v>
      </c>
      <c r="H27" s="41" t="s">
        <v>23</v>
      </c>
      <c r="I27" s="42">
        <v>44937.0</v>
      </c>
      <c r="J27" s="41">
        <v>235.0</v>
      </c>
      <c r="K27" s="43">
        <v>393.0</v>
      </c>
      <c r="L27" s="43">
        <v>230.69</v>
      </c>
      <c r="M27" s="43">
        <v>92355.0</v>
      </c>
      <c r="N27" s="43">
        <v>54212.15</v>
      </c>
      <c r="O27" s="43">
        <v>38142.85</v>
      </c>
      <c r="P27" s="44">
        <v>0.41300254452926205</v>
      </c>
    </row>
    <row r="28" ht="14.25" customHeight="1">
      <c r="C28" s="41" t="s">
        <v>41</v>
      </c>
      <c r="D28" s="41" t="s">
        <v>14</v>
      </c>
      <c r="E28" s="41" t="s">
        <v>34</v>
      </c>
      <c r="F28" s="41" t="s">
        <v>30</v>
      </c>
      <c r="G28" s="41" t="s">
        <v>27</v>
      </c>
      <c r="H28" s="41" t="s">
        <v>31</v>
      </c>
      <c r="I28" s="42">
        <v>44938.0</v>
      </c>
      <c r="J28" s="41">
        <v>481.0</v>
      </c>
      <c r="K28" s="43">
        <v>243.05</v>
      </c>
      <c r="L28" s="43">
        <v>227.5</v>
      </c>
      <c r="M28" s="43">
        <v>116907.05</v>
      </c>
      <c r="N28" s="43">
        <v>109427.5</v>
      </c>
      <c r="O28" s="43">
        <v>7479.550000000003</v>
      </c>
      <c r="P28" s="44">
        <v>0.06397860522526232</v>
      </c>
    </row>
    <row r="29" ht="14.25" customHeight="1">
      <c r="C29" s="41" t="s">
        <v>42</v>
      </c>
      <c r="D29" s="41" t="s">
        <v>14</v>
      </c>
      <c r="E29" s="41" t="s">
        <v>15</v>
      </c>
      <c r="F29" s="41" t="s">
        <v>22</v>
      </c>
      <c r="G29" s="41" t="s">
        <v>27</v>
      </c>
      <c r="H29" s="41" t="s">
        <v>23</v>
      </c>
      <c r="I29" s="42">
        <v>44939.0</v>
      </c>
      <c r="J29" s="41">
        <v>133.0</v>
      </c>
      <c r="K29" s="43">
        <v>25.17</v>
      </c>
      <c r="L29" s="43">
        <v>157.64</v>
      </c>
      <c r="M29" s="43">
        <v>3347.61</v>
      </c>
      <c r="N29" s="43">
        <v>20966.12</v>
      </c>
      <c r="O29" s="43">
        <v>-17618.51</v>
      </c>
      <c r="P29" s="44">
        <v>-5.263011521652761</v>
      </c>
      <c r="R29" s="30" t="s">
        <v>8</v>
      </c>
    </row>
    <row r="30" ht="14.25" customHeight="1">
      <c r="C30" s="41" t="s">
        <v>43</v>
      </c>
      <c r="D30" s="41" t="s">
        <v>14</v>
      </c>
      <c r="E30" s="41" t="s">
        <v>29</v>
      </c>
      <c r="F30" s="41" t="s">
        <v>22</v>
      </c>
      <c r="G30" s="41" t="s">
        <v>27</v>
      </c>
      <c r="H30" s="41" t="s">
        <v>23</v>
      </c>
      <c r="I30" s="42">
        <v>44940.0</v>
      </c>
      <c r="J30" s="41">
        <v>472.0</v>
      </c>
      <c r="K30" s="43">
        <v>86.18</v>
      </c>
      <c r="L30" s="43">
        <v>201.46</v>
      </c>
      <c r="M30" s="43">
        <v>40676.96000000001</v>
      </c>
      <c r="N30" s="43">
        <v>95089.12000000001</v>
      </c>
      <c r="O30" s="43">
        <v>-54412.16</v>
      </c>
      <c r="P30" s="44">
        <v>-1.337665351589696</v>
      </c>
      <c r="R30" s="49" t="s">
        <v>477</v>
      </c>
    </row>
    <row r="31" ht="14.25" customHeight="1">
      <c r="C31" s="41" t="s">
        <v>44</v>
      </c>
      <c r="D31" s="41" t="s">
        <v>20</v>
      </c>
      <c r="E31" s="41" t="s">
        <v>21</v>
      </c>
      <c r="F31" s="41" t="s">
        <v>16</v>
      </c>
      <c r="G31" s="41" t="s">
        <v>27</v>
      </c>
      <c r="H31" s="41" t="s">
        <v>23</v>
      </c>
      <c r="I31" s="42">
        <v>44941.0</v>
      </c>
      <c r="J31" s="41">
        <v>47.0</v>
      </c>
      <c r="K31" s="43">
        <v>222.11</v>
      </c>
      <c r="L31" s="43">
        <v>160.08</v>
      </c>
      <c r="M31" s="43">
        <v>10439.17</v>
      </c>
      <c r="N31" s="43">
        <v>7523.76</v>
      </c>
      <c r="O31" s="43">
        <v>2915.41</v>
      </c>
      <c r="P31" s="44">
        <v>0.27927603439737064</v>
      </c>
      <c r="R31" s="49" t="s">
        <v>478</v>
      </c>
    </row>
    <row r="32" ht="14.25" customHeight="1">
      <c r="C32" s="41" t="s">
        <v>45</v>
      </c>
      <c r="D32" s="41" t="s">
        <v>25</v>
      </c>
      <c r="E32" s="41" t="s">
        <v>15</v>
      </c>
      <c r="F32" s="41" t="s">
        <v>46</v>
      </c>
      <c r="G32" s="41" t="s">
        <v>17</v>
      </c>
      <c r="H32" s="41" t="s">
        <v>18</v>
      </c>
      <c r="I32" s="42">
        <v>44942.0</v>
      </c>
      <c r="J32" s="41">
        <v>337.0</v>
      </c>
      <c r="K32" s="43">
        <v>363.79</v>
      </c>
      <c r="L32" s="43">
        <v>216.81</v>
      </c>
      <c r="M32" s="43">
        <v>122597.23000000001</v>
      </c>
      <c r="N32" s="43">
        <v>73064.97</v>
      </c>
      <c r="O32" s="43">
        <v>49532.26000000001</v>
      </c>
      <c r="P32" s="44">
        <v>0.4040242997333627</v>
      </c>
      <c r="R32" s="49" t="s">
        <v>479</v>
      </c>
    </row>
    <row r="33" ht="14.25" customHeight="1">
      <c r="C33" s="41" t="s">
        <v>47</v>
      </c>
      <c r="D33" s="41" t="s">
        <v>20</v>
      </c>
      <c r="E33" s="41" t="s">
        <v>15</v>
      </c>
      <c r="F33" s="41" t="s">
        <v>46</v>
      </c>
      <c r="G33" s="41" t="s">
        <v>17</v>
      </c>
      <c r="H33" s="41" t="s">
        <v>18</v>
      </c>
      <c r="I33" s="42">
        <v>44943.0</v>
      </c>
      <c r="J33" s="41">
        <v>260.0</v>
      </c>
      <c r="K33" s="43">
        <v>298.67</v>
      </c>
      <c r="L33" s="43">
        <v>251.92</v>
      </c>
      <c r="M33" s="43">
        <v>77654.2</v>
      </c>
      <c r="N33" s="43">
        <v>65499.2</v>
      </c>
      <c r="O33" s="43">
        <v>12155.0</v>
      </c>
      <c r="P33" s="44">
        <v>0.15652727090099441</v>
      </c>
      <c r="R33" s="49" t="s">
        <v>480</v>
      </c>
    </row>
    <row r="34" ht="14.25" customHeight="1">
      <c r="C34" s="41" t="s">
        <v>48</v>
      </c>
      <c r="D34" s="41" t="s">
        <v>39</v>
      </c>
      <c r="E34" s="41" t="s">
        <v>21</v>
      </c>
      <c r="F34" s="41" t="s">
        <v>26</v>
      </c>
      <c r="G34" s="41" t="s">
        <v>27</v>
      </c>
      <c r="H34" s="41" t="s">
        <v>31</v>
      </c>
      <c r="I34" s="42">
        <v>44944.0</v>
      </c>
      <c r="J34" s="41">
        <v>398.0</v>
      </c>
      <c r="K34" s="43">
        <v>326.9</v>
      </c>
      <c r="L34" s="43">
        <v>270.37</v>
      </c>
      <c r="M34" s="43">
        <v>130106.2</v>
      </c>
      <c r="N34" s="43">
        <v>107607.26</v>
      </c>
      <c r="O34" s="43">
        <v>22498.940000000002</v>
      </c>
      <c r="P34" s="44">
        <v>0.17292750076475988</v>
      </c>
      <c r="R34" s="49" t="s">
        <v>481</v>
      </c>
    </row>
    <row r="35" ht="14.25" customHeight="1">
      <c r="C35" s="41" t="s">
        <v>49</v>
      </c>
      <c r="D35" s="41" t="s">
        <v>20</v>
      </c>
      <c r="E35" s="41" t="s">
        <v>29</v>
      </c>
      <c r="F35" s="41" t="s">
        <v>16</v>
      </c>
      <c r="G35" s="41" t="s">
        <v>17</v>
      </c>
      <c r="H35" s="41" t="s">
        <v>31</v>
      </c>
      <c r="I35" s="42">
        <v>44945.0</v>
      </c>
      <c r="J35" s="41">
        <v>185.0</v>
      </c>
      <c r="K35" s="43">
        <v>242.24</v>
      </c>
      <c r="L35" s="43">
        <v>213.93</v>
      </c>
      <c r="M35" s="43">
        <v>44814.4</v>
      </c>
      <c r="N35" s="43">
        <v>39577.05</v>
      </c>
      <c r="O35" s="43">
        <v>5237.3499999999985</v>
      </c>
      <c r="P35" s="44">
        <v>0.11686756935270802</v>
      </c>
      <c r="R35" s="49" t="s">
        <v>482</v>
      </c>
    </row>
    <row r="36" ht="14.25" customHeight="1">
      <c r="C36" s="41" t="s">
        <v>50</v>
      </c>
      <c r="D36" s="41" t="s">
        <v>14</v>
      </c>
      <c r="E36" s="41" t="s">
        <v>21</v>
      </c>
      <c r="F36" s="41" t="s">
        <v>22</v>
      </c>
      <c r="G36" s="41" t="s">
        <v>27</v>
      </c>
      <c r="H36" s="41" t="s">
        <v>18</v>
      </c>
      <c r="I36" s="42">
        <v>44946.0</v>
      </c>
      <c r="J36" s="41">
        <v>99.0</v>
      </c>
      <c r="K36" s="43">
        <v>309.79</v>
      </c>
      <c r="L36" s="43">
        <v>289.13</v>
      </c>
      <c r="M36" s="43">
        <v>30669.210000000003</v>
      </c>
      <c r="N36" s="43">
        <v>28623.87</v>
      </c>
      <c r="O36" s="43">
        <v>2045.3400000000038</v>
      </c>
      <c r="P36" s="44">
        <v>0.06669033861648226</v>
      </c>
      <c r="R36" s="49" t="s">
        <v>483</v>
      </c>
    </row>
    <row r="37" ht="14.25" customHeight="1">
      <c r="C37" s="41" t="s">
        <v>51</v>
      </c>
      <c r="D37" s="41" t="s">
        <v>52</v>
      </c>
      <c r="E37" s="41" t="s">
        <v>15</v>
      </c>
      <c r="F37" s="41" t="s">
        <v>46</v>
      </c>
      <c r="G37" s="41" t="s">
        <v>27</v>
      </c>
      <c r="H37" s="41" t="s">
        <v>31</v>
      </c>
      <c r="I37" s="42">
        <v>44947.0</v>
      </c>
      <c r="J37" s="41">
        <v>411.0</v>
      </c>
      <c r="K37" s="43">
        <v>167.86</v>
      </c>
      <c r="L37" s="43">
        <v>58.23</v>
      </c>
      <c r="M37" s="43">
        <v>68990.46</v>
      </c>
      <c r="N37" s="43">
        <v>23932.53</v>
      </c>
      <c r="O37" s="43">
        <v>45057.93000000001</v>
      </c>
      <c r="P37" s="44">
        <v>0.6531037769569881</v>
      </c>
      <c r="R37" s="49" t="s">
        <v>484</v>
      </c>
    </row>
    <row r="38" ht="14.25" customHeight="1">
      <c r="C38" s="41" t="s">
        <v>53</v>
      </c>
      <c r="D38" s="41" t="s">
        <v>25</v>
      </c>
      <c r="E38" s="41" t="s">
        <v>54</v>
      </c>
      <c r="F38" s="41" t="s">
        <v>22</v>
      </c>
      <c r="G38" s="41" t="s">
        <v>27</v>
      </c>
      <c r="H38" s="41" t="s">
        <v>18</v>
      </c>
      <c r="I38" s="42">
        <v>44948.0</v>
      </c>
      <c r="J38" s="41">
        <v>463.0</v>
      </c>
      <c r="K38" s="43">
        <v>237.74</v>
      </c>
      <c r="L38" s="43">
        <v>86.37</v>
      </c>
      <c r="M38" s="43">
        <v>110073.62000000001</v>
      </c>
      <c r="N38" s="43">
        <v>39989.310000000005</v>
      </c>
      <c r="O38" s="43">
        <v>70084.31</v>
      </c>
      <c r="P38" s="44">
        <v>0.6367039623117691</v>
      </c>
      <c r="R38" s="49" t="s">
        <v>485</v>
      </c>
    </row>
    <row r="39" ht="14.25" customHeight="1">
      <c r="C39" s="41" t="s">
        <v>55</v>
      </c>
      <c r="D39" s="41" t="s">
        <v>52</v>
      </c>
      <c r="E39" s="41" t="s">
        <v>54</v>
      </c>
      <c r="F39" s="41" t="s">
        <v>46</v>
      </c>
      <c r="G39" s="41" t="s">
        <v>17</v>
      </c>
      <c r="H39" s="41" t="s">
        <v>23</v>
      </c>
      <c r="I39" s="42">
        <v>44949.0</v>
      </c>
      <c r="J39" s="41">
        <v>46.0</v>
      </c>
      <c r="K39" s="43">
        <v>373.42</v>
      </c>
      <c r="L39" s="43">
        <v>327.86</v>
      </c>
      <c r="M39" s="43">
        <v>17177.32</v>
      </c>
      <c r="N39" s="43">
        <v>15081.560000000001</v>
      </c>
      <c r="O39" s="43">
        <v>2095.7599999999984</v>
      </c>
      <c r="P39" s="44">
        <v>0.1220073911413421</v>
      </c>
      <c r="R39" s="49" t="s">
        <v>486</v>
      </c>
    </row>
    <row r="40" ht="14.25" customHeight="1">
      <c r="C40" s="41" t="s">
        <v>56</v>
      </c>
      <c r="D40" s="41" t="s">
        <v>20</v>
      </c>
      <c r="E40" s="41" t="s">
        <v>34</v>
      </c>
      <c r="F40" s="41" t="s">
        <v>46</v>
      </c>
      <c r="G40" s="41" t="s">
        <v>27</v>
      </c>
      <c r="H40" s="41" t="s">
        <v>31</v>
      </c>
      <c r="I40" s="42">
        <v>44950.0</v>
      </c>
      <c r="J40" s="41">
        <v>325.0</v>
      </c>
      <c r="K40" s="43">
        <v>436.56</v>
      </c>
      <c r="L40" s="43">
        <v>130.37</v>
      </c>
      <c r="M40" s="43">
        <v>141882.0</v>
      </c>
      <c r="N40" s="43">
        <v>42370.25</v>
      </c>
      <c r="O40" s="43">
        <v>99511.75</v>
      </c>
      <c r="P40" s="44">
        <v>0.7013698002565513</v>
      </c>
      <c r="R40" s="49" t="s">
        <v>487</v>
      </c>
    </row>
    <row r="41" ht="14.25" customHeight="1">
      <c r="C41" s="41" t="s">
        <v>57</v>
      </c>
      <c r="D41" s="41" t="s">
        <v>20</v>
      </c>
      <c r="E41" s="41" t="s">
        <v>21</v>
      </c>
      <c r="F41" s="41" t="s">
        <v>39</v>
      </c>
      <c r="G41" s="41" t="s">
        <v>27</v>
      </c>
      <c r="H41" s="41" t="s">
        <v>31</v>
      </c>
      <c r="I41" s="42">
        <v>44951.0</v>
      </c>
      <c r="J41" s="41">
        <v>185.0</v>
      </c>
      <c r="K41" s="43">
        <v>219.66</v>
      </c>
      <c r="L41" s="43">
        <v>11.11</v>
      </c>
      <c r="M41" s="43">
        <v>40637.1</v>
      </c>
      <c r="N41" s="43">
        <v>2055.35</v>
      </c>
      <c r="O41" s="43">
        <v>38581.75</v>
      </c>
      <c r="P41" s="44">
        <v>0.9494218337430574</v>
      </c>
    </row>
    <row r="42" ht="14.25" customHeight="1">
      <c r="C42" s="41" t="s">
        <v>58</v>
      </c>
      <c r="D42" s="41" t="s">
        <v>52</v>
      </c>
      <c r="E42" s="41" t="s">
        <v>21</v>
      </c>
      <c r="F42" s="41" t="s">
        <v>16</v>
      </c>
      <c r="G42" s="41" t="s">
        <v>27</v>
      </c>
      <c r="H42" s="41" t="s">
        <v>18</v>
      </c>
      <c r="I42" s="42">
        <v>44952.0</v>
      </c>
      <c r="J42" s="41">
        <v>470.0</v>
      </c>
      <c r="K42" s="43">
        <v>26.61</v>
      </c>
      <c r="L42" s="43">
        <v>63.21</v>
      </c>
      <c r="M42" s="43">
        <v>12506.699999999999</v>
      </c>
      <c r="N42" s="43">
        <v>29708.7</v>
      </c>
      <c r="O42" s="43">
        <v>-17202.0</v>
      </c>
      <c r="P42" s="44">
        <v>-1.3754227733934612</v>
      </c>
    </row>
    <row r="43" ht="14.25" customHeight="1">
      <c r="C43" s="41" t="s">
        <v>59</v>
      </c>
      <c r="D43" s="41" t="s">
        <v>52</v>
      </c>
      <c r="E43" s="41" t="s">
        <v>34</v>
      </c>
      <c r="F43" s="41" t="s">
        <v>30</v>
      </c>
      <c r="G43" s="41" t="s">
        <v>17</v>
      </c>
      <c r="H43" s="41" t="s">
        <v>31</v>
      </c>
      <c r="I43" s="42">
        <v>44953.0</v>
      </c>
      <c r="J43" s="41">
        <v>293.0</v>
      </c>
      <c r="K43" s="43">
        <v>85.03</v>
      </c>
      <c r="L43" s="43">
        <v>91.0</v>
      </c>
      <c r="M43" s="43">
        <v>24913.79</v>
      </c>
      <c r="N43" s="43">
        <v>26663.0</v>
      </c>
      <c r="O43" s="43">
        <v>-1749.2099999999991</v>
      </c>
      <c r="P43" s="44">
        <v>-0.07021051393625775</v>
      </c>
    </row>
    <row r="44" ht="14.25" customHeight="1">
      <c r="C44" s="41" t="s">
        <v>60</v>
      </c>
      <c r="D44" s="41" t="s">
        <v>52</v>
      </c>
      <c r="E44" s="41" t="s">
        <v>34</v>
      </c>
      <c r="F44" s="41" t="s">
        <v>22</v>
      </c>
      <c r="G44" s="41" t="s">
        <v>17</v>
      </c>
      <c r="H44" s="41" t="s">
        <v>31</v>
      </c>
      <c r="I44" s="42">
        <v>44954.0</v>
      </c>
      <c r="J44" s="41">
        <v>462.0</v>
      </c>
      <c r="K44" s="43">
        <v>249.64520588235297</v>
      </c>
      <c r="L44" s="43">
        <v>383.01</v>
      </c>
      <c r="M44" s="43">
        <v>115336.08511764708</v>
      </c>
      <c r="N44" s="43">
        <v>176950.62</v>
      </c>
      <c r="O44" s="43">
        <v>-61614.53488235292</v>
      </c>
      <c r="P44" s="44">
        <v>-0.5342173251285911</v>
      </c>
    </row>
    <row r="45" ht="14.25" customHeight="1">
      <c r="C45" s="41" t="s">
        <v>61</v>
      </c>
      <c r="D45" s="41" t="s">
        <v>20</v>
      </c>
      <c r="E45" s="41" t="s">
        <v>34</v>
      </c>
      <c r="F45" s="41" t="s">
        <v>16</v>
      </c>
      <c r="G45" s="41" t="s">
        <v>27</v>
      </c>
      <c r="H45" s="41" t="s">
        <v>23</v>
      </c>
      <c r="I45" s="42">
        <v>44955.0</v>
      </c>
      <c r="J45" s="41">
        <v>470.0</v>
      </c>
      <c r="K45" s="43">
        <v>328.37</v>
      </c>
      <c r="L45" s="43">
        <v>230.07</v>
      </c>
      <c r="M45" s="43">
        <v>154333.9</v>
      </c>
      <c r="N45" s="43">
        <v>108132.9</v>
      </c>
      <c r="O45" s="43">
        <v>46201.0</v>
      </c>
      <c r="P45" s="44">
        <v>0.29935743216493593</v>
      </c>
    </row>
    <row r="46" ht="14.25" customHeight="1">
      <c r="C46" s="41" t="s">
        <v>62</v>
      </c>
      <c r="D46" s="41" t="s">
        <v>20</v>
      </c>
      <c r="E46" s="41" t="s">
        <v>15</v>
      </c>
      <c r="F46" s="41" t="s">
        <v>16</v>
      </c>
      <c r="G46" s="41" t="s">
        <v>17</v>
      </c>
      <c r="H46" s="41" t="s">
        <v>31</v>
      </c>
      <c r="I46" s="42">
        <v>44956.0</v>
      </c>
      <c r="J46" s="41">
        <v>90.0</v>
      </c>
      <c r="K46" s="43">
        <v>169.5</v>
      </c>
      <c r="L46" s="43">
        <v>373.23</v>
      </c>
      <c r="M46" s="43">
        <v>15255.0</v>
      </c>
      <c r="N46" s="43">
        <v>33590.700000000004</v>
      </c>
      <c r="O46" s="43">
        <v>-18335.700000000004</v>
      </c>
      <c r="P46" s="44">
        <v>-1.2019469026548675</v>
      </c>
    </row>
    <row r="47" ht="14.25" customHeight="1">
      <c r="C47" s="41" t="s">
        <v>63</v>
      </c>
      <c r="D47" s="41" t="s">
        <v>39</v>
      </c>
      <c r="E47" s="41" t="s">
        <v>21</v>
      </c>
      <c r="F47" s="41" t="s">
        <v>16</v>
      </c>
      <c r="G47" s="41" t="s">
        <v>17</v>
      </c>
      <c r="H47" s="41" t="s">
        <v>23</v>
      </c>
      <c r="I47" s="42">
        <v>44957.0</v>
      </c>
      <c r="J47" s="41">
        <v>123.0</v>
      </c>
      <c r="K47" s="43">
        <v>273.53</v>
      </c>
      <c r="L47" s="43">
        <v>230.92</v>
      </c>
      <c r="M47" s="43">
        <v>33644.189999999995</v>
      </c>
      <c r="N47" s="43">
        <v>28403.16</v>
      </c>
      <c r="O47" s="43">
        <v>5241.029999999995</v>
      </c>
      <c r="P47" s="44">
        <v>0.15577815961686092</v>
      </c>
    </row>
    <row r="48" ht="14.25" customHeight="1">
      <c r="C48" s="41" t="s">
        <v>64</v>
      </c>
      <c r="D48" s="41" t="s">
        <v>25</v>
      </c>
      <c r="E48" s="41" t="s">
        <v>15</v>
      </c>
      <c r="F48" s="41" t="s">
        <v>16</v>
      </c>
      <c r="G48" s="41" t="s">
        <v>17</v>
      </c>
      <c r="H48" s="41" t="s">
        <v>18</v>
      </c>
      <c r="I48" s="42">
        <v>44958.0</v>
      </c>
      <c r="J48" s="41">
        <v>49.0</v>
      </c>
      <c r="K48" s="43">
        <v>249.17</v>
      </c>
      <c r="L48" s="43">
        <v>192.78</v>
      </c>
      <c r="M48" s="43">
        <v>12209.33</v>
      </c>
      <c r="N48" s="43">
        <v>9446.22</v>
      </c>
      <c r="O48" s="43">
        <v>2763.1100000000006</v>
      </c>
      <c r="P48" s="44">
        <v>0.226311353694265</v>
      </c>
    </row>
    <row r="49" ht="14.25" customHeight="1">
      <c r="C49" s="41" t="s">
        <v>65</v>
      </c>
      <c r="D49" s="41" t="s">
        <v>20</v>
      </c>
      <c r="E49" s="41" t="s">
        <v>34</v>
      </c>
      <c r="F49" s="41" t="s">
        <v>16</v>
      </c>
      <c r="G49" s="41" t="s">
        <v>17</v>
      </c>
      <c r="H49" s="41" t="s">
        <v>31</v>
      </c>
      <c r="I49" s="42">
        <v>44959.0</v>
      </c>
      <c r="J49" s="41">
        <v>310.0</v>
      </c>
      <c r="K49" s="43">
        <v>45.36</v>
      </c>
      <c r="L49" s="43">
        <v>126.86</v>
      </c>
      <c r="M49" s="43">
        <v>14061.6</v>
      </c>
      <c r="N49" s="43">
        <v>39326.6</v>
      </c>
      <c r="O49" s="43">
        <v>-25265.0</v>
      </c>
      <c r="P49" s="44">
        <v>-1.79673721340388</v>
      </c>
    </row>
    <row r="50" ht="14.25" customHeight="1">
      <c r="C50" s="41" t="s">
        <v>66</v>
      </c>
      <c r="D50" s="41" t="s">
        <v>52</v>
      </c>
      <c r="E50" s="41" t="s">
        <v>21</v>
      </c>
      <c r="F50" s="41" t="s">
        <v>26</v>
      </c>
      <c r="G50" s="41" t="s">
        <v>17</v>
      </c>
      <c r="H50" s="41" t="s">
        <v>23</v>
      </c>
      <c r="I50" s="42">
        <v>44960.0</v>
      </c>
      <c r="J50" s="41">
        <v>233.0</v>
      </c>
      <c r="K50" s="43">
        <v>204.61</v>
      </c>
      <c r="L50" s="43">
        <v>243.34</v>
      </c>
      <c r="M50" s="43">
        <v>47674.130000000005</v>
      </c>
      <c r="N50" s="43">
        <v>56698.22</v>
      </c>
      <c r="O50" s="43">
        <v>-9024.089999999997</v>
      </c>
      <c r="P50" s="44">
        <v>-0.18928693612237907</v>
      </c>
    </row>
    <row r="51" ht="14.25" customHeight="1">
      <c r="C51" s="41" t="s">
        <v>67</v>
      </c>
      <c r="D51" s="41" t="s">
        <v>52</v>
      </c>
      <c r="E51" s="41" t="s">
        <v>15</v>
      </c>
      <c r="F51" s="41" t="s">
        <v>22</v>
      </c>
      <c r="G51" s="41" t="s">
        <v>17</v>
      </c>
      <c r="H51" s="41" t="s">
        <v>18</v>
      </c>
      <c r="I51" s="42">
        <v>44961.0</v>
      </c>
      <c r="J51" s="41">
        <v>327.0</v>
      </c>
      <c r="K51" s="43">
        <v>114.18</v>
      </c>
      <c r="L51" s="43">
        <v>57.4</v>
      </c>
      <c r="M51" s="43">
        <v>37336.86</v>
      </c>
      <c r="N51" s="43">
        <v>18769.8</v>
      </c>
      <c r="O51" s="43">
        <v>18567.06</v>
      </c>
      <c r="P51" s="44">
        <v>0.4972849886144684</v>
      </c>
    </row>
    <row r="52" ht="14.25" customHeight="1">
      <c r="C52" s="41" t="s">
        <v>68</v>
      </c>
      <c r="D52" s="41" t="s">
        <v>25</v>
      </c>
      <c r="E52" s="41" t="s">
        <v>15</v>
      </c>
      <c r="F52" s="41" t="s">
        <v>16</v>
      </c>
      <c r="G52" s="41" t="s">
        <v>17</v>
      </c>
      <c r="H52" s="41" t="s">
        <v>31</v>
      </c>
      <c r="I52" s="42">
        <v>44962.0</v>
      </c>
      <c r="J52" s="41">
        <v>358.0</v>
      </c>
      <c r="K52" s="43">
        <v>212.11</v>
      </c>
      <c r="L52" s="43">
        <v>359.51</v>
      </c>
      <c r="M52" s="43">
        <v>75935.38</v>
      </c>
      <c r="N52" s="43">
        <v>128704.58</v>
      </c>
      <c r="O52" s="43">
        <v>-52769.2</v>
      </c>
      <c r="P52" s="44">
        <v>-0.6949224459007118</v>
      </c>
    </row>
    <row r="53" ht="14.25" customHeight="1">
      <c r="C53" s="41" t="s">
        <v>69</v>
      </c>
      <c r="D53" s="41" t="s">
        <v>20</v>
      </c>
      <c r="E53" s="41" t="s">
        <v>34</v>
      </c>
      <c r="F53" s="41" t="s">
        <v>22</v>
      </c>
      <c r="G53" s="41" t="s">
        <v>17</v>
      </c>
      <c r="H53" s="41" t="s">
        <v>18</v>
      </c>
      <c r="I53" s="42">
        <v>44963.0</v>
      </c>
      <c r="J53" s="41">
        <v>124.0</v>
      </c>
      <c r="K53" s="43">
        <v>249.64520588235297</v>
      </c>
      <c r="L53" s="43">
        <v>332.07</v>
      </c>
      <c r="M53" s="43">
        <v>30956.005529411766</v>
      </c>
      <c r="N53" s="43">
        <v>41176.68</v>
      </c>
      <c r="O53" s="43">
        <v>-10220.674470588234</v>
      </c>
      <c r="P53" s="44">
        <v>-0.3301677427624639</v>
      </c>
    </row>
    <row r="54" ht="14.25" customHeight="1">
      <c r="C54" s="41" t="s">
        <v>70</v>
      </c>
      <c r="D54" s="41" t="s">
        <v>25</v>
      </c>
      <c r="E54" s="41" t="s">
        <v>21</v>
      </c>
      <c r="F54" s="41" t="s">
        <v>26</v>
      </c>
      <c r="G54" s="41" t="s">
        <v>17</v>
      </c>
      <c r="H54" s="41" t="s">
        <v>31</v>
      </c>
      <c r="I54" s="42">
        <v>44964.0</v>
      </c>
      <c r="J54" s="41">
        <v>195.0</v>
      </c>
      <c r="K54" s="43">
        <v>421.02</v>
      </c>
      <c r="L54" s="43">
        <v>128.38</v>
      </c>
      <c r="M54" s="43">
        <v>82098.9</v>
      </c>
      <c r="N54" s="43">
        <v>25034.1</v>
      </c>
      <c r="O54" s="43">
        <v>57064.799999999996</v>
      </c>
      <c r="P54" s="44">
        <v>0.6950738682247875</v>
      </c>
    </row>
    <row r="55" ht="14.25" customHeight="1">
      <c r="C55" s="41" t="s">
        <v>71</v>
      </c>
      <c r="D55" s="41" t="s">
        <v>25</v>
      </c>
      <c r="E55" s="41" t="s">
        <v>34</v>
      </c>
      <c r="F55" s="41" t="s">
        <v>26</v>
      </c>
      <c r="G55" s="41" t="s">
        <v>17</v>
      </c>
      <c r="H55" s="41" t="s">
        <v>18</v>
      </c>
      <c r="I55" s="42">
        <v>44965.0</v>
      </c>
      <c r="J55" s="45">
        <v>255.9029411764706</v>
      </c>
      <c r="K55" s="43">
        <v>91.23</v>
      </c>
      <c r="L55" s="43">
        <v>381.21</v>
      </c>
      <c r="M55" s="43">
        <v>23346.02532352941</v>
      </c>
      <c r="N55" s="43">
        <v>97552.76020588235</v>
      </c>
      <c r="O55" s="43">
        <v>-74206.73488235295</v>
      </c>
      <c r="P55" s="44">
        <v>-3.1785596843143704</v>
      </c>
    </row>
    <row r="56" ht="14.25" customHeight="1">
      <c r="C56" s="41" t="s">
        <v>72</v>
      </c>
      <c r="D56" s="41" t="s">
        <v>14</v>
      </c>
      <c r="E56" s="41" t="s">
        <v>21</v>
      </c>
      <c r="F56" s="41" t="s">
        <v>22</v>
      </c>
      <c r="G56" s="41" t="s">
        <v>27</v>
      </c>
      <c r="H56" s="41" t="s">
        <v>18</v>
      </c>
      <c r="I56" s="42">
        <v>44966.0</v>
      </c>
      <c r="J56" s="41">
        <v>65.0</v>
      </c>
      <c r="K56" s="43">
        <v>480.59</v>
      </c>
      <c r="L56" s="43">
        <v>330.43</v>
      </c>
      <c r="M56" s="43">
        <v>31238.35</v>
      </c>
      <c r="N56" s="43">
        <v>21477.95</v>
      </c>
      <c r="O56" s="43">
        <v>9760.399999999998</v>
      </c>
      <c r="P56" s="44">
        <v>0.31244928109199105</v>
      </c>
    </row>
    <row r="57" ht="14.25" customHeight="1">
      <c r="C57" s="41" t="s">
        <v>73</v>
      </c>
      <c r="D57" s="41" t="s">
        <v>14</v>
      </c>
      <c r="E57" s="41" t="s">
        <v>54</v>
      </c>
      <c r="F57" s="41" t="s">
        <v>46</v>
      </c>
      <c r="G57" s="41" t="s">
        <v>27</v>
      </c>
      <c r="H57" s="41" t="s">
        <v>23</v>
      </c>
      <c r="I57" s="42">
        <v>44967.0</v>
      </c>
      <c r="J57" s="41">
        <v>49.0</v>
      </c>
      <c r="K57" s="43">
        <v>210.87</v>
      </c>
      <c r="L57" s="43">
        <v>267.19</v>
      </c>
      <c r="M57" s="43">
        <v>10332.630000000001</v>
      </c>
      <c r="N57" s="43">
        <v>13092.31</v>
      </c>
      <c r="O57" s="43">
        <v>-2759.6799999999985</v>
      </c>
      <c r="P57" s="44">
        <v>-0.26708398539384437</v>
      </c>
    </row>
    <row r="58" ht="14.25" customHeight="1">
      <c r="C58" s="41" t="s">
        <v>74</v>
      </c>
      <c r="D58" s="41" t="s">
        <v>14</v>
      </c>
      <c r="E58" s="41" t="s">
        <v>29</v>
      </c>
      <c r="F58" s="41" t="s">
        <v>30</v>
      </c>
      <c r="G58" s="41" t="s">
        <v>17</v>
      </c>
      <c r="H58" s="41" t="s">
        <v>18</v>
      </c>
      <c r="I58" s="42">
        <v>44968.0</v>
      </c>
      <c r="J58" s="41">
        <v>363.0</v>
      </c>
      <c r="K58" s="43">
        <v>423.89</v>
      </c>
      <c r="L58" s="43">
        <v>50.46</v>
      </c>
      <c r="M58" s="43">
        <v>153872.07</v>
      </c>
      <c r="N58" s="43">
        <v>18316.98</v>
      </c>
      <c r="O58" s="43">
        <v>135555.09</v>
      </c>
      <c r="P58" s="44">
        <v>0.8809596829366109</v>
      </c>
    </row>
    <row r="59" ht="14.25" customHeight="1">
      <c r="C59" s="41" t="s">
        <v>75</v>
      </c>
      <c r="D59" s="41" t="s">
        <v>52</v>
      </c>
      <c r="E59" s="41" t="s">
        <v>29</v>
      </c>
      <c r="F59" s="41" t="s">
        <v>46</v>
      </c>
      <c r="G59" s="41" t="s">
        <v>27</v>
      </c>
      <c r="H59" s="41" t="s">
        <v>31</v>
      </c>
      <c r="I59" s="42">
        <v>44969.0</v>
      </c>
      <c r="J59" s="41">
        <v>49.0</v>
      </c>
      <c r="K59" s="43">
        <v>316.24</v>
      </c>
      <c r="L59" s="43">
        <v>192.34</v>
      </c>
      <c r="M59" s="43">
        <v>15495.76</v>
      </c>
      <c r="N59" s="43">
        <v>9424.66</v>
      </c>
      <c r="O59" s="43">
        <v>6071.1</v>
      </c>
      <c r="P59" s="44">
        <v>0.3917910447761194</v>
      </c>
    </row>
    <row r="60" ht="14.25" customHeight="1">
      <c r="C60" s="41" t="s">
        <v>76</v>
      </c>
      <c r="D60" s="41" t="s">
        <v>20</v>
      </c>
      <c r="E60" s="41" t="s">
        <v>29</v>
      </c>
      <c r="F60" s="41" t="s">
        <v>46</v>
      </c>
      <c r="G60" s="41" t="s">
        <v>27</v>
      </c>
      <c r="H60" s="41" t="s">
        <v>31</v>
      </c>
      <c r="I60" s="42">
        <v>44970.0</v>
      </c>
      <c r="J60" s="41">
        <v>356.0</v>
      </c>
      <c r="K60" s="43">
        <v>369.0</v>
      </c>
      <c r="L60" s="43">
        <v>203.43</v>
      </c>
      <c r="M60" s="43">
        <v>131364.0</v>
      </c>
      <c r="N60" s="43">
        <v>72421.08</v>
      </c>
      <c r="O60" s="43">
        <v>58942.92</v>
      </c>
      <c r="P60" s="44">
        <v>0.4486991869918699</v>
      </c>
    </row>
    <row r="61" ht="14.25" customHeight="1">
      <c r="C61" s="41" t="s">
        <v>77</v>
      </c>
      <c r="D61" s="41" t="s">
        <v>20</v>
      </c>
      <c r="E61" s="41" t="s">
        <v>34</v>
      </c>
      <c r="F61" s="41" t="s">
        <v>46</v>
      </c>
      <c r="G61" s="41" t="s">
        <v>17</v>
      </c>
      <c r="H61" s="41" t="s">
        <v>23</v>
      </c>
      <c r="I61" s="42">
        <v>44971.0</v>
      </c>
      <c r="J61" s="41">
        <v>470.0</v>
      </c>
      <c r="K61" s="43">
        <v>249.64520588235297</v>
      </c>
      <c r="L61" s="43">
        <v>94.56</v>
      </c>
      <c r="M61" s="43">
        <v>117333.2467647059</v>
      </c>
      <c r="N61" s="43">
        <v>44443.200000000004</v>
      </c>
      <c r="O61" s="43">
        <v>72890.04676470588</v>
      </c>
      <c r="P61" s="44">
        <v>0.6212224478103454</v>
      </c>
    </row>
    <row r="62" ht="14.25" customHeight="1">
      <c r="C62" s="41" t="s">
        <v>78</v>
      </c>
      <c r="D62" s="41" t="s">
        <v>20</v>
      </c>
      <c r="E62" s="41" t="s">
        <v>54</v>
      </c>
      <c r="F62" s="41" t="s">
        <v>16</v>
      </c>
      <c r="G62" s="41" t="s">
        <v>17</v>
      </c>
      <c r="H62" s="41" t="s">
        <v>31</v>
      </c>
      <c r="I62" s="42">
        <v>44972.0</v>
      </c>
      <c r="J62" s="41">
        <v>246.0</v>
      </c>
      <c r="K62" s="43">
        <v>254.9</v>
      </c>
      <c r="L62" s="43">
        <v>33.83</v>
      </c>
      <c r="M62" s="43">
        <v>62705.4</v>
      </c>
      <c r="N62" s="43">
        <v>8322.18</v>
      </c>
      <c r="O62" s="43">
        <v>54383.22</v>
      </c>
      <c r="P62" s="44">
        <v>0.8672812867791291</v>
      </c>
    </row>
    <row r="63" ht="14.25" customHeight="1">
      <c r="C63" s="41" t="s">
        <v>79</v>
      </c>
      <c r="D63" s="41" t="s">
        <v>20</v>
      </c>
      <c r="E63" s="41" t="s">
        <v>21</v>
      </c>
      <c r="F63" s="41" t="s">
        <v>26</v>
      </c>
      <c r="G63" s="41" t="s">
        <v>17</v>
      </c>
      <c r="H63" s="41" t="s">
        <v>31</v>
      </c>
      <c r="I63" s="42">
        <v>44973.0</v>
      </c>
      <c r="J63" s="41">
        <v>298.0</v>
      </c>
      <c r="K63" s="43">
        <v>273.93</v>
      </c>
      <c r="L63" s="43">
        <v>311.14</v>
      </c>
      <c r="M63" s="43">
        <v>81631.14</v>
      </c>
      <c r="N63" s="43">
        <v>92719.72</v>
      </c>
      <c r="O63" s="43">
        <v>-11088.580000000002</v>
      </c>
      <c r="P63" s="44">
        <v>-0.1358376227503377</v>
      </c>
    </row>
    <row r="64" ht="14.25" customHeight="1">
      <c r="C64" s="41" t="s">
        <v>80</v>
      </c>
      <c r="D64" s="41" t="s">
        <v>14</v>
      </c>
      <c r="E64" s="41" t="s">
        <v>15</v>
      </c>
      <c r="F64" s="41" t="s">
        <v>46</v>
      </c>
      <c r="G64" s="41" t="s">
        <v>27</v>
      </c>
      <c r="H64" s="41" t="s">
        <v>31</v>
      </c>
      <c r="I64" s="42">
        <v>44974.0</v>
      </c>
      <c r="J64" s="41">
        <v>271.0</v>
      </c>
      <c r="K64" s="43">
        <v>259.43</v>
      </c>
      <c r="L64" s="43">
        <v>50.57</v>
      </c>
      <c r="M64" s="43">
        <v>70305.53</v>
      </c>
      <c r="N64" s="43">
        <v>13704.47</v>
      </c>
      <c r="O64" s="43">
        <v>56601.06</v>
      </c>
      <c r="P64" s="44">
        <v>0.8050726592915237</v>
      </c>
    </row>
    <row r="65" ht="14.25" customHeight="1">
      <c r="C65" s="41" t="s">
        <v>81</v>
      </c>
      <c r="D65" s="41" t="s">
        <v>52</v>
      </c>
      <c r="E65" s="41" t="s">
        <v>21</v>
      </c>
      <c r="F65" s="41" t="s">
        <v>26</v>
      </c>
      <c r="G65" s="41" t="s">
        <v>27</v>
      </c>
      <c r="H65" s="41" t="s">
        <v>18</v>
      </c>
      <c r="I65" s="42">
        <v>44975.0</v>
      </c>
      <c r="J65" s="41">
        <v>225.0</v>
      </c>
      <c r="K65" s="43">
        <v>296.09</v>
      </c>
      <c r="L65" s="43">
        <v>238.53</v>
      </c>
      <c r="M65" s="43">
        <v>66620.25</v>
      </c>
      <c r="N65" s="43">
        <v>53669.25</v>
      </c>
      <c r="O65" s="43">
        <v>12951.0</v>
      </c>
      <c r="P65" s="44">
        <v>0.19440035124455401</v>
      </c>
    </row>
    <row r="66" ht="14.25" customHeight="1">
      <c r="C66" s="41" t="s">
        <v>82</v>
      </c>
      <c r="D66" s="41" t="s">
        <v>39</v>
      </c>
      <c r="E66" s="41" t="s">
        <v>15</v>
      </c>
      <c r="F66" s="41" t="s">
        <v>22</v>
      </c>
      <c r="G66" s="41" t="s">
        <v>17</v>
      </c>
      <c r="H66" s="41" t="s">
        <v>18</v>
      </c>
      <c r="I66" s="42">
        <v>44976.0</v>
      </c>
      <c r="J66" s="41">
        <v>156.0</v>
      </c>
      <c r="K66" s="43">
        <v>19.55</v>
      </c>
      <c r="L66" s="43">
        <v>374.71</v>
      </c>
      <c r="M66" s="43">
        <v>3049.8</v>
      </c>
      <c r="N66" s="43">
        <v>58454.759999999995</v>
      </c>
      <c r="O66" s="43">
        <v>-55404.95999999999</v>
      </c>
      <c r="P66" s="44">
        <v>-18.166751918158564</v>
      </c>
    </row>
    <row r="67" ht="14.25" customHeight="1">
      <c r="C67" s="41" t="s">
        <v>83</v>
      </c>
      <c r="D67" s="41" t="s">
        <v>14</v>
      </c>
      <c r="E67" s="41" t="s">
        <v>21</v>
      </c>
      <c r="F67" s="41" t="s">
        <v>30</v>
      </c>
      <c r="G67" s="41" t="s">
        <v>17</v>
      </c>
      <c r="H67" s="41" t="s">
        <v>31</v>
      </c>
      <c r="I67" s="42">
        <v>44977.0</v>
      </c>
      <c r="J67" s="41">
        <v>345.0</v>
      </c>
      <c r="K67" s="43">
        <v>200.78</v>
      </c>
      <c r="L67" s="43">
        <v>350.69</v>
      </c>
      <c r="M67" s="43">
        <v>69269.1</v>
      </c>
      <c r="N67" s="43">
        <v>120988.05</v>
      </c>
      <c r="O67" s="43">
        <v>-51718.95</v>
      </c>
      <c r="P67" s="44">
        <v>-0.7466381113656738</v>
      </c>
    </row>
    <row r="68" ht="14.25" customHeight="1">
      <c r="C68" s="41" t="s">
        <v>84</v>
      </c>
      <c r="D68" s="41" t="s">
        <v>52</v>
      </c>
      <c r="E68" s="41" t="s">
        <v>54</v>
      </c>
      <c r="F68" s="41" t="s">
        <v>22</v>
      </c>
      <c r="G68" s="41" t="s">
        <v>17</v>
      </c>
      <c r="H68" s="41" t="s">
        <v>23</v>
      </c>
      <c r="I68" s="42">
        <v>44978.0</v>
      </c>
      <c r="J68" s="41">
        <v>177.0</v>
      </c>
      <c r="K68" s="43">
        <v>305.06</v>
      </c>
      <c r="L68" s="43">
        <v>112.55</v>
      </c>
      <c r="M68" s="43">
        <v>53995.62</v>
      </c>
      <c r="N68" s="43">
        <v>19921.35</v>
      </c>
      <c r="O68" s="43">
        <v>34074.270000000004</v>
      </c>
      <c r="P68" s="44">
        <v>0.6310561856683932</v>
      </c>
    </row>
    <row r="69" ht="14.25" customHeight="1">
      <c r="C69" s="41" t="s">
        <v>85</v>
      </c>
      <c r="D69" s="41" t="s">
        <v>14</v>
      </c>
      <c r="E69" s="41" t="s">
        <v>15</v>
      </c>
      <c r="F69" s="41" t="s">
        <v>22</v>
      </c>
      <c r="G69" s="41" t="s">
        <v>27</v>
      </c>
      <c r="H69" s="41" t="s">
        <v>18</v>
      </c>
      <c r="I69" s="42">
        <v>44979.0</v>
      </c>
      <c r="J69" s="41">
        <v>101.0</v>
      </c>
      <c r="K69" s="43">
        <v>300.87</v>
      </c>
      <c r="L69" s="43">
        <v>340.88</v>
      </c>
      <c r="M69" s="43">
        <v>30387.87</v>
      </c>
      <c r="N69" s="43">
        <v>34428.88</v>
      </c>
      <c r="O69" s="43">
        <v>-4041.0099999999984</v>
      </c>
      <c r="P69" s="44">
        <v>-0.1329810217037258</v>
      </c>
    </row>
    <row r="70" ht="14.25" customHeight="1">
      <c r="C70" s="41" t="s">
        <v>86</v>
      </c>
      <c r="D70" s="41" t="s">
        <v>20</v>
      </c>
      <c r="E70" s="41" t="s">
        <v>34</v>
      </c>
      <c r="F70" s="41" t="s">
        <v>16</v>
      </c>
      <c r="G70" s="41" t="s">
        <v>27</v>
      </c>
      <c r="H70" s="41" t="s">
        <v>23</v>
      </c>
      <c r="I70" s="42">
        <v>44980.0</v>
      </c>
      <c r="J70" s="41">
        <v>362.0</v>
      </c>
      <c r="K70" s="43">
        <v>397.51</v>
      </c>
      <c r="L70" s="43">
        <v>2.13</v>
      </c>
      <c r="M70" s="43">
        <v>143898.62</v>
      </c>
      <c r="N70" s="43">
        <v>771.06</v>
      </c>
      <c r="O70" s="43">
        <v>143127.56</v>
      </c>
      <c r="P70" s="44">
        <v>0.9946416442353652</v>
      </c>
    </row>
    <row r="71" ht="14.25" customHeight="1">
      <c r="C71" s="41" t="s">
        <v>87</v>
      </c>
      <c r="D71" s="41" t="s">
        <v>14</v>
      </c>
      <c r="E71" s="41" t="s">
        <v>21</v>
      </c>
      <c r="F71" s="41" t="s">
        <v>30</v>
      </c>
      <c r="G71" s="41" t="s">
        <v>27</v>
      </c>
      <c r="H71" s="41" t="s">
        <v>31</v>
      </c>
      <c r="I71" s="42">
        <v>44981.0</v>
      </c>
      <c r="J71" s="41">
        <v>68.0</v>
      </c>
      <c r="K71" s="43">
        <v>329.23</v>
      </c>
      <c r="L71" s="43">
        <v>9.04</v>
      </c>
      <c r="M71" s="43">
        <v>22387.64</v>
      </c>
      <c r="N71" s="43">
        <v>614.7199999999999</v>
      </c>
      <c r="O71" s="43">
        <v>21772.92</v>
      </c>
      <c r="P71" s="44">
        <v>0.9725419919205418</v>
      </c>
    </row>
    <row r="72" ht="14.25" customHeight="1">
      <c r="C72" s="41" t="s">
        <v>88</v>
      </c>
      <c r="D72" s="41" t="s">
        <v>20</v>
      </c>
      <c r="E72" s="41" t="s">
        <v>21</v>
      </c>
      <c r="F72" s="41" t="s">
        <v>22</v>
      </c>
      <c r="G72" s="41" t="s">
        <v>27</v>
      </c>
      <c r="H72" s="41" t="s">
        <v>31</v>
      </c>
      <c r="I72" s="42">
        <v>44982.0</v>
      </c>
      <c r="J72" s="41">
        <v>68.0</v>
      </c>
      <c r="K72" s="43">
        <v>496.11</v>
      </c>
      <c r="L72" s="43">
        <v>241.82</v>
      </c>
      <c r="M72" s="43">
        <v>33735.48</v>
      </c>
      <c r="N72" s="43">
        <v>16443.76</v>
      </c>
      <c r="O72" s="43">
        <v>17291.720000000005</v>
      </c>
      <c r="P72" s="44">
        <v>0.5125677773074521</v>
      </c>
    </row>
    <row r="73" ht="14.25" customHeight="1">
      <c r="C73" s="41" t="s">
        <v>89</v>
      </c>
      <c r="D73" s="41" t="s">
        <v>20</v>
      </c>
      <c r="E73" s="41" t="s">
        <v>15</v>
      </c>
      <c r="F73" s="41" t="s">
        <v>22</v>
      </c>
      <c r="G73" s="41" t="s">
        <v>17</v>
      </c>
      <c r="H73" s="41" t="s">
        <v>18</v>
      </c>
      <c r="I73" s="42">
        <v>44983.0</v>
      </c>
      <c r="J73" s="41">
        <v>313.0</v>
      </c>
      <c r="K73" s="43">
        <v>145.51</v>
      </c>
      <c r="L73" s="43">
        <v>147.19</v>
      </c>
      <c r="M73" s="43">
        <v>45544.63</v>
      </c>
      <c r="N73" s="43">
        <v>46070.47</v>
      </c>
      <c r="O73" s="43">
        <v>-525.8400000000038</v>
      </c>
      <c r="P73" s="44">
        <v>-0.011545598240670828</v>
      </c>
    </row>
    <row r="74" ht="14.25" customHeight="1">
      <c r="C74" s="41" t="s">
        <v>90</v>
      </c>
      <c r="D74" s="41" t="s">
        <v>25</v>
      </c>
      <c r="E74" s="41" t="s">
        <v>34</v>
      </c>
      <c r="F74" s="41" t="s">
        <v>30</v>
      </c>
      <c r="G74" s="41" t="s">
        <v>17</v>
      </c>
      <c r="H74" s="41" t="s">
        <v>31</v>
      </c>
      <c r="I74" s="42">
        <v>44984.0</v>
      </c>
      <c r="J74" s="41">
        <v>178.0</v>
      </c>
      <c r="K74" s="43">
        <v>182.78</v>
      </c>
      <c r="L74" s="43">
        <v>155.81</v>
      </c>
      <c r="M74" s="43">
        <v>32534.84</v>
      </c>
      <c r="N74" s="43">
        <v>27734.18</v>
      </c>
      <c r="O74" s="43">
        <v>4800.66</v>
      </c>
      <c r="P74" s="44">
        <v>0.14755443702812124</v>
      </c>
    </row>
    <row r="75" ht="14.25" customHeight="1">
      <c r="C75" s="41" t="s">
        <v>91</v>
      </c>
      <c r="D75" s="41" t="s">
        <v>14</v>
      </c>
      <c r="E75" s="41" t="s">
        <v>34</v>
      </c>
      <c r="F75" s="41" t="s">
        <v>30</v>
      </c>
      <c r="G75" s="41" t="s">
        <v>17</v>
      </c>
      <c r="H75" s="41" t="s">
        <v>18</v>
      </c>
      <c r="I75" s="42">
        <v>44985.0</v>
      </c>
      <c r="J75" s="41">
        <v>278.0</v>
      </c>
      <c r="K75" s="43">
        <v>195.0</v>
      </c>
      <c r="L75" s="43">
        <v>226.65</v>
      </c>
      <c r="M75" s="43">
        <v>54210.0</v>
      </c>
      <c r="N75" s="43">
        <v>63008.700000000004</v>
      </c>
      <c r="O75" s="43">
        <v>-8798.700000000004</v>
      </c>
      <c r="P75" s="44">
        <v>-0.16230769230769237</v>
      </c>
    </row>
    <row r="76" ht="14.25" customHeight="1">
      <c r="C76" s="41" t="s">
        <v>92</v>
      </c>
      <c r="D76" s="41" t="s">
        <v>25</v>
      </c>
      <c r="E76" s="41" t="s">
        <v>54</v>
      </c>
      <c r="F76" s="41" t="s">
        <v>22</v>
      </c>
      <c r="G76" s="41" t="s">
        <v>17</v>
      </c>
      <c r="H76" s="41" t="s">
        <v>31</v>
      </c>
      <c r="I76" s="42">
        <v>44986.0</v>
      </c>
      <c r="J76" s="41">
        <v>372.0</v>
      </c>
      <c r="K76" s="43">
        <v>235.58</v>
      </c>
      <c r="L76" s="43">
        <v>78.33</v>
      </c>
      <c r="M76" s="43">
        <v>87635.76000000001</v>
      </c>
      <c r="N76" s="43">
        <v>29138.76</v>
      </c>
      <c r="O76" s="43">
        <v>58497.000000000015</v>
      </c>
      <c r="P76" s="44">
        <v>0.6675014856948808</v>
      </c>
    </row>
    <row r="77" ht="14.25" customHeight="1">
      <c r="C77" s="41" t="s">
        <v>93</v>
      </c>
      <c r="D77" s="41" t="s">
        <v>14</v>
      </c>
      <c r="E77" s="41" t="s">
        <v>34</v>
      </c>
      <c r="F77" s="41" t="s">
        <v>30</v>
      </c>
      <c r="G77" s="41" t="s">
        <v>27</v>
      </c>
      <c r="H77" s="41" t="s">
        <v>31</v>
      </c>
      <c r="I77" s="42">
        <v>44987.0</v>
      </c>
      <c r="J77" s="41">
        <v>54.0</v>
      </c>
      <c r="K77" s="43">
        <v>418.82</v>
      </c>
      <c r="L77" s="43">
        <v>86.28</v>
      </c>
      <c r="M77" s="43">
        <v>22616.28</v>
      </c>
      <c r="N77" s="43">
        <v>4659.12</v>
      </c>
      <c r="O77" s="43">
        <v>17957.16</v>
      </c>
      <c r="P77" s="44">
        <v>0.793992646005444</v>
      </c>
    </row>
    <row r="78" ht="14.25" customHeight="1">
      <c r="C78" s="41" t="s">
        <v>94</v>
      </c>
      <c r="D78" s="41" t="s">
        <v>14</v>
      </c>
      <c r="E78" s="41" t="s">
        <v>34</v>
      </c>
      <c r="F78" s="41" t="s">
        <v>22</v>
      </c>
      <c r="G78" s="41" t="s">
        <v>27</v>
      </c>
      <c r="H78" s="41" t="s">
        <v>18</v>
      </c>
      <c r="I78" s="42">
        <v>44988.0</v>
      </c>
      <c r="J78" s="41">
        <v>354.0</v>
      </c>
      <c r="K78" s="43">
        <v>121.72</v>
      </c>
      <c r="L78" s="43">
        <v>194.87</v>
      </c>
      <c r="M78" s="43">
        <v>43088.88</v>
      </c>
      <c r="N78" s="43">
        <v>68983.98</v>
      </c>
      <c r="O78" s="43">
        <v>-25895.1</v>
      </c>
      <c r="P78" s="44">
        <v>-0.6009694380545514</v>
      </c>
    </row>
    <row r="79" ht="14.25" customHeight="1">
      <c r="C79" s="41" t="s">
        <v>95</v>
      </c>
      <c r="D79" s="41" t="s">
        <v>25</v>
      </c>
      <c r="E79" s="41" t="s">
        <v>34</v>
      </c>
      <c r="F79" s="41" t="s">
        <v>22</v>
      </c>
      <c r="G79" s="41" t="s">
        <v>17</v>
      </c>
      <c r="H79" s="41" t="s">
        <v>18</v>
      </c>
      <c r="I79" s="42">
        <v>44989.0</v>
      </c>
      <c r="J79" s="41">
        <v>190.0</v>
      </c>
      <c r="K79" s="43">
        <v>389.12</v>
      </c>
      <c r="L79" s="43">
        <v>302.19</v>
      </c>
      <c r="M79" s="43">
        <v>73932.8</v>
      </c>
      <c r="N79" s="43">
        <v>57416.1</v>
      </c>
      <c r="O79" s="43">
        <v>16516.700000000004</v>
      </c>
      <c r="P79" s="44">
        <v>0.223401521381579</v>
      </c>
    </row>
    <row r="80" ht="14.25" customHeight="1">
      <c r="C80" s="41" t="s">
        <v>96</v>
      </c>
      <c r="D80" s="41" t="s">
        <v>39</v>
      </c>
      <c r="E80" s="41" t="s">
        <v>29</v>
      </c>
      <c r="F80" s="41" t="s">
        <v>16</v>
      </c>
      <c r="G80" s="41" t="s">
        <v>17</v>
      </c>
      <c r="H80" s="41" t="s">
        <v>18</v>
      </c>
      <c r="I80" s="42">
        <v>44990.0</v>
      </c>
      <c r="J80" s="41">
        <v>179.0</v>
      </c>
      <c r="K80" s="43">
        <v>205.63</v>
      </c>
      <c r="L80" s="43">
        <v>248.56</v>
      </c>
      <c r="M80" s="43">
        <v>36807.77</v>
      </c>
      <c r="N80" s="43">
        <v>44492.24</v>
      </c>
      <c r="O80" s="43">
        <v>-7684.470000000001</v>
      </c>
      <c r="P80" s="44">
        <v>-0.20877303895346014</v>
      </c>
    </row>
    <row r="81" ht="14.25" customHeight="1">
      <c r="C81" s="41" t="s">
        <v>97</v>
      </c>
      <c r="D81" s="41" t="s">
        <v>14</v>
      </c>
      <c r="E81" s="41" t="s">
        <v>54</v>
      </c>
      <c r="F81" s="41" t="s">
        <v>46</v>
      </c>
      <c r="G81" s="41" t="s">
        <v>27</v>
      </c>
      <c r="H81" s="41" t="s">
        <v>31</v>
      </c>
      <c r="I81" s="42">
        <v>44991.0</v>
      </c>
      <c r="J81" s="41">
        <v>365.0</v>
      </c>
      <c r="K81" s="43">
        <v>302.92</v>
      </c>
      <c r="L81" s="43">
        <v>120.35</v>
      </c>
      <c r="M81" s="43">
        <v>110565.8</v>
      </c>
      <c r="N81" s="43">
        <v>43927.75</v>
      </c>
      <c r="O81" s="43">
        <v>66638.05</v>
      </c>
      <c r="P81" s="44">
        <v>0.60270038293939</v>
      </c>
    </row>
    <row r="82" ht="14.25" customHeight="1">
      <c r="C82" s="41" t="s">
        <v>98</v>
      </c>
      <c r="D82" s="41" t="s">
        <v>52</v>
      </c>
      <c r="E82" s="41" t="s">
        <v>21</v>
      </c>
      <c r="F82" s="41" t="s">
        <v>22</v>
      </c>
      <c r="G82" s="41" t="s">
        <v>17</v>
      </c>
      <c r="H82" s="41" t="s">
        <v>31</v>
      </c>
      <c r="I82" s="42">
        <v>44992.0</v>
      </c>
      <c r="J82" s="41">
        <v>200.0</v>
      </c>
      <c r="K82" s="43">
        <v>318.11</v>
      </c>
      <c r="L82" s="43">
        <v>173.27</v>
      </c>
      <c r="M82" s="43">
        <v>63622.0</v>
      </c>
      <c r="N82" s="43">
        <v>34654.0</v>
      </c>
      <c r="O82" s="43">
        <v>28968.0</v>
      </c>
      <c r="P82" s="44">
        <v>0.4553141994907422</v>
      </c>
    </row>
    <row r="83" ht="14.25" customHeight="1">
      <c r="C83" s="41" t="s">
        <v>99</v>
      </c>
      <c r="D83" s="41" t="s">
        <v>20</v>
      </c>
      <c r="E83" s="41" t="s">
        <v>15</v>
      </c>
      <c r="F83" s="41" t="s">
        <v>26</v>
      </c>
      <c r="G83" s="41" t="s">
        <v>27</v>
      </c>
      <c r="H83" s="41" t="s">
        <v>23</v>
      </c>
      <c r="I83" s="42">
        <v>44993.0</v>
      </c>
      <c r="J83" s="41">
        <v>164.0</v>
      </c>
      <c r="K83" s="43">
        <v>189.56</v>
      </c>
      <c r="L83" s="43">
        <v>69.92</v>
      </c>
      <c r="M83" s="43">
        <v>31087.84</v>
      </c>
      <c r="N83" s="43">
        <v>11466.880000000001</v>
      </c>
      <c r="O83" s="43">
        <v>19620.96</v>
      </c>
      <c r="P83" s="44">
        <v>0.6311458113526061</v>
      </c>
    </row>
    <row r="84" ht="14.25" customHeight="1">
      <c r="C84" s="41" t="s">
        <v>100</v>
      </c>
      <c r="D84" s="41" t="s">
        <v>25</v>
      </c>
      <c r="E84" s="41" t="s">
        <v>21</v>
      </c>
      <c r="F84" s="41" t="s">
        <v>46</v>
      </c>
      <c r="G84" s="41" t="s">
        <v>17</v>
      </c>
      <c r="H84" s="41" t="s">
        <v>18</v>
      </c>
      <c r="I84" s="42">
        <v>44994.0</v>
      </c>
      <c r="J84" s="41">
        <v>431.0</v>
      </c>
      <c r="K84" s="43">
        <v>258.74</v>
      </c>
      <c r="L84" s="43">
        <v>31.7</v>
      </c>
      <c r="M84" s="43">
        <v>111516.94</v>
      </c>
      <c r="N84" s="43">
        <v>13662.699999999999</v>
      </c>
      <c r="O84" s="43">
        <v>97854.24</v>
      </c>
      <c r="P84" s="44">
        <v>0.8774831877560486</v>
      </c>
    </row>
    <row r="85" ht="14.25" customHeight="1">
      <c r="C85" s="41" t="s">
        <v>101</v>
      </c>
      <c r="D85" s="41" t="s">
        <v>20</v>
      </c>
      <c r="E85" s="41" t="s">
        <v>54</v>
      </c>
      <c r="F85" s="41" t="s">
        <v>46</v>
      </c>
      <c r="G85" s="41" t="s">
        <v>17</v>
      </c>
      <c r="H85" s="41" t="s">
        <v>31</v>
      </c>
      <c r="I85" s="42">
        <v>44995.0</v>
      </c>
      <c r="J85" s="41">
        <v>197.0</v>
      </c>
      <c r="K85" s="43">
        <v>209.45</v>
      </c>
      <c r="L85" s="43">
        <v>313.51</v>
      </c>
      <c r="M85" s="43">
        <v>41261.649999999994</v>
      </c>
      <c r="N85" s="43">
        <v>61761.47</v>
      </c>
      <c r="O85" s="43">
        <v>-20499.820000000007</v>
      </c>
      <c r="P85" s="44">
        <v>-0.4968250179040346</v>
      </c>
    </row>
    <row r="86" ht="14.25" customHeight="1">
      <c r="C86" s="41" t="s">
        <v>102</v>
      </c>
      <c r="D86" s="41" t="s">
        <v>52</v>
      </c>
      <c r="E86" s="41" t="s">
        <v>15</v>
      </c>
      <c r="F86" s="41" t="s">
        <v>46</v>
      </c>
      <c r="G86" s="41" t="s">
        <v>17</v>
      </c>
      <c r="H86" s="41" t="s">
        <v>31</v>
      </c>
      <c r="I86" s="42">
        <v>44996.0</v>
      </c>
      <c r="J86" s="41">
        <v>16.0</v>
      </c>
      <c r="K86" s="43">
        <v>39.22</v>
      </c>
      <c r="L86" s="43">
        <v>107.62</v>
      </c>
      <c r="M86" s="43">
        <v>627.52</v>
      </c>
      <c r="N86" s="43">
        <v>1721.92</v>
      </c>
      <c r="O86" s="43">
        <v>-1094.4</v>
      </c>
      <c r="P86" s="44">
        <v>-1.744008159102499</v>
      </c>
    </row>
    <row r="87" ht="14.25" customHeight="1">
      <c r="C87" s="41" t="s">
        <v>103</v>
      </c>
      <c r="D87" s="41" t="s">
        <v>52</v>
      </c>
      <c r="E87" s="41" t="s">
        <v>54</v>
      </c>
      <c r="F87" s="41" t="s">
        <v>16</v>
      </c>
      <c r="G87" s="41" t="s">
        <v>17</v>
      </c>
      <c r="H87" s="41" t="s">
        <v>18</v>
      </c>
      <c r="I87" s="42">
        <v>44997.0</v>
      </c>
      <c r="J87" s="41">
        <v>142.0</v>
      </c>
      <c r="K87" s="43">
        <v>221.4</v>
      </c>
      <c r="L87" s="43">
        <v>72.75</v>
      </c>
      <c r="M87" s="43">
        <v>31438.8</v>
      </c>
      <c r="N87" s="43">
        <v>10330.5</v>
      </c>
      <c r="O87" s="43">
        <v>21108.3</v>
      </c>
      <c r="P87" s="44">
        <v>0.6714092140921409</v>
      </c>
    </row>
    <row r="88" ht="14.25" customHeight="1">
      <c r="C88" s="41" t="s">
        <v>104</v>
      </c>
      <c r="D88" s="41" t="s">
        <v>52</v>
      </c>
      <c r="E88" s="41" t="s">
        <v>34</v>
      </c>
      <c r="F88" s="41" t="s">
        <v>22</v>
      </c>
      <c r="G88" s="41" t="s">
        <v>17</v>
      </c>
      <c r="H88" s="41" t="s">
        <v>23</v>
      </c>
      <c r="I88" s="42">
        <v>44998.0</v>
      </c>
      <c r="J88" s="41">
        <v>244.0</v>
      </c>
      <c r="K88" s="43">
        <v>53.21</v>
      </c>
      <c r="L88" s="43">
        <v>277.26</v>
      </c>
      <c r="M88" s="43">
        <v>12983.24</v>
      </c>
      <c r="N88" s="43">
        <v>67651.44</v>
      </c>
      <c r="O88" s="43">
        <v>-54668.200000000004</v>
      </c>
      <c r="P88" s="44">
        <v>-4.210674685209548</v>
      </c>
    </row>
    <row r="89" ht="14.25" customHeight="1">
      <c r="C89" s="41" t="s">
        <v>105</v>
      </c>
      <c r="D89" s="41" t="s">
        <v>25</v>
      </c>
      <c r="E89" s="41" t="s">
        <v>15</v>
      </c>
      <c r="F89" s="41" t="s">
        <v>16</v>
      </c>
      <c r="G89" s="41" t="s">
        <v>17</v>
      </c>
      <c r="H89" s="41" t="s">
        <v>18</v>
      </c>
      <c r="I89" s="42">
        <v>44999.0</v>
      </c>
      <c r="J89" s="41">
        <v>54.0</v>
      </c>
      <c r="K89" s="43">
        <v>205.49</v>
      </c>
      <c r="L89" s="43">
        <v>247.98</v>
      </c>
      <c r="M89" s="43">
        <v>11096.460000000001</v>
      </c>
      <c r="N89" s="43">
        <v>13390.92</v>
      </c>
      <c r="O89" s="43">
        <v>-2294.459999999999</v>
      </c>
      <c r="P89" s="44">
        <v>-0.20677405226531695</v>
      </c>
    </row>
    <row r="90" ht="14.25" customHeight="1">
      <c r="C90" s="41" t="s">
        <v>106</v>
      </c>
      <c r="D90" s="41" t="s">
        <v>52</v>
      </c>
      <c r="E90" s="41" t="s">
        <v>34</v>
      </c>
      <c r="F90" s="41" t="s">
        <v>22</v>
      </c>
      <c r="G90" s="41" t="s">
        <v>17</v>
      </c>
      <c r="H90" s="41" t="s">
        <v>23</v>
      </c>
      <c r="I90" s="42">
        <v>45000.0</v>
      </c>
      <c r="J90" s="41">
        <v>323.0</v>
      </c>
      <c r="K90" s="43">
        <v>298.49</v>
      </c>
      <c r="L90" s="43">
        <v>254.01</v>
      </c>
      <c r="M90" s="43">
        <v>96412.27</v>
      </c>
      <c r="N90" s="43">
        <v>82045.23</v>
      </c>
      <c r="O90" s="43">
        <v>14367.040000000008</v>
      </c>
      <c r="P90" s="44">
        <v>0.14901671747797254</v>
      </c>
    </row>
    <row r="91" ht="14.25" customHeight="1">
      <c r="C91" s="41" t="s">
        <v>107</v>
      </c>
      <c r="D91" s="41" t="s">
        <v>25</v>
      </c>
      <c r="E91" s="41" t="s">
        <v>21</v>
      </c>
      <c r="F91" s="41" t="s">
        <v>16</v>
      </c>
      <c r="G91" s="41" t="s">
        <v>27</v>
      </c>
      <c r="H91" s="41" t="s">
        <v>31</v>
      </c>
      <c r="I91" s="42">
        <v>45001.0</v>
      </c>
      <c r="J91" s="41">
        <v>258.0</v>
      </c>
      <c r="K91" s="43">
        <v>291.81</v>
      </c>
      <c r="L91" s="43">
        <v>93.1</v>
      </c>
      <c r="M91" s="43">
        <v>75286.98</v>
      </c>
      <c r="N91" s="43">
        <v>24019.8</v>
      </c>
      <c r="O91" s="43">
        <v>51267.17999999999</v>
      </c>
      <c r="P91" s="44">
        <v>0.6809567869504128</v>
      </c>
    </row>
    <row r="92" ht="14.25" customHeight="1">
      <c r="C92" s="41" t="s">
        <v>108</v>
      </c>
      <c r="D92" s="41" t="s">
        <v>52</v>
      </c>
      <c r="E92" s="41" t="s">
        <v>21</v>
      </c>
      <c r="F92" s="41" t="s">
        <v>16</v>
      </c>
      <c r="G92" s="41" t="s">
        <v>27</v>
      </c>
      <c r="H92" s="41" t="s">
        <v>23</v>
      </c>
      <c r="I92" s="42">
        <v>45002.0</v>
      </c>
      <c r="J92" s="41">
        <v>40.0</v>
      </c>
      <c r="K92" s="43">
        <v>333.0</v>
      </c>
      <c r="L92" s="43">
        <v>94.59</v>
      </c>
      <c r="M92" s="43">
        <v>13320.0</v>
      </c>
      <c r="N92" s="43">
        <v>3783.6000000000004</v>
      </c>
      <c r="O92" s="43">
        <v>9536.4</v>
      </c>
      <c r="P92" s="44">
        <v>0.715945945945946</v>
      </c>
    </row>
    <row r="93" ht="14.25" customHeight="1">
      <c r="C93" s="41" t="s">
        <v>109</v>
      </c>
      <c r="D93" s="41" t="s">
        <v>20</v>
      </c>
      <c r="E93" s="41" t="s">
        <v>15</v>
      </c>
      <c r="F93" s="41" t="s">
        <v>26</v>
      </c>
      <c r="G93" s="41" t="s">
        <v>27</v>
      </c>
      <c r="H93" s="41" t="s">
        <v>31</v>
      </c>
      <c r="I93" s="42">
        <v>45003.0</v>
      </c>
      <c r="J93" s="41">
        <v>32.0</v>
      </c>
      <c r="K93" s="43">
        <v>52.15</v>
      </c>
      <c r="L93" s="43">
        <v>89.88</v>
      </c>
      <c r="M93" s="43">
        <v>1668.8</v>
      </c>
      <c r="N93" s="43">
        <v>2876.16</v>
      </c>
      <c r="O93" s="43">
        <v>-1207.36</v>
      </c>
      <c r="P93" s="44">
        <v>-0.723489932885906</v>
      </c>
    </row>
    <row r="94" ht="14.25" customHeight="1">
      <c r="C94" s="41" t="s">
        <v>110</v>
      </c>
      <c r="D94" s="41" t="s">
        <v>20</v>
      </c>
      <c r="E94" s="41" t="s">
        <v>15</v>
      </c>
      <c r="F94" s="41" t="s">
        <v>16</v>
      </c>
      <c r="G94" s="41" t="s">
        <v>27</v>
      </c>
      <c r="H94" s="41" t="s">
        <v>18</v>
      </c>
      <c r="I94" s="42">
        <v>45004.0</v>
      </c>
      <c r="J94" s="41">
        <v>435.0</v>
      </c>
      <c r="K94" s="43">
        <v>327.8</v>
      </c>
      <c r="L94" s="43">
        <v>71.15</v>
      </c>
      <c r="M94" s="43">
        <v>142593.0</v>
      </c>
      <c r="N94" s="43">
        <v>30950.250000000004</v>
      </c>
      <c r="O94" s="43">
        <v>111642.75</v>
      </c>
      <c r="P94" s="44">
        <v>0.7829469188529591</v>
      </c>
    </row>
    <row r="95" ht="14.25" customHeight="1">
      <c r="C95" s="41" t="s">
        <v>111</v>
      </c>
      <c r="D95" s="41" t="s">
        <v>14</v>
      </c>
      <c r="E95" s="41" t="s">
        <v>54</v>
      </c>
      <c r="F95" s="41" t="s">
        <v>30</v>
      </c>
      <c r="G95" s="41" t="s">
        <v>27</v>
      </c>
      <c r="H95" s="41" t="s">
        <v>18</v>
      </c>
      <c r="I95" s="42">
        <v>45005.0</v>
      </c>
      <c r="J95" s="41">
        <v>403.0</v>
      </c>
      <c r="K95" s="43">
        <v>159.51</v>
      </c>
      <c r="L95" s="43">
        <v>262.98</v>
      </c>
      <c r="M95" s="43">
        <v>64282.53</v>
      </c>
      <c r="N95" s="43">
        <v>105980.94</v>
      </c>
      <c r="O95" s="43">
        <v>-41698.41</v>
      </c>
      <c r="P95" s="44">
        <v>-0.6486740643219862</v>
      </c>
    </row>
    <row r="96" ht="14.25" customHeight="1">
      <c r="C96" s="41" t="s">
        <v>112</v>
      </c>
      <c r="D96" s="41" t="s">
        <v>20</v>
      </c>
      <c r="E96" s="41" t="s">
        <v>54</v>
      </c>
      <c r="F96" s="41" t="s">
        <v>26</v>
      </c>
      <c r="G96" s="41" t="s">
        <v>17</v>
      </c>
      <c r="H96" s="41" t="s">
        <v>18</v>
      </c>
      <c r="I96" s="42">
        <v>45006.0</v>
      </c>
      <c r="J96" s="41">
        <v>169.0</v>
      </c>
      <c r="K96" s="43">
        <v>249.64520588235297</v>
      </c>
      <c r="L96" s="43">
        <v>339.51</v>
      </c>
      <c r="M96" s="43">
        <v>42190.03979411765</v>
      </c>
      <c r="N96" s="43">
        <v>57377.189999999995</v>
      </c>
      <c r="O96" s="43">
        <v>-15187.150205882346</v>
      </c>
      <c r="P96" s="44">
        <v>-0.35997003747789347</v>
      </c>
    </row>
    <row r="97" ht="14.25" customHeight="1">
      <c r="C97" s="41" t="s">
        <v>113</v>
      </c>
      <c r="D97" s="41" t="s">
        <v>14</v>
      </c>
      <c r="E97" s="41" t="s">
        <v>34</v>
      </c>
      <c r="F97" s="41" t="s">
        <v>16</v>
      </c>
      <c r="G97" s="41" t="s">
        <v>17</v>
      </c>
      <c r="H97" s="41" t="s">
        <v>23</v>
      </c>
      <c r="I97" s="42">
        <v>45007.0</v>
      </c>
      <c r="J97" s="41">
        <v>372.0</v>
      </c>
      <c r="K97" s="43">
        <v>429.7</v>
      </c>
      <c r="L97" s="43">
        <v>290.28</v>
      </c>
      <c r="M97" s="43">
        <v>159848.4</v>
      </c>
      <c r="N97" s="43">
        <v>107984.15999999999</v>
      </c>
      <c r="O97" s="43">
        <v>51864.240000000005</v>
      </c>
      <c r="P97" s="44">
        <v>0.3244589248312777</v>
      </c>
    </row>
    <row r="98" ht="14.25" customHeight="1">
      <c r="C98" s="41" t="s">
        <v>114</v>
      </c>
      <c r="D98" s="41" t="s">
        <v>20</v>
      </c>
      <c r="E98" s="41" t="s">
        <v>15</v>
      </c>
      <c r="F98" s="41" t="s">
        <v>46</v>
      </c>
      <c r="G98" s="41" t="s">
        <v>27</v>
      </c>
      <c r="H98" s="41" t="s">
        <v>31</v>
      </c>
      <c r="I98" s="42">
        <v>45008.0</v>
      </c>
      <c r="J98" s="41">
        <v>446.0</v>
      </c>
      <c r="K98" s="43">
        <v>9.47</v>
      </c>
      <c r="L98" s="43">
        <v>317.25</v>
      </c>
      <c r="M98" s="43">
        <v>4223.62</v>
      </c>
      <c r="N98" s="43">
        <v>141493.5</v>
      </c>
      <c r="O98" s="43">
        <v>-137269.88</v>
      </c>
      <c r="P98" s="44">
        <v>-32.50052798310454</v>
      </c>
    </row>
    <row r="99" ht="14.25" customHeight="1">
      <c r="C99" s="41" t="s">
        <v>115</v>
      </c>
      <c r="D99" s="41" t="s">
        <v>25</v>
      </c>
      <c r="E99" s="41" t="s">
        <v>21</v>
      </c>
      <c r="F99" s="41" t="s">
        <v>30</v>
      </c>
      <c r="G99" s="41" t="s">
        <v>17</v>
      </c>
      <c r="H99" s="41" t="s">
        <v>18</v>
      </c>
      <c r="I99" s="42">
        <v>45009.0</v>
      </c>
      <c r="J99" s="41">
        <v>167.0</v>
      </c>
      <c r="K99" s="43">
        <v>296.26</v>
      </c>
      <c r="L99" s="43">
        <v>163.11</v>
      </c>
      <c r="M99" s="43">
        <v>49475.42</v>
      </c>
      <c r="N99" s="43">
        <v>27239.370000000003</v>
      </c>
      <c r="O99" s="43">
        <v>22236.049999999996</v>
      </c>
      <c r="P99" s="44">
        <v>0.4494363059474785</v>
      </c>
    </row>
    <row r="100" ht="14.25" customHeight="1">
      <c r="C100" s="41" t="s">
        <v>116</v>
      </c>
      <c r="D100" s="41" t="s">
        <v>20</v>
      </c>
      <c r="E100" s="41" t="s">
        <v>54</v>
      </c>
      <c r="F100" s="41" t="s">
        <v>30</v>
      </c>
      <c r="G100" s="41" t="s">
        <v>27</v>
      </c>
      <c r="H100" s="41" t="s">
        <v>18</v>
      </c>
      <c r="I100" s="42">
        <v>45010.0</v>
      </c>
      <c r="J100" s="41">
        <v>48.0</v>
      </c>
      <c r="K100" s="43">
        <v>301.36</v>
      </c>
      <c r="L100" s="43">
        <v>262.32</v>
      </c>
      <c r="M100" s="43">
        <v>14465.28</v>
      </c>
      <c r="N100" s="43">
        <v>12591.36</v>
      </c>
      <c r="O100" s="43">
        <v>1873.92</v>
      </c>
      <c r="P100" s="44">
        <v>0.12954605787098486</v>
      </c>
    </row>
    <row r="101" ht="14.25" customHeight="1">
      <c r="C101" s="41" t="s">
        <v>117</v>
      </c>
      <c r="D101" s="41" t="s">
        <v>14</v>
      </c>
      <c r="E101" s="41" t="s">
        <v>54</v>
      </c>
      <c r="F101" s="41" t="s">
        <v>30</v>
      </c>
      <c r="G101" s="41" t="s">
        <v>27</v>
      </c>
      <c r="H101" s="41" t="s">
        <v>31</v>
      </c>
      <c r="I101" s="42">
        <v>45011.0</v>
      </c>
      <c r="J101" s="41">
        <v>424.0</v>
      </c>
      <c r="K101" s="43">
        <v>201.35</v>
      </c>
      <c r="L101" s="43">
        <v>142.99</v>
      </c>
      <c r="M101" s="43">
        <v>85372.4</v>
      </c>
      <c r="N101" s="43">
        <v>60627.76</v>
      </c>
      <c r="O101" s="43">
        <v>24744.639999999992</v>
      </c>
      <c r="P101" s="44">
        <v>0.28984355599702005</v>
      </c>
    </row>
    <row r="102" ht="14.25" customHeight="1">
      <c r="C102" s="41" t="s">
        <v>118</v>
      </c>
      <c r="D102" s="41" t="s">
        <v>14</v>
      </c>
      <c r="E102" s="41" t="s">
        <v>21</v>
      </c>
      <c r="F102" s="41" t="s">
        <v>26</v>
      </c>
      <c r="G102" s="41" t="s">
        <v>17</v>
      </c>
      <c r="H102" s="41" t="s">
        <v>18</v>
      </c>
      <c r="I102" s="42">
        <v>45012.0</v>
      </c>
      <c r="J102" s="41">
        <v>91.0</v>
      </c>
      <c r="K102" s="43">
        <v>122.33</v>
      </c>
      <c r="L102" s="43">
        <v>211.15</v>
      </c>
      <c r="M102" s="43">
        <v>11132.03</v>
      </c>
      <c r="N102" s="43">
        <v>19214.65</v>
      </c>
      <c r="O102" s="43">
        <v>-8082.620000000001</v>
      </c>
      <c r="P102" s="44">
        <v>-0.7260688302133573</v>
      </c>
    </row>
    <row r="103" ht="14.25" customHeight="1">
      <c r="C103" s="41" t="s">
        <v>119</v>
      </c>
      <c r="D103" s="41" t="s">
        <v>52</v>
      </c>
      <c r="E103" s="41" t="s">
        <v>54</v>
      </c>
      <c r="F103" s="41" t="s">
        <v>16</v>
      </c>
      <c r="G103" s="41" t="s">
        <v>17</v>
      </c>
      <c r="H103" s="41" t="s">
        <v>31</v>
      </c>
      <c r="I103" s="42">
        <v>45013.0</v>
      </c>
      <c r="J103" s="41">
        <v>365.0</v>
      </c>
      <c r="K103" s="43">
        <v>121.16</v>
      </c>
      <c r="L103" s="43">
        <v>193.69</v>
      </c>
      <c r="M103" s="43">
        <v>44223.4</v>
      </c>
      <c r="N103" s="43">
        <v>70696.85</v>
      </c>
      <c r="O103" s="43">
        <v>-26473.450000000004</v>
      </c>
      <c r="P103" s="44">
        <v>-0.5986299108616706</v>
      </c>
    </row>
    <row r="104" ht="14.25" customHeight="1">
      <c r="C104" s="41" t="s">
        <v>120</v>
      </c>
      <c r="D104" s="41" t="s">
        <v>25</v>
      </c>
      <c r="E104" s="41" t="s">
        <v>34</v>
      </c>
      <c r="F104" s="41" t="s">
        <v>16</v>
      </c>
      <c r="G104" s="41" t="s">
        <v>17</v>
      </c>
      <c r="H104" s="41" t="s">
        <v>31</v>
      </c>
      <c r="I104" s="42">
        <v>45014.0</v>
      </c>
      <c r="J104" s="41">
        <v>267.0</v>
      </c>
      <c r="K104" s="43">
        <v>442.44</v>
      </c>
      <c r="L104" s="43">
        <v>72.4</v>
      </c>
      <c r="M104" s="43">
        <v>118131.48</v>
      </c>
      <c r="N104" s="43">
        <v>19330.800000000003</v>
      </c>
      <c r="O104" s="43">
        <v>98800.68</v>
      </c>
      <c r="P104" s="44">
        <v>0.8363619925865654</v>
      </c>
    </row>
    <row r="105" ht="14.25" customHeight="1">
      <c r="C105" s="41" t="s">
        <v>121</v>
      </c>
      <c r="D105" s="41" t="s">
        <v>20</v>
      </c>
      <c r="E105" s="41" t="s">
        <v>15</v>
      </c>
      <c r="F105" s="41" t="s">
        <v>46</v>
      </c>
      <c r="G105" s="41" t="s">
        <v>27</v>
      </c>
      <c r="H105" s="41" t="s">
        <v>31</v>
      </c>
      <c r="I105" s="42">
        <v>45015.0</v>
      </c>
      <c r="J105" s="41">
        <v>215.0</v>
      </c>
      <c r="K105" s="43">
        <v>223.8</v>
      </c>
      <c r="L105" s="43">
        <v>156.06</v>
      </c>
      <c r="M105" s="43">
        <v>48117.0</v>
      </c>
      <c r="N105" s="43">
        <v>33552.9</v>
      </c>
      <c r="O105" s="43">
        <v>14564.099999999999</v>
      </c>
      <c r="P105" s="44">
        <v>0.3026809651474531</v>
      </c>
    </row>
    <row r="106" ht="14.25" customHeight="1">
      <c r="C106" s="41" t="s">
        <v>122</v>
      </c>
      <c r="D106" s="41" t="s">
        <v>52</v>
      </c>
      <c r="E106" s="41" t="s">
        <v>21</v>
      </c>
      <c r="F106" s="41" t="s">
        <v>46</v>
      </c>
      <c r="G106" s="41" t="s">
        <v>17</v>
      </c>
      <c r="H106" s="41" t="s">
        <v>31</v>
      </c>
      <c r="I106" s="42">
        <v>45016.0</v>
      </c>
      <c r="J106" s="41">
        <v>86.0</v>
      </c>
      <c r="K106" s="43">
        <v>168.79</v>
      </c>
      <c r="L106" s="43">
        <v>385.6</v>
      </c>
      <c r="M106" s="43">
        <v>14515.939999999999</v>
      </c>
      <c r="N106" s="43">
        <v>33161.6</v>
      </c>
      <c r="O106" s="43">
        <v>-18645.66</v>
      </c>
      <c r="P106" s="44">
        <v>-1.284495526986196</v>
      </c>
    </row>
    <row r="107" ht="14.25" customHeight="1">
      <c r="C107" s="41" t="s">
        <v>123</v>
      </c>
      <c r="D107" s="41" t="s">
        <v>20</v>
      </c>
      <c r="E107" s="41" t="s">
        <v>15</v>
      </c>
      <c r="F107" s="41" t="s">
        <v>30</v>
      </c>
      <c r="G107" s="41" t="s">
        <v>27</v>
      </c>
      <c r="H107" s="41" t="s">
        <v>31</v>
      </c>
      <c r="I107" s="42">
        <v>45017.0</v>
      </c>
      <c r="J107" s="41">
        <v>486.0</v>
      </c>
      <c r="K107" s="43">
        <v>227.14</v>
      </c>
      <c r="L107" s="43">
        <v>100.93</v>
      </c>
      <c r="M107" s="43">
        <v>110390.04</v>
      </c>
      <c r="N107" s="43">
        <v>49051.98</v>
      </c>
      <c r="O107" s="43">
        <v>61338.05999999999</v>
      </c>
      <c r="P107" s="44">
        <v>0.5556484987232543</v>
      </c>
    </row>
    <row r="108" ht="14.25" customHeight="1">
      <c r="C108" s="41" t="s">
        <v>124</v>
      </c>
      <c r="D108" s="41" t="s">
        <v>20</v>
      </c>
      <c r="E108" s="41" t="s">
        <v>54</v>
      </c>
      <c r="F108" s="41" t="s">
        <v>46</v>
      </c>
      <c r="G108" s="41" t="s">
        <v>27</v>
      </c>
      <c r="H108" s="41" t="s">
        <v>23</v>
      </c>
      <c r="I108" s="42">
        <v>45018.0</v>
      </c>
      <c r="J108" s="41">
        <v>21.0</v>
      </c>
      <c r="K108" s="43">
        <v>249.64520588235297</v>
      </c>
      <c r="L108" s="43">
        <v>55.25</v>
      </c>
      <c r="M108" s="43">
        <v>5242.5493235294125</v>
      </c>
      <c r="N108" s="43">
        <v>1160.25</v>
      </c>
      <c r="O108" s="43">
        <v>4082.2993235294125</v>
      </c>
      <c r="P108" s="44">
        <v>0.778685916259746</v>
      </c>
    </row>
    <row r="109" ht="14.25" customHeight="1">
      <c r="C109" s="41" t="s">
        <v>125</v>
      </c>
      <c r="D109" s="41" t="s">
        <v>52</v>
      </c>
      <c r="E109" s="41" t="s">
        <v>54</v>
      </c>
      <c r="F109" s="41" t="s">
        <v>26</v>
      </c>
      <c r="G109" s="41" t="s">
        <v>27</v>
      </c>
      <c r="H109" s="41" t="s">
        <v>18</v>
      </c>
      <c r="I109" s="42">
        <v>45019.0</v>
      </c>
      <c r="J109" s="41">
        <v>304.0</v>
      </c>
      <c r="K109" s="43">
        <v>77.15</v>
      </c>
      <c r="L109" s="43">
        <v>168.6</v>
      </c>
      <c r="M109" s="43">
        <v>23453.600000000002</v>
      </c>
      <c r="N109" s="43">
        <v>51254.4</v>
      </c>
      <c r="O109" s="43">
        <v>-27800.8</v>
      </c>
      <c r="P109" s="44">
        <v>-1.1853532080362927</v>
      </c>
    </row>
    <row r="110" ht="14.25" customHeight="1">
      <c r="C110" s="41" t="s">
        <v>126</v>
      </c>
      <c r="D110" s="41" t="s">
        <v>52</v>
      </c>
      <c r="E110" s="41" t="s">
        <v>21</v>
      </c>
      <c r="F110" s="41" t="s">
        <v>16</v>
      </c>
      <c r="G110" s="41" t="s">
        <v>17</v>
      </c>
      <c r="H110" s="41" t="s">
        <v>23</v>
      </c>
      <c r="I110" s="42">
        <v>45020.0</v>
      </c>
      <c r="J110" s="41">
        <v>459.0</v>
      </c>
      <c r="K110" s="43">
        <v>227.47</v>
      </c>
      <c r="L110" s="43">
        <v>316.55</v>
      </c>
      <c r="M110" s="43">
        <v>104408.73</v>
      </c>
      <c r="N110" s="43">
        <v>145296.45</v>
      </c>
      <c r="O110" s="43">
        <v>-40887.720000000016</v>
      </c>
      <c r="P110" s="44">
        <v>-0.3916120807139405</v>
      </c>
    </row>
    <row r="111" ht="14.25" customHeight="1">
      <c r="C111" s="41" t="s">
        <v>127</v>
      </c>
      <c r="D111" s="41" t="s">
        <v>52</v>
      </c>
      <c r="E111" s="41" t="s">
        <v>34</v>
      </c>
      <c r="F111" s="41" t="s">
        <v>30</v>
      </c>
      <c r="G111" s="41" t="s">
        <v>17</v>
      </c>
      <c r="H111" s="41" t="s">
        <v>18</v>
      </c>
      <c r="I111" s="42">
        <v>45021.0</v>
      </c>
      <c r="J111" s="41">
        <v>233.0</v>
      </c>
      <c r="K111" s="43">
        <v>296.0</v>
      </c>
      <c r="L111" s="43">
        <v>233.69</v>
      </c>
      <c r="M111" s="43">
        <v>68968.0</v>
      </c>
      <c r="N111" s="43">
        <v>54449.77</v>
      </c>
      <c r="O111" s="43">
        <v>14518.230000000003</v>
      </c>
      <c r="P111" s="44">
        <v>0.2105067567567568</v>
      </c>
    </row>
    <row r="112" ht="14.25" customHeight="1">
      <c r="C112" s="41" t="s">
        <v>128</v>
      </c>
      <c r="D112" s="41" t="s">
        <v>52</v>
      </c>
      <c r="E112" s="41" t="s">
        <v>29</v>
      </c>
      <c r="F112" s="41" t="s">
        <v>46</v>
      </c>
      <c r="G112" s="41" t="s">
        <v>27</v>
      </c>
      <c r="H112" s="41" t="s">
        <v>23</v>
      </c>
      <c r="I112" s="42">
        <v>45022.0</v>
      </c>
      <c r="J112" s="41">
        <v>22.0</v>
      </c>
      <c r="K112" s="43">
        <v>474.55</v>
      </c>
      <c r="L112" s="43">
        <v>273.03</v>
      </c>
      <c r="M112" s="43">
        <v>10440.1</v>
      </c>
      <c r="N112" s="43">
        <v>6006.66</v>
      </c>
      <c r="O112" s="43">
        <v>4433.4400000000005</v>
      </c>
      <c r="P112" s="44">
        <v>0.4246549362553999</v>
      </c>
    </row>
    <row r="113" ht="14.25" customHeight="1">
      <c r="C113" s="41" t="s">
        <v>129</v>
      </c>
      <c r="D113" s="41" t="s">
        <v>52</v>
      </c>
      <c r="E113" s="41" t="s">
        <v>21</v>
      </c>
      <c r="F113" s="41" t="s">
        <v>26</v>
      </c>
      <c r="G113" s="41" t="s">
        <v>17</v>
      </c>
      <c r="H113" s="41" t="s">
        <v>31</v>
      </c>
      <c r="I113" s="42">
        <v>45023.0</v>
      </c>
      <c r="J113" s="41">
        <v>55.0</v>
      </c>
      <c r="K113" s="43">
        <v>130.0</v>
      </c>
      <c r="L113" s="43">
        <v>77.5</v>
      </c>
      <c r="M113" s="43">
        <v>7150.0</v>
      </c>
      <c r="N113" s="43">
        <v>4262.5</v>
      </c>
      <c r="O113" s="43">
        <v>2887.5</v>
      </c>
      <c r="P113" s="44">
        <v>0.40384615384615385</v>
      </c>
    </row>
    <row r="114" ht="14.25" customHeight="1">
      <c r="C114" s="41" t="s">
        <v>130</v>
      </c>
      <c r="D114" s="41" t="s">
        <v>20</v>
      </c>
      <c r="E114" s="41" t="s">
        <v>29</v>
      </c>
      <c r="F114" s="41" t="s">
        <v>26</v>
      </c>
      <c r="G114" s="41" t="s">
        <v>17</v>
      </c>
      <c r="H114" s="41" t="s">
        <v>18</v>
      </c>
      <c r="I114" s="42">
        <v>45024.0</v>
      </c>
      <c r="J114" s="41">
        <v>164.0</v>
      </c>
      <c r="K114" s="43">
        <v>182.83</v>
      </c>
      <c r="L114" s="43">
        <v>248.34</v>
      </c>
      <c r="M114" s="43">
        <v>29984.120000000003</v>
      </c>
      <c r="N114" s="43">
        <v>40727.76</v>
      </c>
      <c r="O114" s="43">
        <v>-10743.64</v>
      </c>
      <c r="P114" s="44">
        <v>-0.3583109992889569</v>
      </c>
    </row>
    <row r="115" ht="14.25" customHeight="1">
      <c r="C115" s="41" t="s">
        <v>131</v>
      </c>
      <c r="D115" s="41" t="s">
        <v>52</v>
      </c>
      <c r="E115" s="41" t="s">
        <v>29</v>
      </c>
      <c r="F115" s="41" t="s">
        <v>46</v>
      </c>
      <c r="G115" s="41" t="s">
        <v>17</v>
      </c>
      <c r="H115" s="41" t="s">
        <v>18</v>
      </c>
      <c r="I115" s="42">
        <v>45025.0</v>
      </c>
      <c r="J115" s="41">
        <v>122.0</v>
      </c>
      <c r="K115" s="43">
        <v>192.78</v>
      </c>
      <c r="L115" s="43">
        <v>130.75</v>
      </c>
      <c r="M115" s="43">
        <v>23519.16</v>
      </c>
      <c r="N115" s="43">
        <v>15951.5</v>
      </c>
      <c r="O115" s="43">
        <v>7567.66</v>
      </c>
      <c r="P115" s="44">
        <v>0.3217657433343708</v>
      </c>
    </row>
    <row r="116" ht="14.25" customHeight="1">
      <c r="C116" s="41" t="s">
        <v>132</v>
      </c>
      <c r="D116" s="41" t="s">
        <v>25</v>
      </c>
      <c r="E116" s="41" t="s">
        <v>34</v>
      </c>
      <c r="F116" s="41" t="s">
        <v>16</v>
      </c>
      <c r="G116" s="41" t="s">
        <v>27</v>
      </c>
      <c r="H116" s="41" t="s">
        <v>23</v>
      </c>
      <c r="I116" s="42">
        <v>45026.0</v>
      </c>
      <c r="J116" s="41">
        <v>242.0</v>
      </c>
      <c r="K116" s="43">
        <v>304.74</v>
      </c>
      <c r="L116" s="43">
        <v>334.05</v>
      </c>
      <c r="M116" s="43">
        <v>73747.08</v>
      </c>
      <c r="N116" s="43">
        <v>80840.1</v>
      </c>
      <c r="O116" s="43">
        <v>-7093.020000000004</v>
      </c>
      <c r="P116" s="44">
        <v>-0.09618035046268957</v>
      </c>
    </row>
    <row r="117" ht="14.25" customHeight="1">
      <c r="C117" s="41" t="s">
        <v>133</v>
      </c>
      <c r="D117" s="41" t="s">
        <v>14</v>
      </c>
      <c r="E117" s="41" t="s">
        <v>29</v>
      </c>
      <c r="F117" s="41" t="s">
        <v>46</v>
      </c>
      <c r="G117" s="41" t="s">
        <v>27</v>
      </c>
      <c r="H117" s="41" t="s">
        <v>23</v>
      </c>
      <c r="I117" s="42">
        <v>45027.0</v>
      </c>
      <c r="J117" s="41">
        <v>26.0</v>
      </c>
      <c r="K117" s="43">
        <v>181.58</v>
      </c>
      <c r="L117" s="43">
        <v>252.46</v>
      </c>
      <c r="M117" s="43">
        <v>4721.08</v>
      </c>
      <c r="N117" s="43">
        <v>6563.96</v>
      </c>
      <c r="O117" s="43">
        <v>-1842.88</v>
      </c>
      <c r="P117" s="44">
        <v>-0.39035136028196943</v>
      </c>
    </row>
    <row r="118" ht="14.25" customHeight="1">
      <c r="C118" s="41" t="s">
        <v>134</v>
      </c>
      <c r="D118" s="41" t="s">
        <v>52</v>
      </c>
      <c r="E118" s="41" t="s">
        <v>29</v>
      </c>
      <c r="F118" s="41" t="s">
        <v>30</v>
      </c>
      <c r="G118" s="41" t="s">
        <v>17</v>
      </c>
      <c r="H118" s="41" t="s">
        <v>18</v>
      </c>
      <c r="I118" s="42">
        <v>45028.0</v>
      </c>
      <c r="J118" s="41">
        <v>369.0</v>
      </c>
      <c r="K118" s="43">
        <v>269.09</v>
      </c>
      <c r="L118" s="43">
        <v>81.14</v>
      </c>
      <c r="M118" s="43">
        <v>99294.20999999999</v>
      </c>
      <c r="N118" s="43">
        <v>29940.66</v>
      </c>
      <c r="O118" s="43">
        <v>69353.54999999999</v>
      </c>
      <c r="P118" s="44">
        <v>0.6984651975175591</v>
      </c>
    </row>
    <row r="119" ht="14.25" customHeight="1">
      <c r="C119" s="41" t="s">
        <v>135</v>
      </c>
      <c r="D119" s="41" t="s">
        <v>52</v>
      </c>
      <c r="E119" s="41" t="s">
        <v>34</v>
      </c>
      <c r="F119" s="41" t="s">
        <v>46</v>
      </c>
      <c r="G119" s="41" t="s">
        <v>27</v>
      </c>
      <c r="H119" s="41" t="s">
        <v>23</v>
      </c>
      <c r="I119" s="42">
        <v>45029.0</v>
      </c>
      <c r="J119" s="41">
        <v>232.0</v>
      </c>
      <c r="K119" s="43">
        <v>391.99</v>
      </c>
      <c r="L119" s="43">
        <v>27.72</v>
      </c>
      <c r="M119" s="43">
        <v>90941.68000000001</v>
      </c>
      <c r="N119" s="43">
        <v>6431.04</v>
      </c>
      <c r="O119" s="43">
        <v>84510.64000000001</v>
      </c>
      <c r="P119" s="44">
        <v>0.9292839103038344</v>
      </c>
    </row>
    <row r="120" ht="14.25" customHeight="1">
      <c r="C120" s="41" t="s">
        <v>136</v>
      </c>
      <c r="D120" s="41" t="s">
        <v>20</v>
      </c>
      <c r="E120" s="41" t="s">
        <v>29</v>
      </c>
      <c r="F120" s="41" t="s">
        <v>26</v>
      </c>
      <c r="G120" s="41" t="s">
        <v>17</v>
      </c>
      <c r="H120" s="41" t="s">
        <v>23</v>
      </c>
      <c r="I120" s="42">
        <v>45030.0</v>
      </c>
      <c r="J120" s="41">
        <v>363.0</v>
      </c>
      <c r="K120" s="43">
        <v>354.17</v>
      </c>
      <c r="L120" s="43">
        <v>18.97</v>
      </c>
      <c r="M120" s="43">
        <v>128563.71</v>
      </c>
      <c r="N120" s="43">
        <v>6886.11</v>
      </c>
      <c r="O120" s="43">
        <v>121677.6</v>
      </c>
      <c r="P120" s="44">
        <v>0.9464381511703419</v>
      </c>
    </row>
    <row r="121" ht="14.25" customHeight="1">
      <c r="C121" s="41" t="s">
        <v>137</v>
      </c>
      <c r="D121" s="41" t="s">
        <v>52</v>
      </c>
      <c r="E121" s="41" t="s">
        <v>29</v>
      </c>
      <c r="F121" s="41" t="s">
        <v>46</v>
      </c>
      <c r="G121" s="41" t="s">
        <v>17</v>
      </c>
      <c r="H121" s="41" t="s">
        <v>23</v>
      </c>
      <c r="I121" s="42">
        <v>45031.0</v>
      </c>
      <c r="J121" s="41">
        <v>197.0</v>
      </c>
      <c r="K121" s="43">
        <v>225.95</v>
      </c>
      <c r="L121" s="43">
        <v>149.82</v>
      </c>
      <c r="M121" s="43">
        <v>44512.149999999994</v>
      </c>
      <c r="N121" s="43">
        <v>29514.539999999997</v>
      </c>
      <c r="O121" s="43">
        <v>14997.609999999997</v>
      </c>
      <c r="P121" s="44">
        <v>0.3369329497676477</v>
      </c>
    </row>
    <row r="122" ht="14.25" customHeight="1">
      <c r="C122" s="41" t="s">
        <v>138</v>
      </c>
      <c r="D122" s="41" t="s">
        <v>52</v>
      </c>
      <c r="E122" s="41" t="s">
        <v>29</v>
      </c>
      <c r="F122" s="41" t="s">
        <v>16</v>
      </c>
      <c r="G122" s="41" t="s">
        <v>17</v>
      </c>
      <c r="H122" s="41" t="s">
        <v>31</v>
      </c>
      <c r="I122" s="42">
        <v>45032.0</v>
      </c>
      <c r="J122" s="41">
        <v>457.0</v>
      </c>
      <c r="K122" s="43">
        <v>432.79</v>
      </c>
      <c r="L122" s="43">
        <v>107.81</v>
      </c>
      <c r="M122" s="43">
        <v>197785.03</v>
      </c>
      <c r="N122" s="43">
        <v>49269.17</v>
      </c>
      <c r="O122" s="43">
        <v>148515.86</v>
      </c>
      <c r="P122" s="44">
        <v>0.7508953534046534</v>
      </c>
    </row>
    <row r="123" ht="14.25" customHeight="1">
      <c r="C123" s="41" t="s">
        <v>139</v>
      </c>
      <c r="D123" s="41" t="s">
        <v>52</v>
      </c>
      <c r="E123" s="41" t="s">
        <v>21</v>
      </c>
      <c r="F123" s="41" t="s">
        <v>22</v>
      </c>
      <c r="G123" s="41" t="s">
        <v>17</v>
      </c>
      <c r="H123" s="41" t="s">
        <v>31</v>
      </c>
      <c r="I123" s="42">
        <v>45033.0</v>
      </c>
      <c r="J123" s="41">
        <v>353.0</v>
      </c>
      <c r="K123" s="43">
        <v>281.28</v>
      </c>
      <c r="L123" s="43">
        <v>259.14</v>
      </c>
      <c r="M123" s="43">
        <v>99291.84</v>
      </c>
      <c r="N123" s="43">
        <v>91476.42</v>
      </c>
      <c r="O123" s="43">
        <v>7815.419999999998</v>
      </c>
      <c r="P123" s="44">
        <v>0.07871160409556313</v>
      </c>
    </row>
    <row r="124" ht="14.25" customHeight="1">
      <c r="C124" s="41" t="s">
        <v>140</v>
      </c>
      <c r="D124" s="41" t="s">
        <v>20</v>
      </c>
      <c r="E124" s="41" t="s">
        <v>21</v>
      </c>
      <c r="F124" s="41" t="s">
        <v>46</v>
      </c>
      <c r="G124" s="41" t="s">
        <v>27</v>
      </c>
      <c r="H124" s="41" t="s">
        <v>23</v>
      </c>
      <c r="I124" s="42">
        <v>45034.0</v>
      </c>
      <c r="J124" s="41">
        <v>374.0</v>
      </c>
      <c r="K124" s="43">
        <v>272.25</v>
      </c>
      <c r="L124" s="43">
        <v>200.73</v>
      </c>
      <c r="M124" s="43">
        <v>101821.5</v>
      </c>
      <c r="N124" s="43">
        <v>75073.01999999999</v>
      </c>
      <c r="O124" s="43">
        <v>26748.48000000001</v>
      </c>
      <c r="P124" s="44">
        <v>0.26269972451790646</v>
      </c>
    </row>
    <row r="125" ht="14.25" customHeight="1">
      <c r="C125" s="41" t="s">
        <v>141</v>
      </c>
      <c r="D125" s="41" t="s">
        <v>52</v>
      </c>
      <c r="E125" s="41" t="s">
        <v>21</v>
      </c>
      <c r="F125" s="41" t="s">
        <v>16</v>
      </c>
      <c r="G125" s="41" t="s">
        <v>27</v>
      </c>
      <c r="H125" s="41" t="s">
        <v>23</v>
      </c>
      <c r="I125" s="42">
        <v>45035.0</v>
      </c>
      <c r="J125" s="41">
        <v>172.0</v>
      </c>
      <c r="K125" s="43">
        <v>21.92</v>
      </c>
      <c r="L125" s="43">
        <v>107.88</v>
      </c>
      <c r="M125" s="43">
        <v>3770.2400000000002</v>
      </c>
      <c r="N125" s="43">
        <v>18555.36</v>
      </c>
      <c r="O125" s="43">
        <v>-14785.12</v>
      </c>
      <c r="P125" s="44">
        <v>-3.9215328467153285</v>
      </c>
    </row>
    <row r="126" ht="14.25" customHeight="1">
      <c r="C126" s="41" t="s">
        <v>142</v>
      </c>
      <c r="D126" s="41" t="s">
        <v>14</v>
      </c>
      <c r="E126" s="41" t="s">
        <v>34</v>
      </c>
      <c r="F126" s="41" t="s">
        <v>16</v>
      </c>
      <c r="G126" s="41" t="s">
        <v>27</v>
      </c>
      <c r="H126" s="41" t="s">
        <v>31</v>
      </c>
      <c r="I126" s="42">
        <v>45036.0</v>
      </c>
      <c r="J126" s="41">
        <v>335.0</v>
      </c>
      <c r="K126" s="43">
        <v>493.41</v>
      </c>
      <c r="L126" s="43">
        <v>61.4</v>
      </c>
      <c r="M126" s="43">
        <v>165292.35</v>
      </c>
      <c r="N126" s="43">
        <v>20569.0</v>
      </c>
      <c r="O126" s="43">
        <v>144723.35</v>
      </c>
      <c r="P126" s="44">
        <v>0.875559879207961</v>
      </c>
    </row>
    <row r="127" ht="14.25" customHeight="1">
      <c r="C127" s="41" t="s">
        <v>143</v>
      </c>
      <c r="D127" s="41" t="s">
        <v>20</v>
      </c>
      <c r="E127" s="41" t="s">
        <v>54</v>
      </c>
      <c r="F127" s="41" t="s">
        <v>26</v>
      </c>
      <c r="G127" s="41" t="s">
        <v>17</v>
      </c>
      <c r="H127" s="41" t="s">
        <v>31</v>
      </c>
      <c r="I127" s="42">
        <v>45037.0</v>
      </c>
      <c r="J127" s="41">
        <v>476.0</v>
      </c>
      <c r="K127" s="43">
        <v>65.87</v>
      </c>
      <c r="L127" s="43">
        <v>52.63</v>
      </c>
      <c r="M127" s="43">
        <v>31354.120000000003</v>
      </c>
      <c r="N127" s="43">
        <v>25051.88</v>
      </c>
      <c r="O127" s="43">
        <v>6302.240000000002</v>
      </c>
      <c r="P127" s="44">
        <v>0.2010019735843328</v>
      </c>
    </row>
    <row r="128" ht="14.25" customHeight="1">
      <c r="C128" s="41" t="s">
        <v>144</v>
      </c>
      <c r="D128" s="41" t="s">
        <v>14</v>
      </c>
      <c r="E128" s="41" t="s">
        <v>29</v>
      </c>
      <c r="F128" s="41" t="s">
        <v>16</v>
      </c>
      <c r="G128" s="41" t="s">
        <v>17</v>
      </c>
      <c r="H128" s="41" t="s">
        <v>18</v>
      </c>
      <c r="I128" s="42">
        <v>45038.0</v>
      </c>
      <c r="J128" s="41">
        <v>423.0</v>
      </c>
      <c r="K128" s="43">
        <v>119.41</v>
      </c>
      <c r="L128" s="43">
        <v>346.13</v>
      </c>
      <c r="M128" s="43">
        <v>50510.43</v>
      </c>
      <c r="N128" s="43">
        <v>146412.99</v>
      </c>
      <c r="O128" s="43">
        <v>-95902.56</v>
      </c>
      <c r="P128" s="44">
        <v>-1.8986684532283729</v>
      </c>
    </row>
    <row r="129" ht="14.25" customHeight="1">
      <c r="C129" s="41" t="s">
        <v>145</v>
      </c>
      <c r="D129" s="41" t="s">
        <v>20</v>
      </c>
      <c r="E129" s="41" t="s">
        <v>29</v>
      </c>
      <c r="F129" s="41" t="s">
        <v>16</v>
      </c>
      <c r="G129" s="41" t="s">
        <v>17</v>
      </c>
      <c r="H129" s="41" t="s">
        <v>18</v>
      </c>
      <c r="I129" s="42">
        <v>45039.0</v>
      </c>
      <c r="J129" s="41">
        <v>464.0</v>
      </c>
      <c r="K129" s="43">
        <v>30.59</v>
      </c>
      <c r="L129" s="43">
        <v>98.9</v>
      </c>
      <c r="M129" s="43">
        <v>14193.76</v>
      </c>
      <c r="N129" s="43">
        <v>45889.600000000006</v>
      </c>
      <c r="O129" s="43">
        <v>-31695.840000000004</v>
      </c>
      <c r="P129" s="44">
        <v>-2.2330827067669174</v>
      </c>
    </row>
    <row r="130" ht="14.25" customHeight="1">
      <c r="C130" s="41" t="s">
        <v>146</v>
      </c>
      <c r="D130" s="41" t="s">
        <v>52</v>
      </c>
      <c r="E130" s="41" t="s">
        <v>34</v>
      </c>
      <c r="F130" s="41" t="s">
        <v>16</v>
      </c>
      <c r="G130" s="41" t="s">
        <v>27</v>
      </c>
      <c r="H130" s="41" t="s">
        <v>31</v>
      </c>
      <c r="I130" s="42">
        <v>45040.0</v>
      </c>
      <c r="J130" s="41">
        <v>83.0</v>
      </c>
      <c r="K130" s="43">
        <v>321.8</v>
      </c>
      <c r="L130" s="43">
        <v>261.38</v>
      </c>
      <c r="M130" s="43">
        <v>26709.4</v>
      </c>
      <c r="N130" s="43">
        <v>21694.54</v>
      </c>
      <c r="O130" s="43">
        <v>5014.860000000001</v>
      </c>
      <c r="P130" s="44">
        <v>0.18775637041640772</v>
      </c>
    </row>
    <row r="131" ht="14.25" customHeight="1">
      <c r="C131" s="41" t="s">
        <v>147</v>
      </c>
      <c r="D131" s="41" t="s">
        <v>14</v>
      </c>
      <c r="E131" s="41" t="s">
        <v>29</v>
      </c>
      <c r="F131" s="41" t="s">
        <v>16</v>
      </c>
      <c r="G131" s="41" t="s">
        <v>17</v>
      </c>
      <c r="H131" s="41" t="s">
        <v>23</v>
      </c>
      <c r="I131" s="42">
        <v>45041.0</v>
      </c>
      <c r="J131" s="41">
        <v>242.0</v>
      </c>
      <c r="K131" s="43">
        <v>116.23</v>
      </c>
      <c r="L131" s="43">
        <v>324.65</v>
      </c>
      <c r="M131" s="43">
        <v>28127.66</v>
      </c>
      <c r="N131" s="43">
        <v>78565.29999999999</v>
      </c>
      <c r="O131" s="43">
        <v>-50437.639999999985</v>
      </c>
      <c r="P131" s="44">
        <v>-1.7931687171986572</v>
      </c>
    </row>
    <row r="132" ht="14.25" customHeight="1">
      <c r="C132" s="41" t="s">
        <v>148</v>
      </c>
      <c r="D132" s="41" t="s">
        <v>20</v>
      </c>
      <c r="E132" s="41" t="s">
        <v>21</v>
      </c>
      <c r="F132" s="41" t="s">
        <v>30</v>
      </c>
      <c r="G132" s="41" t="s">
        <v>27</v>
      </c>
      <c r="H132" s="41" t="s">
        <v>23</v>
      </c>
      <c r="I132" s="42">
        <v>45042.0</v>
      </c>
      <c r="J132" s="41">
        <v>233.0</v>
      </c>
      <c r="K132" s="43">
        <v>94.11</v>
      </c>
      <c r="L132" s="43">
        <v>246.4</v>
      </c>
      <c r="M132" s="43">
        <v>21927.63</v>
      </c>
      <c r="N132" s="43">
        <v>57411.200000000004</v>
      </c>
      <c r="O132" s="43">
        <v>-35483.57000000001</v>
      </c>
      <c r="P132" s="44">
        <v>-1.6182127297842952</v>
      </c>
    </row>
    <row r="133" ht="14.25" customHeight="1">
      <c r="C133" s="41" t="s">
        <v>149</v>
      </c>
      <c r="D133" s="41" t="s">
        <v>25</v>
      </c>
      <c r="E133" s="41" t="s">
        <v>54</v>
      </c>
      <c r="F133" s="41" t="s">
        <v>30</v>
      </c>
      <c r="G133" s="41" t="s">
        <v>27</v>
      </c>
      <c r="H133" s="41" t="s">
        <v>23</v>
      </c>
      <c r="I133" s="42">
        <v>45043.0</v>
      </c>
      <c r="J133" s="41">
        <v>491.0</v>
      </c>
      <c r="K133" s="43">
        <v>48.84</v>
      </c>
      <c r="L133" s="43">
        <v>344.11</v>
      </c>
      <c r="M133" s="43">
        <v>23980.440000000002</v>
      </c>
      <c r="N133" s="43">
        <v>168958.01</v>
      </c>
      <c r="O133" s="43">
        <v>-144977.57</v>
      </c>
      <c r="P133" s="44">
        <v>-6.045659295659295</v>
      </c>
    </row>
    <row r="134" ht="14.25" customHeight="1">
      <c r="C134" s="41" t="s">
        <v>150</v>
      </c>
      <c r="D134" s="41" t="s">
        <v>39</v>
      </c>
      <c r="E134" s="41" t="s">
        <v>15</v>
      </c>
      <c r="F134" s="41" t="s">
        <v>26</v>
      </c>
      <c r="G134" s="41" t="s">
        <v>27</v>
      </c>
      <c r="H134" s="41" t="s">
        <v>23</v>
      </c>
      <c r="I134" s="42">
        <v>45044.0</v>
      </c>
      <c r="J134" s="41">
        <v>328.0</v>
      </c>
      <c r="K134" s="43">
        <v>56.14</v>
      </c>
      <c r="L134" s="43">
        <v>158.17</v>
      </c>
      <c r="M134" s="43">
        <v>18413.920000000002</v>
      </c>
      <c r="N134" s="43">
        <v>51879.759999999995</v>
      </c>
      <c r="O134" s="43">
        <v>-33465.84</v>
      </c>
      <c r="P134" s="44">
        <v>-1.8174207338795865</v>
      </c>
    </row>
    <row r="135" ht="14.25" customHeight="1">
      <c r="C135" s="41" t="s">
        <v>151</v>
      </c>
      <c r="D135" s="41" t="s">
        <v>20</v>
      </c>
      <c r="E135" s="41" t="s">
        <v>29</v>
      </c>
      <c r="F135" s="41" t="s">
        <v>46</v>
      </c>
      <c r="G135" s="41" t="s">
        <v>27</v>
      </c>
      <c r="H135" s="41" t="s">
        <v>18</v>
      </c>
      <c r="I135" s="42">
        <v>45045.0</v>
      </c>
      <c r="J135" s="41">
        <v>421.0</v>
      </c>
      <c r="K135" s="43">
        <v>294.41</v>
      </c>
      <c r="L135" s="43">
        <v>382.58</v>
      </c>
      <c r="M135" s="43">
        <v>123946.61000000002</v>
      </c>
      <c r="N135" s="43">
        <v>161066.18</v>
      </c>
      <c r="O135" s="43">
        <v>-37119.56999999998</v>
      </c>
      <c r="P135" s="44">
        <v>-0.29948031656533386</v>
      </c>
    </row>
    <row r="136" ht="14.25" customHeight="1">
      <c r="C136" s="41" t="s">
        <v>152</v>
      </c>
      <c r="D136" s="41" t="s">
        <v>25</v>
      </c>
      <c r="E136" s="41" t="s">
        <v>21</v>
      </c>
      <c r="F136" s="41" t="s">
        <v>16</v>
      </c>
      <c r="G136" s="41" t="s">
        <v>27</v>
      </c>
      <c r="H136" s="41" t="s">
        <v>31</v>
      </c>
      <c r="I136" s="42">
        <v>45046.0</v>
      </c>
      <c r="J136" s="41">
        <v>69.0</v>
      </c>
      <c r="K136" s="43">
        <v>345.66</v>
      </c>
      <c r="L136" s="43">
        <v>54.99</v>
      </c>
      <c r="M136" s="43">
        <v>23850.54</v>
      </c>
      <c r="N136" s="43">
        <v>3794.31</v>
      </c>
      <c r="O136" s="43">
        <v>20056.23</v>
      </c>
      <c r="P136" s="44">
        <v>0.8409130359312619</v>
      </c>
    </row>
    <row r="137" ht="14.25" customHeight="1">
      <c r="C137" s="41" t="s">
        <v>153</v>
      </c>
      <c r="D137" s="41" t="s">
        <v>20</v>
      </c>
      <c r="E137" s="41" t="s">
        <v>15</v>
      </c>
      <c r="F137" s="41" t="s">
        <v>46</v>
      </c>
      <c r="G137" s="41" t="s">
        <v>27</v>
      </c>
      <c r="H137" s="41" t="s">
        <v>23</v>
      </c>
      <c r="I137" s="42">
        <v>45047.0</v>
      </c>
      <c r="J137" s="41">
        <v>344.0</v>
      </c>
      <c r="K137" s="43">
        <v>201.7</v>
      </c>
      <c r="L137" s="43">
        <v>42.66</v>
      </c>
      <c r="M137" s="43">
        <v>69384.8</v>
      </c>
      <c r="N137" s="43">
        <v>14675.039999999999</v>
      </c>
      <c r="O137" s="43">
        <v>54709.76</v>
      </c>
      <c r="P137" s="44">
        <v>0.7884977689638076</v>
      </c>
    </row>
    <row r="138" ht="14.25" customHeight="1">
      <c r="C138" s="41" t="s">
        <v>154</v>
      </c>
      <c r="D138" s="41" t="s">
        <v>39</v>
      </c>
      <c r="E138" s="41" t="s">
        <v>54</v>
      </c>
      <c r="F138" s="41" t="s">
        <v>46</v>
      </c>
      <c r="G138" s="41" t="s">
        <v>17</v>
      </c>
      <c r="H138" s="41" t="s">
        <v>18</v>
      </c>
      <c r="I138" s="42">
        <v>45048.0</v>
      </c>
      <c r="J138" s="41">
        <v>231.0</v>
      </c>
      <c r="K138" s="43">
        <v>242.55</v>
      </c>
      <c r="L138" s="43">
        <v>264.16</v>
      </c>
      <c r="M138" s="43">
        <v>56029.05</v>
      </c>
      <c r="N138" s="43">
        <v>61020.96000000001</v>
      </c>
      <c r="O138" s="43">
        <v>-4991.9100000000035</v>
      </c>
      <c r="P138" s="44">
        <v>-0.08909503195217487</v>
      </c>
    </row>
    <row r="139" ht="14.25" customHeight="1">
      <c r="C139" s="41" t="s">
        <v>155</v>
      </c>
      <c r="D139" s="41" t="s">
        <v>52</v>
      </c>
      <c r="E139" s="41" t="s">
        <v>15</v>
      </c>
      <c r="F139" s="41" t="s">
        <v>26</v>
      </c>
      <c r="G139" s="41" t="s">
        <v>17</v>
      </c>
      <c r="H139" s="41" t="s">
        <v>23</v>
      </c>
      <c r="I139" s="42">
        <v>45049.0</v>
      </c>
      <c r="J139" s="41">
        <v>46.0</v>
      </c>
      <c r="K139" s="43">
        <v>344.55</v>
      </c>
      <c r="L139" s="43">
        <v>377.25</v>
      </c>
      <c r="M139" s="43">
        <v>15849.300000000001</v>
      </c>
      <c r="N139" s="43">
        <v>17353.5</v>
      </c>
      <c r="O139" s="43">
        <v>-1504.199999999999</v>
      </c>
      <c r="P139" s="44">
        <v>-0.09490639965171956</v>
      </c>
    </row>
    <row r="140" ht="14.25" customHeight="1">
      <c r="C140" s="41" t="s">
        <v>156</v>
      </c>
      <c r="D140" s="41" t="s">
        <v>14</v>
      </c>
      <c r="E140" s="41" t="s">
        <v>21</v>
      </c>
      <c r="F140" s="41" t="s">
        <v>16</v>
      </c>
      <c r="G140" s="41" t="s">
        <v>27</v>
      </c>
      <c r="H140" s="41" t="s">
        <v>31</v>
      </c>
      <c r="I140" s="42">
        <v>45050.0</v>
      </c>
      <c r="J140" s="41">
        <v>486.0</v>
      </c>
      <c r="K140" s="43">
        <v>13.6</v>
      </c>
      <c r="L140" s="43">
        <v>323.94</v>
      </c>
      <c r="M140" s="43">
        <v>6609.599999999999</v>
      </c>
      <c r="N140" s="43">
        <v>157434.84</v>
      </c>
      <c r="O140" s="43">
        <v>-150825.24</v>
      </c>
      <c r="P140" s="44">
        <v>-22.819117647058825</v>
      </c>
    </row>
    <row r="141" ht="14.25" customHeight="1">
      <c r="C141" s="41" t="s">
        <v>157</v>
      </c>
      <c r="D141" s="41" t="s">
        <v>25</v>
      </c>
      <c r="E141" s="41" t="s">
        <v>15</v>
      </c>
      <c r="F141" s="41" t="s">
        <v>16</v>
      </c>
      <c r="G141" s="41" t="s">
        <v>27</v>
      </c>
      <c r="H141" s="41" t="s">
        <v>18</v>
      </c>
      <c r="I141" s="42">
        <v>45051.0</v>
      </c>
      <c r="J141" s="41">
        <v>287.0</v>
      </c>
      <c r="K141" s="43">
        <v>164.95</v>
      </c>
      <c r="L141" s="43">
        <v>32.41</v>
      </c>
      <c r="M141" s="43">
        <v>47340.649999999994</v>
      </c>
      <c r="N141" s="43">
        <v>9301.669999999998</v>
      </c>
      <c r="O141" s="43">
        <v>38038.979999999996</v>
      </c>
      <c r="P141" s="44">
        <v>0.8035162170354653</v>
      </c>
    </row>
    <row r="142" ht="14.25" customHeight="1">
      <c r="C142" s="41" t="s">
        <v>158</v>
      </c>
      <c r="D142" s="41" t="s">
        <v>20</v>
      </c>
      <c r="E142" s="41" t="s">
        <v>34</v>
      </c>
      <c r="F142" s="41" t="s">
        <v>22</v>
      </c>
      <c r="G142" s="41" t="s">
        <v>17</v>
      </c>
      <c r="H142" s="41" t="s">
        <v>31</v>
      </c>
      <c r="I142" s="42">
        <v>45052.0</v>
      </c>
      <c r="J142" s="41">
        <v>205.0</v>
      </c>
      <c r="K142" s="43">
        <v>486.68</v>
      </c>
      <c r="L142" s="43">
        <v>113.19</v>
      </c>
      <c r="M142" s="43">
        <v>99769.4</v>
      </c>
      <c r="N142" s="43">
        <v>23203.95</v>
      </c>
      <c r="O142" s="43">
        <v>76565.45</v>
      </c>
      <c r="P142" s="44">
        <v>0.7674241801594477</v>
      </c>
    </row>
    <row r="143" ht="14.25" customHeight="1">
      <c r="C143" s="41" t="s">
        <v>159</v>
      </c>
      <c r="D143" s="41" t="s">
        <v>52</v>
      </c>
      <c r="E143" s="41" t="s">
        <v>15</v>
      </c>
      <c r="F143" s="41" t="s">
        <v>46</v>
      </c>
      <c r="G143" s="41" t="s">
        <v>27</v>
      </c>
      <c r="H143" s="41" t="s">
        <v>31</v>
      </c>
      <c r="I143" s="42">
        <v>45053.0</v>
      </c>
      <c r="J143" s="41">
        <v>413.0</v>
      </c>
      <c r="K143" s="43">
        <v>292.16</v>
      </c>
      <c r="L143" s="43">
        <v>372.27</v>
      </c>
      <c r="M143" s="43">
        <v>120662.08000000002</v>
      </c>
      <c r="N143" s="43">
        <v>153747.50999999998</v>
      </c>
      <c r="O143" s="43">
        <v>-33085.429999999964</v>
      </c>
      <c r="P143" s="44">
        <v>-0.27419906900328556</v>
      </c>
    </row>
    <row r="144" ht="14.25" customHeight="1">
      <c r="C144" s="41" t="s">
        <v>160</v>
      </c>
      <c r="D144" s="41" t="s">
        <v>25</v>
      </c>
      <c r="E144" s="41" t="s">
        <v>29</v>
      </c>
      <c r="F144" s="41" t="s">
        <v>46</v>
      </c>
      <c r="G144" s="41" t="s">
        <v>27</v>
      </c>
      <c r="H144" s="41" t="s">
        <v>18</v>
      </c>
      <c r="I144" s="42">
        <v>45054.0</v>
      </c>
      <c r="J144" s="41">
        <v>361.0</v>
      </c>
      <c r="K144" s="43">
        <v>130.84</v>
      </c>
      <c r="L144" s="43">
        <v>102.72</v>
      </c>
      <c r="M144" s="43">
        <v>47233.24</v>
      </c>
      <c r="N144" s="43">
        <v>37081.92</v>
      </c>
      <c r="O144" s="43">
        <v>10151.32</v>
      </c>
      <c r="P144" s="44">
        <v>0.2149189850198716</v>
      </c>
    </row>
    <row r="145" ht="14.25" customHeight="1">
      <c r="C145" s="41" t="s">
        <v>161</v>
      </c>
      <c r="D145" s="41" t="s">
        <v>20</v>
      </c>
      <c r="E145" s="41" t="s">
        <v>29</v>
      </c>
      <c r="F145" s="41" t="s">
        <v>30</v>
      </c>
      <c r="G145" s="41" t="s">
        <v>17</v>
      </c>
      <c r="H145" s="41" t="s">
        <v>18</v>
      </c>
      <c r="I145" s="42">
        <v>45055.0</v>
      </c>
      <c r="J145" s="41">
        <v>493.0</v>
      </c>
      <c r="K145" s="43">
        <v>263.26</v>
      </c>
      <c r="L145" s="43">
        <v>312.91</v>
      </c>
      <c r="M145" s="43">
        <v>129787.18</v>
      </c>
      <c r="N145" s="43">
        <v>154264.63</v>
      </c>
      <c r="O145" s="43">
        <v>-24477.45000000001</v>
      </c>
      <c r="P145" s="44">
        <v>-0.18859682443212045</v>
      </c>
    </row>
    <row r="146" ht="14.25" customHeight="1">
      <c r="C146" s="41" t="s">
        <v>162</v>
      </c>
      <c r="D146" s="41" t="s">
        <v>20</v>
      </c>
      <c r="E146" s="41" t="s">
        <v>34</v>
      </c>
      <c r="F146" s="41" t="s">
        <v>22</v>
      </c>
      <c r="G146" s="41" t="s">
        <v>27</v>
      </c>
      <c r="H146" s="41" t="s">
        <v>18</v>
      </c>
      <c r="I146" s="42">
        <v>45056.0</v>
      </c>
      <c r="J146" s="41">
        <v>251.0</v>
      </c>
      <c r="K146" s="43">
        <v>174.61</v>
      </c>
      <c r="L146" s="43">
        <v>330.4</v>
      </c>
      <c r="M146" s="43">
        <v>43827.11</v>
      </c>
      <c r="N146" s="43">
        <v>82930.4</v>
      </c>
      <c r="O146" s="43">
        <v>-39103.28999999999</v>
      </c>
      <c r="P146" s="44">
        <v>-0.8922169406105033</v>
      </c>
    </row>
    <row r="147" ht="14.25" customHeight="1">
      <c r="C147" s="41" t="s">
        <v>163</v>
      </c>
      <c r="D147" s="41" t="s">
        <v>20</v>
      </c>
      <c r="E147" s="41" t="s">
        <v>21</v>
      </c>
      <c r="F147" s="41" t="s">
        <v>30</v>
      </c>
      <c r="G147" s="41" t="s">
        <v>27</v>
      </c>
      <c r="H147" s="41" t="s">
        <v>18</v>
      </c>
      <c r="I147" s="42">
        <v>45057.0</v>
      </c>
      <c r="J147" s="45">
        <v>255.9029411764706</v>
      </c>
      <c r="K147" s="43">
        <v>268.46</v>
      </c>
      <c r="L147" s="43">
        <v>199.19</v>
      </c>
      <c r="M147" s="43">
        <v>68699.7035882353</v>
      </c>
      <c r="N147" s="43">
        <v>50973.306852941176</v>
      </c>
      <c r="O147" s="43">
        <v>17726.396735294118</v>
      </c>
      <c r="P147" s="44">
        <v>0.25802726663190045</v>
      </c>
    </row>
    <row r="148" ht="14.25" customHeight="1">
      <c r="C148" s="41" t="s">
        <v>164</v>
      </c>
      <c r="D148" s="41" t="s">
        <v>25</v>
      </c>
      <c r="E148" s="41" t="s">
        <v>29</v>
      </c>
      <c r="F148" s="41" t="s">
        <v>30</v>
      </c>
      <c r="G148" s="41" t="s">
        <v>27</v>
      </c>
      <c r="H148" s="41" t="s">
        <v>18</v>
      </c>
      <c r="I148" s="42">
        <v>45058.0</v>
      </c>
      <c r="J148" s="41">
        <v>228.0</v>
      </c>
      <c r="K148" s="43">
        <v>67.24</v>
      </c>
      <c r="L148" s="43">
        <v>155.77</v>
      </c>
      <c r="M148" s="43">
        <v>15330.72</v>
      </c>
      <c r="N148" s="43">
        <v>35515.560000000005</v>
      </c>
      <c r="O148" s="43">
        <v>-20184.840000000004</v>
      </c>
      <c r="P148" s="44">
        <v>-1.3166270077334923</v>
      </c>
    </row>
    <row r="149" ht="14.25" customHeight="1">
      <c r="C149" s="41" t="s">
        <v>165</v>
      </c>
      <c r="D149" s="41" t="s">
        <v>25</v>
      </c>
      <c r="E149" s="41" t="s">
        <v>54</v>
      </c>
      <c r="F149" s="41" t="s">
        <v>30</v>
      </c>
      <c r="G149" s="41" t="s">
        <v>17</v>
      </c>
      <c r="H149" s="41" t="s">
        <v>18</v>
      </c>
      <c r="I149" s="42">
        <v>45059.0</v>
      </c>
      <c r="J149" s="41">
        <v>201.0</v>
      </c>
      <c r="K149" s="43">
        <v>70.69</v>
      </c>
      <c r="L149" s="43">
        <v>181.15</v>
      </c>
      <c r="M149" s="43">
        <v>14208.689999999999</v>
      </c>
      <c r="N149" s="43">
        <v>36411.15</v>
      </c>
      <c r="O149" s="43">
        <v>-22202.460000000003</v>
      </c>
      <c r="P149" s="44">
        <v>-1.5625972556231436</v>
      </c>
    </row>
    <row r="150" ht="14.25" customHeight="1">
      <c r="C150" s="41" t="s">
        <v>166</v>
      </c>
      <c r="D150" s="41" t="s">
        <v>25</v>
      </c>
      <c r="E150" s="41" t="s">
        <v>29</v>
      </c>
      <c r="F150" s="41" t="s">
        <v>26</v>
      </c>
      <c r="G150" s="41" t="s">
        <v>17</v>
      </c>
      <c r="H150" s="41" t="s">
        <v>18</v>
      </c>
      <c r="I150" s="42">
        <v>45060.0</v>
      </c>
      <c r="J150" s="41">
        <v>26.0</v>
      </c>
      <c r="K150" s="43">
        <v>76.05</v>
      </c>
      <c r="L150" s="43">
        <v>92.33</v>
      </c>
      <c r="M150" s="43">
        <v>1977.3</v>
      </c>
      <c r="N150" s="43">
        <v>2400.58</v>
      </c>
      <c r="O150" s="43">
        <v>-423.28</v>
      </c>
      <c r="P150" s="44">
        <v>-0.2140696909927679</v>
      </c>
    </row>
    <row r="151" ht="14.25" customHeight="1">
      <c r="C151" s="41" t="s">
        <v>167</v>
      </c>
      <c r="D151" s="41" t="s">
        <v>14</v>
      </c>
      <c r="E151" s="41" t="s">
        <v>29</v>
      </c>
      <c r="F151" s="41" t="s">
        <v>26</v>
      </c>
      <c r="G151" s="41" t="s">
        <v>17</v>
      </c>
      <c r="H151" s="41" t="s">
        <v>23</v>
      </c>
      <c r="I151" s="42">
        <v>45061.0</v>
      </c>
      <c r="J151" s="41">
        <v>21.0</v>
      </c>
      <c r="K151" s="43">
        <v>470.21</v>
      </c>
      <c r="L151" s="43">
        <v>355.98</v>
      </c>
      <c r="M151" s="43">
        <v>9874.41</v>
      </c>
      <c r="N151" s="43">
        <v>7475.58</v>
      </c>
      <c r="O151" s="43">
        <v>2398.83</v>
      </c>
      <c r="P151" s="44">
        <v>0.24293400820909805</v>
      </c>
    </row>
    <row r="152" ht="14.25" customHeight="1">
      <c r="C152" s="41" t="s">
        <v>168</v>
      </c>
      <c r="D152" s="41" t="s">
        <v>25</v>
      </c>
      <c r="E152" s="41" t="s">
        <v>21</v>
      </c>
      <c r="F152" s="41" t="s">
        <v>30</v>
      </c>
      <c r="G152" s="41" t="s">
        <v>27</v>
      </c>
      <c r="H152" s="41" t="s">
        <v>31</v>
      </c>
      <c r="I152" s="42">
        <v>45062.0</v>
      </c>
      <c r="J152" s="41">
        <v>415.0</v>
      </c>
      <c r="K152" s="43">
        <v>367.78</v>
      </c>
      <c r="L152" s="43">
        <v>181.35</v>
      </c>
      <c r="M152" s="43">
        <v>152628.69999999998</v>
      </c>
      <c r="N152" s="43">
        <v>75260.25</v>
      </c>
      <c r="O152" s="43">
        <v>77368.44999999998</v>
      </c>
      <c r="P152" s="44">
        <v>0.5069063026809505</v>
      </c>
    </row>
    <row r="153" ht="14.25" customHeight="1">
      <c r="C153" s="41" t="s">
        <v>169</v>
      </c>
      <c r="D153" s="41" t="s">
        <v>25</v>
      </c>
      <c r="E153" s="41" t="s">
        <v>15</v>
      </c>
      <c r="F153" s="41" t="s">
        <v>22</v>
      </c>
      <c r="G153" s="41" t="s">
        <v>27</v>
      </c>
      <c r="H153" s="41" t="s">
        <v>18</v>
      </c>
      <c r="I153" s="42">
        <v>45063.0</v>
      </c>
      <c r="J153" s="41">
        <v>410.0</v>
      </c>
      <c r="K153" s="43">
        <v>85.38</v>
      </c>
      <c r="L153" s="43">
        <v>353.22</v>
      </c>
      <c r="M153" s="43">
        <v>35005.799999999996</v>
      </c>
      <c r="N153" s="43">
        <v>144820.2</v>
      </c>
      <c r="O153" s="43">
        <v>-109814.40000000002</v>
      </c>
      <c r="P153" s="44">
        <v>-3.1370344342937466</v>
      </c>
    </row>
    <row r="154" ht="14.25" customHeight="1">
      <c r="C154" s="41" t="s">
        <v>170</v>
      </c>
      <c r="D154" s="41" t="s">
        <v>25</v>
      </c>
      <c r="E154" s="41" t="s">
        <v>29</v>
      </c>
      <c r="F154" s="41" t="s">
        <v>46</v>
      </c>
      <c r="G154" s="41" t="s">
        <v>17</v>
      </c>
      <c r="H154" s="41" t="s">
        <v>23</v>
      </c>
      <c r="I154" s="42">
        <v>45064.0</v>
      </c>
      <c r="J154" s="41">
        <v>403.0</v>
      </c>
      <c r="K154" s="43">
        <v>98.23</v>
      </c>
      <c r="L154" s="43">
        <v>44.07</v>
      </c>
      <c r="M154" s="43">
        <v>39586.69</v>
      </c>
      <c r="N154" s="43">
        <v>17760.21</v>
      </c>
      <c r="O154" s="43">
        <v>21826.480000000003</v>
      </c>
      <c r="P154" s="44">
        <v>0.5513590552784282</v>
      </c>
    </row>
    <row r="155" ht="14.25" customHeight="1">
      <c r="C155" s="41" t="s">
        <v>171</v>
      </c>
      <c r="D155" s="41" t="s">
        <v>14</v>
      </c>
      <c r="E155" s="41" t="s">
        <v>34</v>
      </c>
      <c r="F155" s="41" t="s">
        <v>22</v>
      </c>
      <c r="G155" s="41" t="s">
        <v>27</v>
      </c>
      <c r="H155" s="41" t="s">
        <v>23</v>
      </c>
      <c r="I155" s="42">
        <v>45065.0</v>
      </c>
      <c r="J155" s="41">
        <v>383.0</v>
      </c>
      <c r="K155" s="43">
        <v>366.76</v>
      </c>
      <c r="L155" s="43">
        <v>395.33</v>
      </c>
      <c r="M155" s="43">
        <v>140469.08</v>
      </c>
      <c r="N155" s="43">
        <v>151411.38999999998</v>
      </c>
      <c r="O155" s="43">
        <v>-10942.309999999998</v>
      </c>
      <c r="P155" s="44">
        <v>-0.0778983531464718</v>
      </c>
    </row>
    <row r="156" ht="14.25" customHeight="1">
      <c r="C156" s="41" t="s">
        <v>172</v>
      </c>
      <c r="D156" s="41" t="s">
        <v>25</v>
      </c>
      <c r="E156" s="41" t="s">
        <v>15</v>
      </c>
      <c r="F156" s="41" t="s">
        <v>16</v>
      </c>
      <c r="G156" s="41" t="s">
        <v>27</v>
      </c>
      <c r="H156" s="41" t="s">
        <v>23</v>
      </c>
      <c r="I156" s="42">
        <v>45066.0</v>
      </c>
      <c r="J156" s="41">
        <v>202.0</v>
      </c>
      <c r="K156" s="43">
        <v>82.3</v>
      </c>
      <c r="L156" s="43">
        <v>178.42</v>
      </c>
      <c r="M156" s="43">
        <v>16624.6</v>
      </c>
      <c r="N156" s="43">
        <v>36040.84</v>
      </c>
      <c r="O156" s="43">
        <v>-19416.239999999998</v>
      </c>
      <c r="P156" s="44">
        <v>-1.1679222357229648</v>
      </c>
    </row>
    <row r="157" ht="14.25" customHeight="1">
      <c r="C157" s="41" t="s">
        <v>173</v>
      </c>
      <c r="D157" s="41" t="s">
        <v>20</v>
      </c>
      <c r="E157" s="41" t="s">
        <v>54</v>
      </c>
      <c r="F157" s="41" t="s">
        <v>26</v>
      </c>
      <c r="G157" s="41" t="s">
        <v>27</v>
      </c>
      <c r="H157" s="41" t="s">
        <v>31</v>
      </c>
      <c r="I157" s="42">
        <v>45067.0</v>
      </c>
      <c r="J157" s="41">
        <v>31.0</v>
      </c>
      <c r="K157" s="43">
        <v>121.11</v>
      </c>
      <c r="L157" s="43">
        <v>21.04</v>
      </c>
      <c r="M157" s="43">
        <v>3754.41</v>
      </c>
      <c r="N157" s="43">
        <v>652.24</v>
      </c>
      <c r="O157" s="43">
        <v>3102.17</v>
      </c>
      <c r="P157" s="44">
        <v>0.8262736355379408</v>
      </c>
    </row>
    <row r="158" ht="14.25" customHeight="1">
      <c r="C158" s="41" t="s">
        <v>174</v>
      </c>
      <c r="D158" s="41" t="s">
        <v>25</v>
      </c>
      <c r="E158" s="41" t="s">
        <v>21</v>
      </c>
      <c r="F158" s="41" t="s">
        <v>46</v>
      </c>
      <c r="G158" s="41" t="s">
        <v>27</v>
      </c>
      <c r="H158" s="41" t="s">
        <v>18</v>
      </c>
      <c r="I158" s="42">
        <v>45068.0</v>
      </c>
      <c r="J158" s="41">
        <v>483.0</v>
      </c>
      <c r="K158" s="43">
        <v>481.86</v>
      </c>
      <c r="L158" s="43">
        <v>17.13</v>
      </c>
      <c r="M158" s="43">
        <v>232738.38</v>
      </c>
      <c r="N158" s="43">
        <v>8273.789999999999</v>
      </c>
      <c r="O158" s="43">
        <v>224464.59</v>
      </c>
      <c r="P158" s="44">
        <v>0.9644502552608641</v>
      </c>
    </row>
    <row r="159" ht="14.25" customHeight="1">
      <c r="C159" s="41" t="s">
        <v>175</v>
      </c>
      <c r="D159" s="41" t="s">
        <v>20</v>
      </c>
      <c r="E159" s="41" t="s">
        <v>54</v>
      </c>
      <c r="F159" s="41" t="s">
        <v>46</v>
      </c>
      <c r="G159" s="41" t="s">
        <v>27</v>
      </c>
      <c r="H159" s="41" t="s">
        <v>23</v>
      </c>
      <c r="I159" s="42">
        <v>45069.0</v>
      </c>
      <c r="J159" s="41">
        <v>129.0</v>
      </c>
      <c r="K159" s="43">
        <v>131.38</v>
      </c>
      <c r="L159" s="43">
        <v>298.99</v>
      </c>
      <c r="M159" s="43">
        <v>16948.02</v>
      </c>
      <c r="N159" s="43">
        <v>38569.71</v>
      </c>
      <c r="O159" s="43">
        <v>-21621.69</v>
      </c>
      <c r="P159" s="44">
        <v>-1.275764956614401</v>
      </c>
    </row>
    <row r="160" ht="14.25" customHeight="1">
      <c r="C160" s="41" t="s">
        <v>176</v>
      </c>
      <c r="D160" s="41" t="s">
        <v>20</v>
      </c>
      <c r="E160" s="41" t="s">
        <v>15</v>
      </c>
      <c r="F160" s="41" t="s">
        <v>16</v>
      </c>
      <c r="G160" s="41" t="s">
        <v>17</v>
      </c>
      <c r="H160" s="41" t="s">
        <v>31</v>
      </c>
      <c r="I160" s="42">
        <v>45070.0</v>
      </c>
      <c r="J160" s="41">
        <v>219.0</v>
      </c>
      <c r="K160" s="43">
        <v>332.51</v>
      </c>
      <c r="L160" s="43">
        <v>264.3</v>
      </c>
      <c r="M160" s="43">
        <v>72819.69</v>
      </c>
      <c r="N160" s="43">
        <v>57881.700000000004</v>
      </c>
      <c r="O160" s="43">
        <v>14937.989999999998</v>
      </c>
      <c r="P160" s="44">
        <v>0.20513668761841747</v>
      </c>
    </row>
    <row r="161" ht="14.25" customHeight="1">
      <c r="C161" s="41" t="s">
        <v>177</v>
      </c>
      <c r="D161" s="41" t="s">
        <v>20</v>
      </c>
      <c r="E161" s="41" t="s">
        <v>15</v>
      </c>
      <c r="F161" s="41" t="s">
        <v>16</v>
      </c>
      <c r="G161" s="41" t="s">
        <v>27</v>
      </c>
      <c r="H161" s="41" t="s">
        <v>31</v>
      </c>
      <c r="I161" s="42">
        <v>45071.0</v>
      </c>
      <c r="J161" s="41">
        <v>315.0</v>
      </c>
      <c r="K161" s="43">
        <v>489.42</v>
      </c>
      <c r="L161" s="43">
        <v>321.25</v>
      </c>
      <c r="M161" s="43">
        <v>154167.30000000002</v>
      </c>
      <c r="N161" s="43">
        <v>101193.75</v>
      </c>
      <c r="O161" s="43">
        <v>52973.55000000002</v>
      </c>
      <c r="P161" s="44">
        <v>0.3436108046258838</v>
      </c>
    </row>
    <row r="162" ht="14.25" customHeight="1">
      <c r="C162" s="41" t="s">
        <v>178</v>
      </c>
      <c r="D162" s="41" t="s">
        <v>14</v>
      </c>
      <c r="E162" s="41" t="s">
        <v>15</v>
      </c>
      <c r="F162" s="41" t="s">
        <v>30</v>
      </c>
      <c r="G162" s="41" t="s">
        <v>17</v>
      </c>
      <c r="H162" s="41" t="s">
        <v>31</v>
      </c>
      <c r="I162" s="42">
        <v>45072.0</v>
      </c>
      <c r="J162" s="41">
        <v>279.0</v>
      </c>
      <c r="K162" s="43">
        <v>190.28</v>
      </c>
      <c r="L162" s="43">
        <v>43.94</v>
      </c>
      <c r="M162" s="43">
        <v>53088.12</v>
      </c>
      <c r="N162" s="43">
        <v>12259.26</v>
      </c>
      <c r="O162" s="43">
        <v>40828.86</v>
      </c>
      <c r="P162" s="44">
        <v>0.7690771494639478</v>
      </c>
    </row>
    <row r="163" ht="14.25" customHeight="1">
      <c r="C163" s="41" t="s">
        <v>179</v>
      </c>
      <c r="D163" s="41" t="s">
        <v>14</v>
      </c>
      <c r="E163" s="41" t="s">
        <v>54</v>
      </c>
      <c r="F163" s="41" t="s">
        <v>26</v>
      </c>
      <c r="G163" s="41" t="s">
        <v>27</v>
      </c>
      <c r="H163" s="41" t="s">
        <v>23</v>
      </c>
      <c r="I163" s="42">
        <v>45073.0</v>
      </c>
      <c r="J163" s="41">
        <v>201.0</v>
      </c>
      <c r="K163" s="43">
        <v>13.67</v>
      </c>
      <c r="L163" s="43">
        <v>16.16</v>
      </c>
      <c r="M163" s="43">
        <v>2747.67</v>
      </c>
      <c r="N163" s="43">
        <v>3248.16</v>
      </c>
      <c r="O163" s="43">
        <v>-500.4899999999998</v>
      </c>
      <c r="P163" s="44">
        <v>-0.18215069495245054</v>
      </c>
    </row>
    <row r="164" ht="14.25" customHeight="1">
      <c r="C164" s="41" t="s">
        <v>180</v>
      </c>
      <c r="D164" s="41" t="s">
        <v>14</v>
      </c>
      <c r="E164" s="41" t="s">
        <v>15</v>
      </c>
      <c r="F164" s="41" t="s">
        <v>26</v>
      </c>
      <c r="G164" s="41" t="s">
        <v>17</v>
      </c>
      <c r="H164" s="41" t="s">
        <v>18</v>
      </c>
      <c r="I164" s="42">
        <v>45074.0</v>
      </c>
      <c r="J164" s="41">
        <v>184.0</v>
      </c>
      <c r="K164" s="43">
        <v>125.85</v>
      </c>
      <c r="L164" s="43">
        <v>204.41</v>
      </c>
      <c r="M164" s="43">
        <v>23156.399999999998</v>
      </c>
      <c r="N164" s="43">
        <v>37611.44</v>
      </c>
      <c r="O164" s="43">
        <v>-14455.040000000005</v>
      </c>
      <c r="P164" s="44">
        <v>-0.6242352006356776</v>
      </c>
    </row>
    <row r="165" ht="14.25" customHeight="1">
      <c r="C165" s="41" t="s">
        <v>181</v>
      </c>
      <c r="D165" s="41" t="s">
        <v>25</v>
      </c>
      <c r="E165" s="41" t="s">
        <v>54</v>
      </c>
      <c r="F165" s="41" t="s">
        <v>22</v>
      </c>
      <c r="G165" s="41" t="s">
        <v>27</v>
      </c>
      <c r="H165" s="41" t="s">
        <v>23</v>
      </c>
      <c r="I165" s="42">
        <v>45075.0</v>
      </c>
      <c r="J165" s="41">
        <v>294.0</v>
      </c>
      <c r="K165" s="43">
        <v>416.28</v>
      </c>
      <c r="L165" s="43">
        <v>156.26</v>
      </c>
      <c r="M165" s="43">
        <v>122386.31999999999</v>
      </c>
      <c r="N165" s="43">
        <v>45940.439999999995</v>
      </c>
      <c r="O165" s="43">
        <v>76445.88</v>
      </c>
      <c r="P165" s="44">
        <v>0.624627654463342</v>
      </c>
    </row>
    <row r="166" ht="14.25" customHeight="1">
      <c r="C166" s="41" t="s">
        <v>182</v>
      </c>
      <c r="D166" s="41" t="s">
        <v>20</v>
      </c>
      <c r="E166" s="41" t="s">
        <v>15</v>
      </c>
      <c r="F166" s="41" t="s">
        <v>30</v>
      </c>
      <c r="G166" s="41" t="s">
        <v>17</v>
      </c>
      <c r="H166" s="41" t="s">
        <v>23</v>
      </c>
      <c r="I166" s="42">
        <v>45076.0</v>
      </c>
      <c r="J166" s="41">
        <v>213.0</v>
      </c>
      <c r="K166" s="43">
        <v>432.98</v>
      </c>
      <c r="L166" s="43">
        <v>185.85</v>
      </c>
      <c r="M166" s="43">
        <v>92224.74</v>
      </c>
      <c r="N166" s="43">
        <v>39586.049999999996</v>
      </c>
      <c r="O166" s="43">
        <v>52638.69000000001</v>
      </c>
      <c r="P166" s="44">
        <v>0.5707653933207077</v>
      </c>
    </row>
    <row r="167" ht="14.25" customHeight="1">
      <c r="C167" s="41" t="s">
        <v>183</v>
      </c>
      <c r="D167" s="41" t="s">
        <v>14</v>
      </c>
      <c r="E167" s="41" t="s">
        <v>34</v>
      </c>
      <c r="F167" s="41" t="s">
        <v>30</v>
      </c>
      <c r="G167" s="41" t="s">
        <v>27</v>
      </c>
      <c r="H167" s="41" t="s">
        <v>18</v>
      </c>
      <c r="I167" s="42">
        <v>45077.0</v>
      </c>
      <c r="J167" s="41">
        <v>173.0</v>
      </c>
      <c r="K167" s="43">
        <v>385.42</v>
      </c>
      <c r="L167" s="43">
        <v>396.65</v>
      </c>
      <c r="M167" s="43">
        <v>66677.66</v>
      </c>
      <c r="N167" s="43">
        <v>68620.45</v>
      </c>
      <c r="O167" s="43">
        <v>-1942.7899999999936</v>
      </c>
      <c r="P167" s="44">
        <v>-0.02913704530122973</v>
      </c>
    </row>
    <row r="168" ht="14.25" customHeight="1">
      <c r="C168" s="41" t="s">
        <v>184</v>
      </c>
      <c r="D168" s="41" t="s">
        <v>14</v>
      </c>
      <c r="E168" s="41" t="s">
        <v>15</v>
      </c>
      <c r="F168" s="41" t="s">
        <v>30</v>
      </c>
      <c r="G168" s="41" t="s">
        <v>17</v>
      </c>
      <c r="H168" s="41" t="s">
        <v>18</v>
      </c>
      <c r="I168" s="42">
        <v>45078.0</v>
      </c>
      <c r="J168" s="41">
        <v>260.0</v>
      </c>
      <c r="K168" s="43">
        <v>60.99</v>
      </c>
      <c r="L168" s="43">
        <v>388.36</v>
      </c>
      <c r="M168" s="43">
        <v>15857.4</v>
      </c>
      <c r="N168" s="43">
        <v>100973.6</v>
      </c>
      <c r="O168" s="43">
        <v>-85116.20000000001</v>
      </c>
      <c r="P168" s="44">
        <v>-5.36760124610592</v>
      </c>
    </row>
    <row r="169" ht="14.25" customHeight="1">
      <c r="C169" s="41" t="s">
        <v>185</v>
      </c>
      <c r="D169" s="41" t="s">
        <v>25</v>
      </c>
      <c r="E169" s="41" t="s">
        <v>54</v>
      </c>
      <c r="F169" s="41" t="s">
        <v>30</v>
      </c>
      <c r="G169" s="41" t="s">
        <v>27</v>
      </c>
      <c r="H169" s="41" t="s">
        <v>18</v>
      </c>
      <c r="I169" s="42">
        <v>45079.0</v>
      </c>
      <c r="J169" s="41">
        <v>236.0</v>
      </c>
      <c r="K169" s="43">
        <v>398.78</v>
      </c>
      <c r="L169" s="43">
        <v>377.04</v>
      </c>
      <c r="M169" s="43">
        <v>94112.07999999999</v>
      </c>
      <c r="N169" s="43">
        <v>88981.44</v>
      </c>
      <c r="O169" s="43">
        <v>5130.639999999985</v>
      </c>
      <c r="P169" s="44">
        <v>0.05451627463764466</v>
      </c>
    </row>
    <row r="170" ht="14.25" customHeight="1">
      <c r="C170" s="41" t="s">
        <v>186</v>
      </c>
      <c r="D170" s="41" t="s">
        <v>14</v>
      </c>
      <c r="E170" s="41" t="s">
        <v>29</v>
      </c>
      <c r="F170" s="41" t="s">
        <v>26</v>
      </c>
      <c r="G170" s="41" t="s">
        <v>17</v>
      </c>
      <c r="H170" s="41" t="s">
        <v>31</v>
      </c>
      <c r="I170" s="42">
        <v>45080.0</v>
      </c>
      <c r="J170" s="41">
        <v>445.0</v>
      </c>
      <c r="K170" s="43">
        <v>459.75</v>
      </c>
      <c r="L170" s="43">
        <v>313.97</v>
      </c>
      <c r="M170" s="43">
        <v>204588.75</v>
      </c>
      <c r="N170" s="43">
        <v>139716.65000000002</v>
      </c>
      <c r="O170" s="43">
        <v>64872.09999999998</v>
      </c>
      <c r="P170" s="44">
        <v>0.3170853724850461</v>
      </c>
    </row>
    <row r="171" ht="14.25" customHeight="1">
      <c r="C171" s="41" t="s">
        <v>187</v>
      </c>
      <c r="D171" s="41" t="s">
        <v>25</v>
      </c>
      <c r="E171" s="41" t="s">
        <v>15</v>
      </c>
      <c r="F171" s="41" t="s">
        <v>26</v>
      </c>
      <c r="G171" s="41" t="s">
        <v>27</v>
      </c>
      <c r="H171" s="41" t="s">
        <v>18</v>
      </c>
      <c r="I171" s="42">
        <v>45081.0</v>
      </c>
      <c r="J171" s="41">
        <v>390.0</v>
      </c>
      <c r="K171" s="43">
        <v>302.3</v>
      </c>
      <c r="L171" s="43">
        <v>143.23</v>
      </c>
      <c r="M171" s="43">
        <v>117897.0</v>
      </c>
      <c r="N171" s="43">
        <v>55859.7</v>
      </c>
      <c r="O171" s="43">
        <v>62037.3</v>
      </c>
      <c r="P171" s="44">
        <v>0.5261991399272247</v>
      </c>
    </row>
    <row r="172" ht="14.25" customHeight="1">
      <c r="C172" s="41" t="s">
        <v>188</v>
      </c>
      <c r="D172" s="41" t="s">
        <v>52</v>
      </c>
      <c r="E172" s="41" t="s">
        <v>29</v>
      </c>
      <c r="F172" s="41" t="s">
        <v>30</v>
      </c>
      <c r="G172" s="41" t="s">
        <v>17</v>
      </c>
      <c r="H172" s="41" t="s">
        <v>23</v>
      </c>
      <c r="I172" s="42">
        <v>45082.0</v>
      </c>
      <c r="J172" s="41">
        <v>469.0</v>
      </c>
      <c r="K172" s="43">
        <v>470.73</v>
      </c>
      <c r="L172" s="43">
        <v>166.03</v>
      </c>
      <c r="M172" s="43">
        <v>220772.37</v>
      </c>
      <c r="N172" s="43">
        <v>77868.07</v>
      </c>
      <c r="O172" s="43">
        <v>142904.3</v>
      </c>
      <c r="P172" s="44">
        <v>0.647292503133431</v>
      </c>
    </row>
    <row r="173" ht="14.25" customHeight="1">
      <c r="C173" s="41" t="s">
        <v>189</v>
      </c>
      <c r="D173" s="41" t="s">
        <v>14</v>
      </c>
      <c r="E173" s="41" t="s">
        <v>34</v>
      </c>
      <c r="F173" s="41" t="s">
        <v>22</v>
      </c>
      <c r="G173" s="41" t="s">
        <v>17</v>
      </c>
      <c r="H173" s="41" t="s">
        <v>18</v>
      </c>
      <c r="I173" s="42">
        <v>45083.0</v>
      </c>
      <c r="J173" s="41">
        <v>16.0</v>
      </c>
      <c r="K173" s="43">
        <v>249.64520588235297</v>
      </c>
      <c r="L173" s="43">
        <v>220.75</v>
      </c>
      <c r="M173" s="43">
        <v>3994.3232941176475</v>
      </c>
      <c r="N173" s="43">
        <v>3532.0</v>
      </c>
      <c r="O173" s="43">
        <v>462.3232941176475</v>
      </c>
      <c r="P173" s="44">
        <v>0.11574508623237906</v>
      </c>
    </row>
    <row r="174" ht="14.25" customHeight="1">
      <c r="C174" s="41" t="s">
        <v>190</v>
      </c>
      <c r="D174" s="41" t="s">
        <v>52</v>
      </c>
      <c r="E174" s="41" t="s">
        <v>21</v>
      </c>
      <c r="F174" s="41" t="s">
        <v>46</v>
      </c>
      <c r="G174" s="41" t="s">
        <v>27</v>
      </c>
      <c r="H174" s="41" t="s">
        <v>23</v>
      </c>
      <c r="I174" s="42">
        <v>45084.0</v>
      </c>
      <c r="J174" s="41">
        <v>38.0</v>
      </c>
      <c r="K174" s="43">
        <v>335.15</v>
      </c>
      <c r="L174" s="43">
        <v>332.55</v>
      </c>
      <c r="M174" s="43">
        <v>12735.699999999999</v>
      </c>
      <c r="N174" s="43">
        <v>12636.9</v>
      </c>
      <c r="O174" s="43">
        <v>98.79999999999927</v>
      </c>
      <c r="P174" s="44">
        <v>0.007757720423690828</v>
      </c>
    </row>
    <row r="175" ht="14.25" customHeight="1">
      <c r="C175" s="41" t="s">
        <v>191</v>
      </c>
      <c r="D175" s="41" t="s">
        <v>25</v>
      </c>
      <c r="E175" s="41" t="s">
        <v>34</v>
      </c>
      <c r="F175" s="41" t="s">
        <v>39</v>
      </c>
      <c r="G175" s="41" t="s">
        <v>27</v>
      </c>
      <c r="H175" s="41" t="s">
        <v>31</v>
      </c>
      <c r="I175" s="42">
        <v>45085.0</v>
      </c>
      <c r="J175" s="41">
        <v>404.0</v>
      </c>
      <c r="K175" s="43">
        <v>290.71</v>
      </c>
      <c r="L175" s="43">
        <v>29.35</v>
      </c>
      <c r="M175" s="43">
        <v>117446.84</v>
      </c>
      <c r="N175" s="43">
        <v>11857.400000000001</v>
      </c>
      <c r="O175" s="43">
        <v>105589.44</v>
      </c>
      <c r="P175" s="44">
        <v>0.8990402806920987</v>
      </c>
    </row>
    <row r="176" ht="14.25" customHeight="1">
      <c r="C176" s="41" t="s">
        <v>192</v>
      </c>
      <c r="D176" s="41" t="s">
        <v>20</v>
      </c>
      <c r="E176" s="41" t="s">
        <v>15</v>
      </c>
      <c r="F176" s="41" t="s">
        <v>22</v>
      </c>
      <c r="G176" s="41" t="s">
        <v>17</v>
      </c>
      <c r="H176" s="41" t="s">
        <v>23</v>
      </c>
      <c r="I176" s="42">
        <v>45086.0</v>
      </c>
      <c r="J176" s="41">
        <v>42.0</v>
      </c>
      <c r="K176" s="43">
        <v>177.54</v>
      </c>
      <c r="L176" s="43">
        <v>170.87</v>
      </c>
      <c r="M176" s="43">
        <v>7456.679999999999</v>
      </c>
      <c r="N176" s="43">
        <v>7176.54</v>
      </c>
      <c r="O176" s="43">
        <v>280.1399999999994</v>
      </c>
      <c r="P176" s="44">
        <v>0.037568998535541215</v>
      </c>
    </row>
    <row r="177" ht="14.25" customHeight="1">
      <c r="C177" s="41" t="s">
        <v>193</v>
      </c>
      <c r="D177" s="41" t="s">
        <v>14</v>
      </c>
      <c r="E177" s="41" t="s">
        <v>29</v>
      </c>
      <c r="F177" s="41" t="s">
        <v>30</v>
      </c>
      <c r="G177" s="41" t="s">
        <v>27</v>
      </c>
      <c r="H177" s="41" t="s">
        <v>23</v>
      </c>
      <c r="I177" s="42">
        <v>45087.0</v>
      </c>
      <c r="J177" s="41">
        <v>143.0</v>
      </c>
      <c r="K177" s="43">
        <v>83.85</v>
      </c>
      <c r="L177" s="43">
        <v>34.88</v>
      </c>
      <c r="M177" s="43">
        <v>11990.55</v>
      </c>
      <c r="N177" s="43">
        <v>4987.84</v>
      </c>
      <c r="O177" s="43">
        <v>7002.709999999999</v>
      </c>
      <c r="P177" s="44">
        <v>0.5840190816935003</v>
      </c>
    </row>
    <row r="178" ht="14.25" customHeight="1">
      <c r="C178" s="41" t="s">
        <v>194</v>
      </c>
      <c r="D178" s="41" t="s">
        <v>25</v>
      </c>
      <c r="E178" s="41" t="s">
        <v>29</v>
      </c>
      <c r="F178" s="41" t="s">
        <v>26</v>
      </c>
      <c r="G178" s="41" t="s">
        <v>17</v>
      </c>
      <c r="H178" s="41" t="s">
        <v>18</v>
      </c>
      <c r="I178" s="42">
        <v>45088.0</v>
      </c>
      <c r="J178" s="41">
        <v>376.0</v>
      </c>
      <c r="K178" s="43">
        <v>304.45</v>
      </c>
      <c r="L178" s="43">
        <v>206.83</v>
      </c>
      <c r="M178" s="43">
        <v>114473.2</v>
      </c>
      <c r="N178" s="43">
        <v>77768.08</v>
      </c>
      <c r="O178" s="43">
        <v>36705.119999999995</v>
      </c>
      <c r="P178" s="44">
        <v>0.32064378387255704</v>
      </c>
    </row>
    <row r="179" ht="14.25" customHeight="1">
      <c r="C179" s="41" t="s">
        <v>195</v>
      </c>
      <c r="D179" s="41" t="s">
        <v>20</v>
      </c>
      <c r="E179" s="41" t="s">
        <v>54</v>
      </c>
      <c r="F179" s="41" t="s">
        <v>46</v>
      </c>
      <c r="G179" s="41" t="s">
        <v>17</v>
      </c>
      <c r="H179" s="41" t="s">
        <v>18</v>
      </c>
      <c r="I179" s="42">
        <v>45089.0</v>
      </c>
      <c r="J179" s="41">
        <v>88.0</v>
      </c>
      <c r="K179" s="43">
        <v>162.47</v>
      </c>
      <c r="L179" s="43">
        <v>359.76</v>
      </c>
      <c r="M179" s="43">
        <v>14297.36</v>
      </c>
      <c r="N179" s="43">
        <v>31658.879999999997</v>
      </c>
      <c r="O179" s="43">
        <v>-17361.519999999997</v>
      </c>
      <c r="P179" s="44">
        <v>-1.2143164891980056</v>
      </c>
    </row>
    <row r="180" ht="14.25" customHeight="1">
      <c r="C180" s="41" t="s">
        <v>196</v>
      </c>
      <c r="D180" s="41" t="s">
        <v>20</v>
      </c>
      <c r="E180" s="41" t="s">
        <v>29</v>
      </c>
      <c r="F180" s="41" t="s">
        <v>16</v>
      </c>
      <c r="G180" s="41" t="s">
        <v>17</v>
      </c>
      <c r="H180" s="41" t="s">
        <v>23</v>
      </c>
      <c r="I180" s="42">
        <v>45090.0</v>
      </c>
      <c r="J180" s="41">
        <v>425.0</v>
      </c>
      <c r="K180" s="43">
        <v>433.89</v>
      </c>
      <c r="L180" s="43">
        <v>313.43</v>
      </c>
      <c r="M180" s="43">
        <v>184403.25</v>
      </c>
      <c r="N180" s="43">
        <v>133207.75</v>
      </c>
      <c r="O180" s="43">
        <v>51195.5</v>
      </c>
      <c r="P180" s="44">
        <v>0.27762797022286756</v>
      </c>
    </row>
    <row r="181" ht="14.25" customHeight="1">
      <c r="C181" s="41" t="s">
        <v>197</v>
      </c>
      <c r="D181" s="41" t="s">
        <v>52</v>
      </c>
      <c r="E181" s="41" t="s">
        <v>54</v>
      </c>
      <c r="F181" s="41" t="s">
        <v>16</v>
      </c>
      <c r="G181" s="41" t="s">
        <v>27</v>
      </c>
      <c r="H181" s="41" t="s">
        <v>18</v>
      </c>
      <c r="I181" s="42">
        <v>45091.0</v>
      </c>
      <c r="J181" s="41">
        <v>444.0</v>
      </c>
      <c r="K181" s="43">
        <v>496.7</v>
      </c>
      <c r="L181" s="43">
        <v>92.68</v>
      </c>
      <c r="M181" s="43">
        <v>220534.8</v>
      </c>
      <c r="N181" s="43">
        <v>41149.920000000006</v>
      </c>
      <c r="O181" s="43">
        <v>179384.87999999998</v>
      </c>
      <c r="P181" s="44">
        <v>0.8134084960740889</v>
      </c>
    </row>
    <row r="182" ht="14.25" customHeight="1">
      <c r="C182" s="41" t="s">
        <v>198</v>
      </c>
      <c r="D182" s="41" t="s">
        <v>25</v>
      </c>
      <c r="E182" s="41" t="s">
        <v>21</v>
      </c>
      <c r="F182" s="41" t="s">
        <v>22</v>
      </c>
      <c r="G182" s="41" t="s">
        <v>17</v>
      </c>
      <c r="H182" s="41" t="s">
        <v>31</v>
      </c>
      <c r="I182" s="42">
        <v>45092.0</v>
      </c>
      <c r="J182" s="41">
        <v>468.0</v>
      </c>
      <c r="K182" s="43">
        <v>377.45</v>
      </c>
      <c r="L182" s="43">
        <v>390.44</v>
      </c>
      <c r="M182" s="43">
        <v>176646.6</v>
      </c>
      <c r="N182" s="43">
        <v>182725.92</v>
      </c>
      <c r="O182" s="43">
        <v>-6079.320000000007</v>
      </c>
      <c r="P182" s="44">
        <v>-0.034415154325076205</v>
      </c>
    </row>
    <row r="183" ht="14.25" customHeight="1">
      <c r="C183" s="41" t="s">
        <v>199</v>
      </c>
      <c r="D183" s="41" t="s">
        <v>20</v>
      </c>
      <c r="E183" s="41" t="s">
        <v>15</v>
      </c>
      <c r="F183" s="41" t="s">
        <v>30</v>
      </c>
      <c r="G183" s="41" t="s">
        <v>17</v>
      </c>
      <c r="H183" s="41" t="s">
        <v>31</v>
      </c>
      <c r="I183" s="42">
        <v>45093.0</v>
      </c>
      <c r="J183" s="41">
        <v>67.0</v>
      </c>
      <c r="K183" s="43">
        <v>49.79</v>
      </c>
      <c r="L183" s="43">
        <v>267.61</v>
      </c>
      <c r="M183" s="43">
        <v>3335.93</v>
      </c>
      <c r="N183" s="43">
        <v>17929.870000000003</v>
      </c>
      <c r="O183" s="43">
        <v>-14593.940000000002</v>
      </c>
      <c r="P183" s="44">
        <v>-4.374774051014261</v>
      </c>
    </row>
    <row r="184" ht="14.25" customHeight="1">
      <c r="C184" s="41" t="s">
        <v>200</v>
      </c>
      <c r="D184" s="41" t="s">
        <v>14</v>
      </c>
      <c r="E184" s="41" t="s">
        <v>54</v>
      </c>
      <c r="F184" s="41" t="s">
        <v>46</v>
      </c>
      <c r="G184" s="41" t="s">
        <v>27</v>
      </c>
      <c r="H184" s="41" t="s">
        <v>18</v>
      </c>
      <c r="I184" s="42">
        <v>45094.0</v>
      </c>
      <c r="J184" s="41">
        <v>480.0</v>
      </c>
      <c r="K184" s="43">
        <v>147.9</v>
      </c>
      <c r="L184" s="43">
        <v>6.15</v>
      </c>
      <c r="M184" s="43">
        <v>70992.0</v>
      </c>
      <c r="N184" s="43">
        <v>2952.0</v>
      </c>
      <c r="O184" s="43">
        <v>68040.0</v>
      </c>
      <c r="P184" s="44">
        <v>0.9584178498985801</v>
      </c>
    </row>
    <row r="185" ht="14.25" customHeight="1">
      <c r="C185" s="41" t="s">
        <v>201</v>
      </c>
      <c r="D185" s="41" t="s">
        <v>14</v>
      </c>
      <c r="E185" s="41" t="s">
        <v>21</v>
      </c>
      <c r="F185" s="41" t="s">
        <v>30</v>
      </c>
      <c r="G185" s="41" t="s">
        <v>27</v>
      </c>
      <c r="H185" s="41" t="s">
        <v>31</v>
      </c>
      <c r="I185" s="42">
        <v>45095.0</v>
      </c>
      <c r="J185" s="41">
        <v>35.0</v>
      </c>
      <c r="K185" s="43">
        <v>59.01</v>
      </c>
      <c r="L185" s="43">
        <v>103.65</v>
      </c>
      <c r="M185" s="43">
        <v>2065.35</v>
      </c>
      <c r="N185" s="43">
        <v>3627.75</v>
      </c>
      <c r="O185" s="43">
        <v>-1562.4</v>
      </c>
      <c r="P185" s="44">
        <v>-0.7564819522114896</v>
      </c>
    </row>
    <row r="186" ht="14.25" customHeight="1">
      <c r="C186" s="41" t="s">
        <v>202</v>
      </c>
      <c r="D186" s="41" t="s">
        <v>52</v>
      </c>
      <c r="E186" s="41" t="s">
        <v>29</v>
      </c>
      <c r="F186" s="41" t="s">
        <v>46</v>
      </c>
      <c r="G186" s="41" t="s">
        <v>27</v>
      </c>
      <c r="H186" s="41" t="s">
        <v>18</v>
      </c>
      <c r="I186" s="42">
        <v>45096.0</v>
      </c>
      <c r="J186" s="41">
        <v>491.0</v>
      </c>
      <c r="K186" s="43">
        <v>327.0</v>
      </c>
      <c r="L186" s="43">
        <v>105.76</v>
      </c>
      <c r="M186" s="43">
        <v>160557.0</v>
      </c>
      <c r="N186" s="43">
        <v>51928.16</v>
      </c>
      <c r="O186" s="43">
        <v>108628.84</v>
      </c>
      <c r="P186" s="44">
        <v>0.6765749235474006</v>
      </c>
    </row>
    <row r="187" ht="14.25" customHeight="1">
      <c r="C187" s="41" t="s">
        <v>203</v>
      </c>
      <c r="D187" s="41" t="s">
        <v>20</v>
      </c>
      <c r="E187" s="41" t="s">
        <v>29</v>
      </c>
      <c r="F187" s="41" t="s">
        <v>22</v>
      </c>
      <c r="G187" s="41" t="s">
        <v>27</v>
      </c>
      <c r="H187" s="41" t="s">
        <v>23</v>
      </c>
      <c r="I187" s="42">
        <v>45097.0</v>
      </c>
      <c r="J187" s="41">
        <v>439.0</v>
      </c>
      <c r="K187" s="43">
        <v>383.77</v>
      </c>
      <c r="L187" s="43">
        <v>29.56</v>
      </c>
      <c r="M187" s="43">
        <v>168475.03</v>
      </c>
      <c r="N187" s="43">
        <v>12976.84</v>
      </c>
      <c r="O187" s="43">
        <v>155498.19</v>
      </c>
      <c r="P187" s="44">
        <v>0.9229746983870548</v>
      </c>
    </row>
    <row r="188" ht="14.25" customHeight="1">
      <c r="C188" s="41" t="s">
        <v>204</v>
      </c>
      <c r="D188" s="41" t="s">
        <v>25</v>
      </c>
      <c r="E188" s="41" t="s">
        <v>21</v>
      </c>
      <c r="F188" s="41" t="s">
        <v>22</v>
      </c>
      <c r="G188" s="41" t="s">
        <v>17</v>
      </c>
      <c r="H188" s="41" t="s">
        <v>23</v>
      </c>
      <c r="I188" s="42">
        <v>45098.0</v>
      </c>
      <c r="J188" s="41">
        <v>235.0</v>
      </c>
      <c r="K188" s="43">
        <v>463.21</v>
      </c>
      <c r="L188" s="43">
        <v>384.01</v>
      </c>
      <c r="M188" s="43">
        <v>108854.34999999999</v>
      </c>
      <c r="N188" s="43">
        <v>90242.34999999999</v>
      </c>
      <c r="O188" s="43">
        <v>18612.0</v>
      </c>
      <c r="P188" s="44">
        <v>0.17098076466397533</v>
      </c>
    </row>
    <row r="189" ht="14.25" customHeight="1">
      <c r="C189" s="41" t="s">
        <v>205</v>
      </c>
      <c r="D189" s="41" t="s">
        <v>14</v>
      </c>
      <c r="E189" s="41" t="s">
        <v>29</v>
      </c>
      <c r="F189" s="41" t="s">
        <v>16</v>
      </c>
      <c r="G189" s="41" t="s">
        <v>17</v>
      </c>
      <c r="H189" s="41" t="s">
        <v>31</v>
      </c>
      <c r="I189" s="42">
        <v>45099.0</v>
      </c>
      <c r="J189" s="41">
        <v>294.0</v>
      </c>
      <c r="K189" s="43">
        <v>221.9</v>
      </c>
      <c r="L189" s="43">
        <v>192.35</v>
      </c>
      <c r="M189" s="43">
        <v>65238.6</v>
      </c>
      <c r="N189" s="43">
        <v>56550.9</v>
      </c>
      <c r="O189" s="43">
        <v>8687.699999999997</v>
      </c>
      <c r="P189" s="44">
        <v>0.13316809373591704</v>
      </c>
    </row>
    <row r="190" ht="14.25" customHeight="1">
      <c r="C190" s="41" t="s">
        <v>206</v>
      </c>
      <c r="D190" s="41" t="s">
        <v>20</v>
      </c>
      <c r="E190" s="41" t="s">
        <v>21</v>
      </c>
      <c r="F190" s="41" t="s">
        <v>30</v>
      </c>
      <c r="G190" s="41" t="s">
        <v>17</v>
      </c>
      <c r="H190" s="41" t="s">
        <v>18</v>
      </c>
      <c r="I190" s="42">
        <v>45100.0</v>
      </c>
      <c r="J190" s="41">
        <v>13.0</v>
      </c>
      <c r="K190" s="43">
        <v>451.18</v>
      </c>
      <c r="L190" s="43">
        <v>358.53</v>
      </c>
      <c r="M190" s="43">
        <v>5865.34</v>
      </c>
      <c r="N190" s="43">
        <v>4660.889999999999</v>
      </c>
      <c r="O190" s="43">
        <v>1204.4500000000007</v>
      </c>
      <c r="P190" s="44">
        <v>0.20535041446872657</v>
      </c>
    </row>
    <row r="191" ht="14.25" customHeight="1">
      <c r="C191" s="41" t="s">
        <v>207</v>
      </c>
      <c r="D191" s="41" t="s">
        <v>20</v>
      </c>
      <c r="E191" s="41" t="s">
        <v>54</v>
      </c>
      <c r="F191" s="41" t="s">
        <v>16</v>
      </c>
      <c r="G191" s="41" t="s">
        <v>17</v>
      </c>
      <c r="H191" s="41" t="s">
        <v>18</v>
      </c>
      <c r="I191" s="42">
        <v>45101.0</v>
      </c>
      <c r="J191" s="41">
        <v>474.0</v>
      </c>
      <c r="K191" s="43">
        <v>439.56</v>
      </c>
      <c r="L191" s="43">
        <v>130.24</v>
      </c>
      <c r="M191" s="43">
        <v>208351.44</v>
      </c>
      <c r="N191" s="43">
        <v>61733.76</v>
      </c>
      <c r="O191" s="43">
        <v>146617.68</v>
      </c>
      <c r="P191" s="44">
        <v>0.7037037037037036</v>
      </c>
    </row>
    <row r="192" ht="14.25" customHeight="1">
      <c r="C192" s="41" t="s">
        <v>208</v>
      </c>
      <c r="D192" s="41" t="s">
        <v>52</v>
      </c>
      <c r="E192" s="41" t="s">
        <v>54</v>
      </c>
      <c r="F192" s="41" t="s">
        <v>30</v>
      </c>
      <c r="G192" s="41" t="s">
        <v>27</v>
      </c>
      <c r="H192" s="41" t="s">
        <v>31</v>
      </c>
      <c r="I192" s="42">
        <v>45102.0</v>
      </c>
      <c r="J192" s="41">
        <v>108.0</v>
      </c>
      <c r="K192" s="43">
        <v>162.01</v>
      </c>
      <c r="L192" s="43">
        <v>51.84</v>
      </c>
      <c r="M192" s="43">
        <v>17497.079999999998</v>
      </c>
      <c r="N192" s="43">
        <v>5598.72</v>
      </c>
      <c r="O192" s="43">
        <v>11898.359999999997</v>
      </c>
      <c r="P192" s="44">
        <v>0.6800197518671686</v>
      </c>
    </row>
    <row r="193" ht="14.25" customHeight="1">
      <c r="C193" s="41" t="s">
        <v>209</v>
      </c>
      <c r="D193" s="41" t="s">
        <v>14</v>
      </c>
      <c r="E193" s="41" t="s">
        <v>21</v>
      </c>
      <c r="F193" s="41" t="s">
        <v>16</v>
      </c>
      <c r="G193" s="41" t="s">
        <v>17</v>
      </c>
      <c r="H193" s="41" t="s">
        <v>23</v>
      </c>
      <c r="I193" s="42">
        <v>45103.0</v>
      </c>
      <c r="J193" s="41">
        <v>406.0</v>
      </c>
      <c r="K193" s="43">
        <v>435.11</v>
      </c>
      <c r="L193" s="43">
        <v>190.79</v>
      </c>
      <c r="M193" s="43">
        <v>176654.66</v>
      </c>
      <c r="N193" s="43">
        <v>77460.73999999999</v>
      </c>
      <c r="O193" s="43">
        <v>99193.92000000001</v>
      </c>
      <c r="P193" s="44">
        <v>0.5615131805750271</v>
      </c>
    </row>
    <row r="194" ht="14.25" customHeight="1">
      <c r="C194" s="41" t="s">
        <v>210</v>
      </c>
      <c r="D194" s="41" t="s">
        <v>14</v>
      </c>
      <c r="E194" s="41" t="s">
        <v>54</v>
      </c>
      <c r="F194" s="41" t="s">
        <v>26</v>
      </c>
      <c r="G194" s="41" t="s">
        <v>17</v>
      </c>
      <c r="H194" s="41" t="s">
        <v>31</v>
      </c>
      <c r="I194" s="42">
        <v>45104.0</v>
      </c>
      <c r="J194" s="41">
        <v>498.0</v>
      </c>
      <c r="K194" s="43">
        <v>190.96</v>
      </c>
      <c r="L194" s="43">
        <v>47.35</v>
      </c>
      <c r="M194" s="43">
        <v>95098.08</v>
      </c>
      <c r="N194" s="43">
        <v>23580.3</v>
      </c>
      <c r="O194" s="43">
        <v>71517.78</v>
      </c>
      <c r="P194" s="44">
        <v>0.7520423125261835</v>
      </c>
    </row>
    <row r="195" ht="14.25" customHeight="1">
      <c r="C195" s="41" t="s">
        <v>211</v>
      </c>
      <c r="D195" s="41" t="s">
        <v>25</v>
      </c>
      <c r="E195" s="41" t="s">
        <v>54</v>
      </c>
      <c r="F195" s="41" t="s">
        <v>26</v>
      </c>
      <c r="G195" s="41" t="s">
        <v>27</v>
      </c>
      <c r="H195" s="41" t="s">
        <v>23</v>
      </c>
      <c r="I195" s="42">
        <v>45105.0</v>
      </c>
      <c r="J195" s="41">
        <v>48.0</v>
      </c>
      <c r="K195" s="43">
        <v>151.95</v>
      </c>
      <c r="L195" s="43">
        <v>195.43</v>
      </c>
      <c r="M195" s="43">
        <v>7293.599999999999</v>
      </c>
      <c r="N195" s="43">
        <v>9380.64</v>
      </c>
      <c r="O195" s="43">
        <v>-2087.04</v>
      </c>
      <c r="P195" s="44">
        <v>-0.2861467588022376</v>
      </c>
    </row>
    <row r="196" ht="14.25" customHeight="1">
      <c r="C196" s="41" t="s">
        <v>212</v>
      </c>
      <c r="D196" s="41" t="s">
        <v>14</v>
      </c>
      <c r="E196" s="41" t="s">
        <v>54</v>
      </c>
      <c r="F196" s="41" t="s">
        <v>26</v>
      </c>
      <c r="G196" s="41" t="s">
        <v>17</v>
      </c>
      <c r="H196" s="41" t="s">
        <v>18</v>
      </c>
      <c r="I196" s="42">
        <v>45106.0</v>
      </c>
      <c r="J196" s="41">
        <v>280.0</v>
      </c>
      <c r="K196" s="43">
        <v>326.29</v>
      </c>
      <c r="L196" s="43">
        <v>368.28</v>
      </c>
      <c r="M196" s="43">
        <v>91361.20000000001</v>
      </c>
      <c r="N196" s="43">
        <v>103118.4</v>
      </c>
      <c r="O196" s="43">
        <v>-11757.199999999983</v>
      </c>
      <c r="P196" s="44">
        <v>-0.12868920285635457</v>
      </c>
    </row>
    <row r="197" ht="14.25" customHeight="1">
      <c r="C197" s="41" t="s">
        <v>213</v>
      </c>
      <c r="D197" s="41" t="s">
        <v>25</v>
      </c>
      <c r="E197" s="41" t="s">
        <v>34</v>
      </c>
      <c r="F197" s="41" t="s">
        <v>26</v>
      </c>
      <c r="G197" s="41" t="s">
        <v>17</v>
      </c>
      <c r="H197" s="41" t="s">
        <v>23</v>
      </c>
      <c r="I197" s="42">
        <v>45107.0</v>
      </c>
      <c r="J197" s="41">
        <v>384.0</v>
      </c>
      <c r="K197" s="43">
        <v>167.55</v>
      </c>
      <c r="L197" s="43">
        <v>209.27</v>
      </c>
      <c r="M197" s="43">
        <v>64339.200000000004</v>
      </c>
      <c r="N197" s="43">
        <v>80359.68000000001</v>
      </c>
      <c r="O197" s="43">
        <v>-16020.480000000003</v>
      </c>
      <c r="P197" s="44">
        <v>-0.24900029841838262</v>
      </c>
    </row>
    <row r="198" ht="14.25" customHeight="1">
      <c r="C198" s="41" t="s">
        <v>214</v>
      </c>
      <c r="D198" s="41" t="s">
        <v>14</v>
      </c>
      <c r="E198" s="41" t="s">
        <v>15</v>
      </c>
      <c r="F198" s="41" t="s">
        <v>46</v>
      </c>
      <c r="G198" s="41" t="s">
        <v>17</v>
      </c>
      <c r="H198" s="41" t="s">
        <v>31</v>
      </c>
      <c r="I198" s="42">
        <v>45108.0</v>
      </c>
      <c r="J198" s="41">
        <v>294.0</v>
      </c>
      <c r="K198" s="43">
        <v>316.95</v>
      </c>
      <c r="L198" s="43">
        <v>247.37</v>
      </c>
      <c r="M198" s="43">
        <v>93183.3</v>
      </c>
      <c r="N198" s="43">
        <v>72726.78</v>
      </c>
      <c r="O198" s="43">
        <v>20456.520000000004</v>
      </c>
      <c r="P198" s="44">
        <v>0.21952989430509548</v>
      </c>
    </row>
    <row r="199" ht="14.25" customHeight="1">
      <c r="C199" s="41" t="s">
        <v>215</v>
      </c>
      <c r="D199" s="41" t="s">
        <v>52</v>
      </c>
      <c r="E199" s="41" t="s">
        <v>29</v>
      </c>
      <c r="F199" s="41" t="s">
        <v>26</v>
      </c>
      <c r="G199" s="41" t="s">
        <v>17</v>
      </c>
      <c r="H199" s="41" t="s">
        <v>18</v>
      </c>
      <c r="I199" s="42">
        <v>45109.0</v>
      </c>
      <c r="J199" s="41">
        <v>166.0</v>
      </c>
      <c r="K199" s="43">
        <v>306.87</v>
      </c>
      <c r="L199" s="43">
        <v>64.34</v>
      </c>
      <c r="M199" s="43">
        <v>50940.42</v>
      </c>
      <c r="N199" s="43">
        <v>10680.44</v>
      </c>
      <c r="O199" s="43">
        <v>40259.979999999996</v>
      </c>
      <c r="P199" s="44">
        <v>0.7903346694039821</v>
      </c>
    </row>
    <row r="200" ht="14.25" customHeight="1">
      <c r="C200" s="41" t="s">
        <v>216</v>
      </c>
      <c r="D200" s="41" t="s">
        <v>14</v>
      </c>
      <c r="E200" s="41" t="s">
        <v>34</v>
      </c>
      <c r="F200" s="41" t="s">
        <v>22</v>
      </c>
      <c r="G200" s="41" t="s">
        <v>17</v>
      </c>
      <c r="H200" s="41" t="s">
        <v>31</v>
      </c>
      <c r="I200" s="42">
        <v>45110.0</v>
      </c>
      <c r="J200" s="41">
        <v>84.0</v>
      </c>
      <c r="K200" s="43">
        <v>283.9</v>
      </c>
      <c r="L200" s="43">
        <v>19.41</v>
      </c>
      <c r="M200" s="43">
        <v>23847.6</v>
      </c>
      <c r="N200" s="43">
        <v>1630.44</v>
      </c>
      <c r="O200" s="43">
        <v>22217.16</v>
      </c>
      <c r="P200" s="44">
        <v>0.9316308559351885</v>
      </c>
    </row>
    <row r="201" ht="14.25" customHeight="1">
      <c r="C201" s="41" t="s">
        <v>217</v>
      </c>
      <c r="D201" s="41" t="s">
        <v>25</v>
      </c>
      <c r="E201" s="41" t="s">
        <v>54</v>
      </c>
      <c r="F201" s="41" t="s">
        <v>22</v>
      </c>
      <c r="G201" s="41" t="s">
        <v>17</v>
      </c>
      <c r="H201" s="41" t="s">
        <v>31</v>
      </c>
      <c r="I201" s="42">
        <v>45111.0</v>
      </c>
      <c r="J201" s="41">
        <v>381.0</v>
      </c>
      <c r="K201" s="43">
        <v>193.31</v>
      </c>
      <c r="L201" s="43">
        <v>46.1</v>
      </c>
      <c r="M201" s="43">
        <v>73651.11</v>
      </c>
      <c r="N201" s="43">
        <v>17564.100000000002</v>
      </c>
      <c r="O201" s="43">
        <v>56087.009999999995</v>
      </c>
      <c r="P201" s="44">
        <v>0.7615229424240856</v>
      </c>
    </row>
    <row r="202" ht="14.25" customHeight="1">
      <c r="C202" s="41" t="s">
        <v>218</v>
      </c>
      <c r="D202" s="41" t="s">
        <v>25</v>
      </c>
      <c r="E202" s="41" t="s">
        <v>21</v>
      </c>
      <c r="F202" s="41" t="s">
        <v>46</v>
      </c>
      <c r="G202" s="41" t="s">
        <v>27</v>
      </c>
      <c r="H202" s="41" t="s">
        <v>23</v>
      </c>
      <c r="I202" s="42">
        <v>45112.0</v>
      </c>
      <c r="J202" s="41">
        <v>297.0</v>
      </c>
      <c r="K202" s="43">
        <v>276.51</v>
      </c>
      <c r="L202" s="43">
        <v>240.22</v>
      </c>
      <c r="M202" s="43">
        <v>82123.47</v>
      </c>
      <c r="N202" s="43">
        <v>71345.34</v>
      </c>
      <c r="O202" s="43">
        <v>10778.130000000005</v>
      </c>
      <c r="P202" s="44">
        <v>0.131242993020144</v>
      </c>
    </row>
    <row r="203" ht="14.25" customHeight="1">
      <c r="C203" s="41" t="s">
        <v>219</v>
      </c>
      <c r="D203" s="41" t="s">
        <v>52</v>
      </c>
      <c r="E203" s="41" t="s">
        <v>54</v>
      </c>
      <c r="F203" s="41" t="s">
        <v>26</v>
      </c>
      <c r="G203" s="41" t="s">
        <v>27</v>
      </c>
      <c r="H203" s="41" t="s">
        <v>31</v>
      </c>
      <c r="I203" s="42">
        <v>45113.0</v>
      </c>
      <c r="J203" s="41">
        <v>139.0</v>
      </c>
      <c r="K203" s="43">
        <v>300.26</v>
      </c>
      <c r="L203" s="43">
        <v>39.81</v>
      </c>
      <c r="M203" s="43">
        <v>41736.14</v>
      </c>
      <c r="N203" s="43">
        <v>5533.59</v>
      </c>
      <c r="O203" s="43">
        <v>36202.55</v>
      </c>
      <c r="P203" s="44">
        <v>0.8674149070805303</v>
      </c>
    </row>
    <row r="204" ht="14.25" customHeight="1">
      <c r="C204" s="41" t="s">
        <v>220</v>
      </c>
      <c r="D204" s="41" t="s">
        <v>14</v>
      </c>
      <c r="E204" s="41" t="s">
        <v>15</v>
      </c>
      <c r="F204" s="41" t="s">
        <v>26</v>
      </c>
      <c r="G204" s="41" t="s">
        <v>17</v>
      </c>
      <c r="H204" s="41" t="s">
        <v>23</v>
      </c>
      <c r="I204" s="42">
        <v>45114.0</v>
      </c>
      <c r="J204" s="41">
        <v>184.0</v>
      </c>
      <c r="K204" s="43">
        <v>275.12</v>
      </c>
      <c r="L204" s="43">
        <v>151.65</v>
      </c>
      <c r="M204" s="43">
        <v>50622.08</v>
      </c>
      <c r="N204" s="43">
        <v>27903.600000000002</v>
      </c>
      <c r="O204" s="43">
        <v>22718.48</v>
      </c>
      <c r="P204" s="44">
        <v>0.44878598429776095</v>
      </c>
    </row>
    <row r="205" ht="14.25" customHeight="1">
      <c r="C205" s="41" t="s">
        <v>221</v>
      </c>
      <c r="D205" s="41" t="s">
        <v>14</v>
      </c>
      <c r="E205" s="41" t="s">
        <v>54</v>
      </c>
      <c r="F205" s="41" t="s">
        <v>26</v>
      </c>
      <c r="G205" s="41" t="s">
        <v>17</v>
      </c>
      <c r="H205" s="41" t="s">
        <v>18</v>
      </c>
      <c r="I205" s="42">
        <v>45115.0</v>
      </c>
      <c r="J205" s="41">
        <v>471.0</v>
      </c>
      <c r="K205" s="43">
        <v>224.99</v>
      </c>
      <c r="L205" s="43">
        <v>220.94</v>
      </c>
      <c r="M205" s="43">
        <v>105970.29000000001</v>
      </c>
      <c r="N205" s="43">
        <v>104062.74</v>
      </c>
      <c r="O205" s="43">
        <v>1907.550000000003</v>
      </c>
      <c r="P205" s="44">
        <v>0.018000800035557162</v>
      </c>
    </row>
    <row r="206" ht="14.25" customHeight="1">
      <c r="C206" s="41" t="s">
        <v>222</v>
      </c>
      <c r="D206" s="41" t="s">
        <v>52</v>
      </c>
      <c r="E206" s="41" t="s">
        <v>21</v>
      </c>
      <c r="F206" s="41" t="s">
        <v>16</v>
      </c>
      <c r="G206" s="41" t="s">
        <v>27</v>
      </c>
      <c r="H206" s="41" t="s">
        <v>23</v>
      </c>
      <c r="I206" s="42">
        <v>45116.0</v>
      </c>
      <c r="J206" s="41">
        <v>93.0</v>
      </c>
      <c r="K206" s="43">
        <v>12.26</v>
      </c>
      <c r="L206" s="43">
        <v>156.68</v>
      </c>
      <c r="M206" s="43">
        <v>1140.18</v>
      </c>
      <c r="N206" s="43">
        <v>14571.24</v>
      </c>
      <c r="O206" s="43">
        <v>-13431.06</v>
      </c>
      <c r="P206" s="44">
        <v>-11.779771615008155</v>
      </c>
    </row>
    <row r="207" ht="14.25" customHeight="1">
      <c r="C207" s="41" t="s">
        <v>223</v>
      </c>
      <c r="D207" s="41" t="s">
        <v>14</v>
      </c>
      <c r="E207" s="41" t="s">
        <v>15</v>
      </c>
      <c r="F207" s="41" t="s">
        <v>30</v>
      </c>
      <c r="G207" s="41" t="s">
        <v>17</v>
      </c>
      <c r="H207" s="41" t="s">
        <v>18</v>
      </c>
      <c r="I207" s="42">
        <v>45117.0</v>
      </c>
      <c r="J207" s="41">
        <v>31.0</v>
      </c>
      <c r="K207" s="43">
        <v>295.6</v>
      </c>
      <c r="L207" s="43">
        <v>67.15</v>
      </c>
      <c r="M207" s="43">
        <v>9163.6</v>
      </c>
      <c r="N207" s="43">
        <v>2081.65</v>
      </c>
      <c r="O207" s="43">
        <v>7081.950000000001</v>
      </c>
      <c r="P207" s="44">
        <v>0.7728349120433018</v>
      </c>
    </row>
    <row r="208" ht="14.25" customHeight="1">
      <c r="C208" s="41" t="s">
        <v>224</v>
      </c>
      <c r="D208" s="41" t="s">
        <v>14</v>
      </c>
      <c r="E208" s="41" t="s">
        <v>54</v>
      </c>
      <c r="F208" s="41" t="s">
        <v>16</v>
      </c>
      <c r="G208" s="41" t="s">
        <v>17</v>
      </c>
      <c r="H208" s="41" t="s">
        <v>23</v>
      </c>
      <c r="I208" s="42">
        <v>45118.0</v>
      </c>
      <c r="J208" s="41">
        <v>468.0</v>
      </c>
      <c r="K208" s="43">
        <v>88.38</v>
      </c>
      <c r="L208" s="43">
        <v>110.97</v>
      </c>
      <c r="M208" s="43">
        <v>41361.84</v>
      </c>
      <c r="N208" s="43">
        <v>51933.96</v>
      </c>
      <c r="O208" s="43">
        <v>-10572.120000000003</v>
      </c>
      <c r="P208" s="44">
        <v>-0.2556008146639512</v>
      </c>
    </row>
    <row r="209" ht="14.25" customHeight="1">
      <c r="C209" s="41" t="s">
        <v>225</v>
      </c>
      <c r="D209" s="41" t="s">
        <v>25</v>
      </c>
      <c r="E209" s="41" t="s">
        <v>15</v>
      </c>
      <c r="F209" s="41" t="s">
        <v>30</v>
      </c>
      <c r="G209" s="41" t="s">
        <v>17</v>
      </c>
      <c r="H209" s="41" t="s">
        <v>31</v>
      </c>
      <c r="I209" s="42">
        <v>45119.0</v>
      </c>
      <c r="J209" s="41">
        <v>36.0</v>
      </c>
      <c r="K209" s="43">
        <v>323.08</v>
      </c>
      <c r="L209" s="43">
        <v>371.47</v>
      </c>
      <c r="M209" s="43">
        <v>11630.88</v>
      </c>
      <c r="N209" s="43">
        <v>13372.920000000002</v>
      </c>
      <c r="O209" s="43">
        <v>-1742.0400000000027</v>
      </c>
      <c r="P209" s="44">
        <v>-0.14977714497957187</v>
      </c>
    </row>
    <row r="210" ht="14.25" customHeight="1">
      <c r="C210" s="41" t="s">
        <v>226</v>
      </c>
      <c r="D210" s="41" t="s">
        <v>14</v>
      </c>
      <c r="E210" s="41" t="s">
        <v>29</v>
      </c>
      <c r="F210" s="41" t="s">
        <v>26</v>
      </c>
      <c r="G210" s="41" t="s">
        <v>27</v>
      </c>
      <c r="H210" s="41" t="s">
        <v>23</v>
      </c>
      <c r="I210" s="42">
        <v>45120.0</v>
      </c>
      <c r="J210" s="41">
        <v>204.0</v>
      </c>
      <c r="K210" s="43">
        <v>380.88</v>
      </c>
      <c r="L210" s="43">
        <v>271.04</v>
      </c>
      <c r="M210" s="43">
        <v>77699.52</v>
      </c>
      <c r="N210" s="43">
        <v>55292.16</v>
      </c>
      <c r="O210" s="43">
        <v>22407.36</v>
      </c>
      <c r="P210" s="44">
        <v>0.28838479311069104</v>
      </c>
    </row>
    <row r="211" ht="14.25" customHeight="1">
      <c r="C211" s="41" t="s">
        <v>227</v>
      </c>
      <c r="D211" s="41" t="s">
        <v>14</v>
      </c>
      <c r="E211" s="41" t="s">
        <v>29</v>
      </c>
      <c r="F211" s="41" t="s">
        <v>26</v>
      </c>
      <c r="G211" s="41" t="s">
        <v>17</v>
      </c>
      <c r="H211" s="41" t="s">
        <v>23</v>
      </c>
      <c r="I211" s="42">
        <v>45121.0</v>
      </c>
      <c r="J211" s="41">
        <v>346.0</v>
      </c>
      <c r="K211" s="43">
        <v>252.72</v>
      </c>
      <c r="L211" s="43">
        <v>199.43</v>
      </c>
      <c r="M211" s="43">
        <v>87441.12</v>
      </c>
      <c r="N211" s="43">
        <v>69002.78</v>
      </c>
      <c r="O211" s="43">
        <v>18438.339999999997</v>
      </c>
      <c r="P211" s="44">
        <v>0.21086578031022474</v>
      </c>
    </row>
    <row r="212" ht="14.25" customHeight="1">
      <c r="C212" s="41" t="s">
        <v>228</v>
      </c>
      <c r="D212" s="41" t="s">
        <v>52</v>
      </c>
      <c r="E212" s="41" t="s">
        <v>54</v>
      </c>
      <c r="F212" s="41" t="s">
        <v>16</v>
      </c>
      <c r="G212" s="41" t="s">
        <v>27</v>
      </c>
      <c r="H212" s="41" t="s">
        <v>18</v>
      </c>
      <c r="I212" s="42">
        <v>45122.0</v>
      </c>
      <c r="J212" s="41">
        <v>391.0</v>
      </c>
      <c r="K212" s="43">
        <v>273.47</v>
      </c>
      <c r="L212" s="43">
        <v>7.06</v>
      </c>
      <c r="M212" s="43">
        <v>106926.77</v>
      </c>
      <c r="N212" s="43">
        <v>2760.46</v>
      </c>
      <c r="O212" s="43">
        <v>104166.31</v>
      </c>
      <c r="P212" s="44">
        <v>0.9741836398873733</v>
      </c>
    </row>
    <row r="213" ht="14.25" customHeight="1">
      <c r="C213" s="41" t="s">
        <v>229</v>
      </c>
      <c r="D213" s="41" t="s">
        <v>52</v>
      </c>
      <c r="E213" s="41" t="s">
        <v>15</v>
      </c>
      <c r="F213" s="41" t="s">
        <v>16</v>
      </c>
      <c r="G213" s="41" t="s">
        <v>17</v>
      </c>
      <c r="H213" s="41" t="s">
        <v>31</v>
      </c>
      <c r="I213" s="42">
        <v>45123.0</v>
      </c>
      <c r="J213" s="41">
        <v>245.0</v>
      </c>
      <c r="K213" s="43">
        <v>475.98</v>
      </c>
      <c r="L213" s="43">
        <v>396.98</v>
      </c>
      <c r="M213" s="43">
        <v>116615.1</v>
      </c>
      <c r="N213" s="43">
        <v>97260.1</v>
      </c>
      <c r="O213" s="43">
        <v>19355.0</v>
      </c>
      <c r="P213" s="44">
        <v>0.16597336022521955</v>
      </c>
    </row>
    <row r="214" ht="14.25" customHeight="1">
      <c r="C214" s="41" t="s">
        <v>230</v>
      </c>
      <c r="D214" s="41" t="s">
        <v>20</v>
      </c>
      <c r="E214" s="41" t="s">
        <v>21</v>
      </c>
      <c r="F214" s="41" t="s">
        <v>30</v>
      </c>
      <c r="G214" s="41" t="s">
        <v>27</v>
      </c>
      <c r="H214" s="41" t="s">
        <v>23</v>
      </c>
      <c r="I214" s="42">
        <v>45124.0</v>
      </c>
      <c r="J214" s="41">
        <v>449.0</v>
      </c>
      <c r="K214" s="43">
        <v>424.35</v>
      </c>
      <c r="L214" s="43">
        <v>269.24</v>
      </c>
      <c r="M214" s="43">
        <v>190533.15000000002</v>
      </c>
      <c r="N214" s="43">
        <v>120888.76000000001</v>
      </c>
      <c r="O214" s="43">
        <v>69644.39000000001</v>
      </c>
      <c r="P214" s="44">
        <v>0.36552374219394373</v>
      </c>
    </row>
    <row r="215" ht="14.25" customHeight="1">
      <c r="C215" s="41" t="s">
        <v>231</v>
      </c>
      <c r="D215" s="41" t="s">
        <v>25</v>
      </c>
      <c r="E215" s="41" t="s">
        <v>54</v>
      </c>
      <c r="F215" s="41" t="s">
        <v>22</v>
      </c>
      <c r="G215" s="41" t="s">
        <v>27</v>
      </c>
      <c r="H215" s="41" t="s">
        <v>31</v>
      </c>
      <c r="I215" s="42">
        <v>45125.0</v>
      </c>
      <c r="J215" s="41">
        <v>101.0</v>
      </c>
      <c r="K215" s="43">
        <v>457.55</v>
      </c>
      <c r="L215" s="43">
        <v>128.14</v>
      </c>
      <c r="M215" s="43">
        <v>46212.55</v>
      </c>
      <c r="N215" s="43">
        <v>12942.14</v>
      </c>
      <c r="O215" s="43">
        <v>33270.41</v>
      </c>
      <c r="P215" s="44">
        <v>0.719943175609223</v>
      </c>
    </row>
    <row r="216" ht="14.25" customHeight="1">
      <c r="C216" s="41" t="s">
        <v>232</v>
      </c>
      <c r="D216" s="41" t="s">
        <v>14</v>
      </c>
      <c r="E216" s="41" t="s">
        <v>29</v>
      </c>
      <c r="F216" s="41" t="s">
        <v>30</v>
      </c>
      <c r="G216" s="41" t="s">
        <v>17</v>
      </c>
      <c r="H216" s="41" t="s">
        <v>23</v>
      </c>
      <c r="I216" s="42">
        <v>45126.0</v>
      </c>
      <c r="J216" s="41">
        <v>255.9029411764706</v>
      </c>
      <c r="K216" s="43">
        <v>407.81</v>
      </c>
      <c r="L216" s="43">
        <v>351.95</v>
      </c>
      <c r="M216" s="43">
        <v>104359.77844117647</v>
      </c>
      <c r="N216" s="43">
        <v>90065.04014705883</v>
      </c>
      <c r="O216" s="43">
        <v>14294.738294117647</v>
      </c>
      <c r="P216" s="44">
        <v>0.13697555234055075</v>
      </c>
    </row>
    <row r="217" ht="14.25" customHeight="1">
      <c r="C217" s="41" t="s">
        <v>233</v>
      </c>
      <c r="D217" s="41" t="s">
        <v>14</v>
      </c>
      <c r="E217" s="41" t="s">
        <v>29</v>
      </c>
      <c r="F217" s="41" t="s">
        <v>16</v>
      </c>
      <c r="G217" s="41" t="s">
        <v>27</v>
      </c>
      <c r="H217" s="41" t="s">
        <v>23</v>
      </c>
      <c r="I217" s="42">
        <v>45127.0</v>
      </c>
      <c r="J217" s="41">
        <v>30.0</v>
      </c>
      <c r="K217" s="43">
        <v>58.91</v>
      </c>
      <c r="L217" s="43">
        <v>104.86</v>
      </c>
      <c r="M217" s="43">
        <v>1767.3</v>
      </c>
      <c r="N217" s="43">
        <v>3145.8</v>
      </c>
      <c r="O217" s="43">
        <v>-1378.5000000000002</v>
      </c>
      <c r="P217" s="44">
        <v>-0.7800033950093365</v>
      </c>
    </row>
    <row r="218" ht="14.25" customHeight="1">
      <c r="C218" s="41" t="s">
        <v>234</v>
      </c>
      <c r="D218" s="41" t="s">
        <v>20</v>
      </c>
      <c r="E218" s="41" t="s">
        <v>54</v>
      </c>
      <c r="F218" s="41" t="s">
        <v>16</v>
      </c>
      <c r="G218" s="41" t="s">
        <v>17</v>
      </c>
      <c r="H218" s="41" t="s">
        <v>31</v>
      </c>
      <c r="I218" s="42">
        <v>45128.0</v>
      </c>
      <c r="J218" s="41">
        <v>312.0</v>
      </c>
      <c r="K218" s="43">
        <v>78.75</v>
      </c>
      <c r="L218" s="43">
        <v>218.52</v>
      </c>
      <c r="M218" s="43">
        <v>24570.0</v>
      </c>
      <c r="N218" s="43">
        <v>68178.24</v>
      </c>
      <c r="O218" s="43">
        <v>-43608.240000000005</v>
      </c>
      <c r="P218" s="44">
        <v>-1.7748571428571431</v>
      </c>
    </row>
    <row r="219" ht="14.25" customHeight="1">
      <c r="C219" s="41" t="s">
        <v>235</v>
      </c>
      <c r="D219" s="41" t="s">
        <v>14</v>
      </c>
      <c r="E219" s="41" t="s">
        <v>15</v>
      </c>
      <c r="F219" s="41" t="s">
        <v>46</v>
      </c>
      <c r="G219" s="41" t="s">
        <v>27</v>
      </c>
      <c r="H219" s="41" t="s">
        <v>23</v>
      </c>
      <c r="I219" s="42">
        <v>45129.0</v>
      </c>
      <c r="J219" s="41">
        <v>473.0</v>
      </c>
      <c r="K219" s="43">
        <v>265.68</v>
      </c>
      <c r="L219" s="43">
        <v>255.16</v>
      </c>
      <c r="M219" s="43">
        <v>125666.64</v>
      </c>
      <c r="N219" s="43">
        <v>120690.68</v>
      </c>
      <c r="O219" s="43">
        <v>4975.960000000006</v>
      </c>
      <c r="P219" s="44">
        <v>0.039596507076181925</v>
      </c>
    </row>
    <row r="220" ht="14.25" customHeight="1">
      <c r="C220" s="41" t="s">
        <v>236</v>
      </c>
      <c r="D220" s="41" t="s">
        <v>25</v>
      </c>
      <c r="E220" s="41" t="s">
        <v>29</v>
      </c>
      <c r="F220" s="41" t="s">
        <v>16</v>
      </c>
      <c r="G220" s="41" t="s">
        <v>17</v>
      </c>
      <c r="H220" s="41" t="s">
        <v>31</v>
      </c>
      <c r="I220" s="42">
        <v>45130.0</v>
      </c>
      <c r="J220" s="41">
        <v>366.0</v>
      </c>
      <c r="K220" s="43">
        <v>126.8</v>
      </c>
      <c r="L220" s="43">
        <v>89.98</v>
      </c>
      <c r="M220" s="43">
        <v>46408.799999999996</v>
      </c>
      <c r="N220" s="43">
        <v>32932.68</v>
      </c>
      <c r="O220" s="43">
        <v>13476.119999999995</v>
      </c>
      <c r="P220" s="44">
        <v>0.290378548895899</v>
      </c>
    </row>
    <row r="221" ht="14.25" customHeight="1">
      <c r="C221" s="41" t="s">
        <v>237</v>
      </c>
      <c r="D221" s="41" t="s">
        <v>20</v>
      </c>
      <c r="E221" s="41" t="s">
        <v>15</v>
      </c>
      <c r="F221" s="41" t="s">
        <v>46</v>
      </c>
      <c r="G221" s="41" t="s">
        <v>17</v>
      </c>
      <c r="H221" s="41" t="s">
        <v>23</v>
      </c>
      <c r="I221" s="42">
        <v>45131.0</v>
      </c>
      <c r="J221" s="41">
        <v>452.0</v>
      </c>
      <c r="K221" s="43">
        <v>240.96</v>
      </c>
      <c r="L221" s="43">
        <v>391.4</v>
      </c>
      <c r="M221" s="43">
        <v>108913.92</v>
      </c>
      <c r="N221" s="43">
        <v>176912.8</v>
      </c>
      <c r="O221" s="43">
        <v>-67998.87999999999</v>
      </c>
      <c r="P221" s="44">
        <v>-0.6243359893758299</v>
      </c>
    </row>
    <row r="222" ht="14.25" customHeight="1">
      <c r="C222" s="41" t="s">
        <v>238</v>
      </c>
      <c r="D222" s="41" t="s">
        <v>25</v>
      </c>
      <c r="E222" s="41" t="s">
        <v>29</v>
      </c>
      <c r="F222" s="41" t="s">
        <v>22</v>
      </c>
      <c r="G222" s="41" t="s">
        <v>27</v>
      </c>
      <c r="H222" s="41" t="s">
        <v>18</v>
      </c>
      <c r="I222" s="42">
        <v>45132.0</v>
      </c>
      <c r="J222" s="41">
        <v>93.0</v>
      </c>
      <c r="K222" s="43">
        <v>200.21</v>
      </c>
      <c r="L222" s="43">
        <v>299.78</v>
      </c>
      <c r="M222" s="43">
        <v>18619.530000000002</v>
      </c>
      <c r="N222" s="43">
        <v>27879.539999999997</v>
      </c>
      <c r="O222" s="43">
        <v>-9260.009999999995</v>
      </c>
      <c r="P222" s="44">
        <v>-0.49732780580390556</v>
      </c>
    </row>
    <row r="223" ht="14.25" customHeight="1">
      <c r="C223" s="41" t="s">
        <v>239</v>
      </c>
      <c r="D223" s="41" t="s">
        <v>20</v>
      </c>
      <c r="E223" s="41" t="s">
        <v>29</v>
      </c>
      <c r="F223" s="41" t="s">
        <v>30</v>
      </c>
      <c r="G223" s="41" t="s">
        <v>17</v>
      </c>
      <c r="H223" s="41" t="s">
        <v>31</v>
      </c>
      <c r="I223" s="42">
        <v>45133.0</v>
      </c>
      <c r="J223" s="41">
        <v>271.0</v>
      </c>
      <c r="K223" s="43">
        <v>276.96</v>
      </c>
      <c r="L223" s="43">
        <v>224.01</v>
      </c>
      <c r="M223" s="43">
        <v>75056.15999999999</v>
      </c>
      <c r="N223" s="43">
        <v>60706.71</v>
      </c>
      <c r="O223" s="43">
        <v>14349.44999999999</v>
      </c>
      <c r="P223" s="44">
        <v>0.19118284228769486</v>
      </c>
    </row>
    <row r="224" ht="14.25" customHeight="1">
      <c r="C224" s="41" t="s">
        <v>240</v>
      </c>
      <c r="D224" s="41" t="s">
        <v>20</v>
      </c>
      <c r="E224" s="41" t="s">
        <v>34</v>
      </c>
      <c r="F224" s="41" t="s">
        <v>30</v>
      </c>
      <c r="G224" s="41" t="s">
        <v>17</v>
      </c>
      <c r="H224" s="41" t="s">
        <v>23</v>
      </c>
      <c r="I224" s="42">
        <v>45134.0</v>
      </c>
      <c r="J224" s="41">
        <v>156.0</v>
      </c>
      <c r="K224" s="43">
        <v>374.7</v>
      </c>
      <c r="L224" s="43">
        <v>73.88</v>
      </c>
      <c r="M224" s="43">
        <v>58453.2</v>
      </c>
      <c r="N224" s="43">
        <v>11525.279999999999</v>
      </c>
      <c r="O224" s="43">
        <v>46927.92</v>
      </c>
      <c r="P224" s="44">
        <v>0.8028289298105151</v>
      </c>
    </row>
    <row r="225" ht="14.25" customHeight="1">
      <c r="C225" s="41" t="s">
        <v>241</v>
      </c>
      <c r="D225" s="41" t="s">
        <v>52</v>
      </c>
      <c r="E225" s="41" t="s">
        <v>29</v>
      </c>
      <c r="F225" s="41" t="s">
        <v>46</v>
      </c>
      <c r="G225" s="41" t="s">
        <v>27</v>
      </c>
      <c r="H225" s="41" t="s">
        <v>23</v>
      </c>
      <c r="I225" s="42">
        <v>45135.0</v>
      </c>
      <c r="J225" s="41">
        <v>450.0</v>
      </c>
      <c r="K225" s="43">
        <v>359.17</v>
      </c>
      <c r="L225" s="43">
        <v>23.44</v>
      </c>
      <c r="M225" s="43">
        <v>161626.5</v>
      </c>
      <c r="N225" s="43">
        <v>10548.0</v>
      </c>
      <c r="O225" s="43">
        <v>151078.5</v>
      </c>
      <c r="P225" s="44">
        <v>0.9347384247013949</v>
      </c>
    </row>
    <row r="226" ht="14.25" customHeight="1">
      <c r="C226" s="41" t="s">
        <v>242</v>
      </c>
      <c r="D226" s="41" t="s">
        <v>25</v>
      </c>
      <c r="E226" s="41" t="s">
        <v>21</v>
      </c>
      <c r="F226" s="41" t="s">
        <v>30</v>
      </c>
      <c r="G226" s="41" t="s">
        <v>17</v>
      </c>
      <c r="H226" s="41" t="s">
        <v>18</v>
      </c>
      <c r="I226" s="42">
        <v>45136.0</v>
      </c>
      <c r="J226" s="41">
        <v>462.0</v>
      </c>
      <c r="K226" s="43">
        <v>263.01</v>
      </c>
      <c r="L226" s="43">
        <v>129.38</v>
      </c>
      <c r="M226" s="43">
        <v>121510.62</v>
      </c>
      <c r="N226" s="43">
        <v>59773.56</v>
      </c>
      <c r="O226" s="43">
        <v>61737.06</v>
      </c>
      <c r="P226" s="44">
        <v>0.5080795407018744</v>
      </c>
    </row>
    <row r="227" ht="14.25" customHeight="1">
      <c r="C227" s="41" t="s">
        <v>243</v>
      </c>
      <c r="D227" s="41" t="s">
        <v>14</v>
      </c>
      <c r="E227" s="41" t="s">
        <v>54</v>
      </c>
      <c r="F227" s="41" t="s">
        <v>39</v>
      </c>
      <c r="G227" s="41" t="s">
        <v>17</v>
      </c>
      <c r="H227" s="41" t="s">
        <v>31</v>
      </c>
      <c r="I227" s="42">
        <v>45137.0</v>
      </c>
      <c r="J227" s="41">
        <v>396.0</v>
      </c>
      <c r="K227" s="43">
        <v>412.08</v>
      </c>
      <c r="L227" s="43">
        <v>301.77</v>
      </c>
      <c r="M227" s="43">
        <v>163183.68</v>
      </c>
      <c r="N227" s="43">
        <v>119500.92</v>
      </c>
      <c r="O227" s="43">
        <v>43682.759999999995</v>
      </c>
      <c r="P227" s="44">
        <v>0.26769073966220147</v>
      </c>
    </row>
    <row r="228" ht="14.25" customHeight="1">
      <c r="C228" s="41" t="s">
        <v>244</v>
      </c>
      <c r="D228" s="41" t="s">
        <v>14</v>
      </c>
      <c r="E228" s="41" t="s">
        <v>54</v>
      </c>
      <c r="F228" s="41" t="s">
        <v>26</v>
      </c>
      <c r="G228" s="41" t="s">
        <v>27</v>
      </c>
      <c r="H228" s="41" t="s">
        <v>23</v>
      </c>
      <c r="I228" s="42">
        <v>45138.0</v>
      </c>
      <c r="J228" s="41">
        <v>266.0</v>
      </c>
      <c r="K228" s="43">
        <v>218.28</v>
      </c>
      <c r="L228" s="43">
        <v>109.19</v>
      </c>
      <c r="M228" s="43">
        <v>58062.48</v>
      </c>
      <c r="N228" s="43">
        <v>29044.54</v>
      </c>
      <c r="O228" s="43">
        <v>29017.940000000002</v>
      </c>
      <c r="P228" s="44">
        <v>0.499770936411948</v>
      </c>
    </row>
    <row r="229" ht="14.25" customHeight="1">
      <c r="C229" s="41" t="s">
        <v>245</v>
      </c>
      <c r="D229" s="41" t="s">
        <v>25</v>
      </c>
      <c r="E229" s="41" t="s">
        <v>15</v>
      </c>
      <c r="F229" s="41" t="s">
        <v>46</v>
      </c>
      <c r="G229" s="41" t="s">
        <v>27</v>
      </c>
      <c r="H229" s="41" t="s">
        <v>18</v>
      </c>
      <c r="I229" s="42">
        <v>45139.0</v>
      </c>
      <c r="J229" s="41">
        <v>67.0</v>
      </c>
      <c r="K229" s="43">
        <v>448.87</v>
      </c>
      <c r="L229" s="43">
        <v>216.74</v>
      </c>
      <c r="M229" s="43">
        <v>30074.29</v>
      </c>
      <c r="N229" s="43">
        <v>14521.58</v>
      </c>
      <c r="O229" s="43">
        <v>15552.710000000001</v>
      </c>
      <c r="P229" s="44">
        <v>0.5171430480985586</v>
      </c>
    </row>
    <row r="230" ht="14.25" customHeight="1">
      <c r="C230" s="41" t="s">
        <v>246</v>
      </c>
      <c r="D230" s="41" t="s">
        <v>14</v>
      </c>
      <c r="E230" s="41" t="s">
        <v>29</v>
      </c>
      <c r="F230" s="41" t="s">
        <v>30</v>
      </c>
      <c r="G230" s="41" t="s">
        <v>17</v>
      </c>
      <c r="H230" s="41" t="s">
        <v>23</v>
      </c>
      <c r="I230" s="42">
        <v>45140.0</v>
      </c>
      <c r="J230" s="41">
        <v>389.0</v>
      </c>
      <c r="K230" s="43">
        <v>40.28</v>
      </c>
      <c r="L230" s="43">
        <v>291.72</v>
      </c>
      <c r="M230" s="43">
        <v>15668.92</v>
      </c>
      <c r="N230" s="43">
        <v>113479.08000000002</v>
      </c>
      <c r="O230" s="43">
        <v>-97810.16000000002</v>
      </c>
      <c r="P230" s="44">
        <v>-6.242303872889773</v>
      </c>
    </row>
    <row r="231" ht="14.25" customHeight="1">
      <c r="C231" s="41" t="s">
        <v>247</v>
      </c>
      <c r="D231" s="41" t="s">
        <v>14</v>
      </c>
      <c r="E231" s="41" t="s">
        <v>21</v>
      </c>
      <c r="F231" s="41" t="s">
        <v>46</v>
      </c>
      <c r="G231" s="41" t="s">
        <v>17</v>
      </c>
      <c r="H231" s="41" t="s">
        <v>31</v>
      </c>
      <c r="I231" s="42">
        <v>45141.0</v>
      </c>
      <c r="J231" s="41">
        <v>431.0</v>
      </c>
      <c r="K231" s="43">
        <v>477.56</v>
      </c>
      <c r="L231" s="43">
        <v>44.96</v>
      </c>
      <c r="M231" s="43">
        <v>205828.36000000002</v>
      </c>
      <c r="N231" s="43">
        <v>19377.760000000002</v>
      </c>
      <c r="O231" s="43">
        <v>186450.6</v>
      </c>
      <c r="P231" s="44">
        <v>0.9058547617053354</v>
      </c>
    </row>
    <row r="232" ht="14.25" customHeight="1">
      <c r="C232" s="41" t="s">
        <v>248</v>
      </c>
      <c r="D232" s="41" t="s">
        <v>25</v>
      </c>
      <c r="E232" s="41" t="s">
        <v>15</v>
      </c>
      <c r="F232" s="41" t="s">
        <v>46</v>
      </c>
      <c r="G232" s="41" t="s">
        <v>27</v>
      </c>
      <c r="H232" s="41" t="s">
        <v>23</v>
      </c>
      <c r="I232" s="42">
        <v>45142.0</v>
      </c>
      <c r="J232" s="41">
        <v>24.0</v>
      </c>
      <c r="K232" s="43">
        <v>329.07</v>
      </c>
      <c r="L232" s="43">
        <v>274.75</v>
      </c>
      <c r="M232" s="43">
        <v>7897.68</v>
      </c>
      <c r="N232" s="43">
        <v>6594.0</v>
      </c>
      <c r="O232" s="43">
        <v>1303.6800000000003</v>
      </c>
      <c r="P232" s="44">
        <v>0.16507126143373754</v>
      </c>
    </row>
    <row r="233" ht="14.25" customHeight="1">
      <c r="C233" s="41" t="s">
        <v>249</v>
      </c>
      <c r="D233" s="41" t="s">
        <v>20</v>
      </c>
      <c r="E233" s="41" t="s">
        <v>34</v>
      </c>
      <c r="F233" s="41" t="s">
        <v>26</v>
      </c>
      <c r="G233" s="41" t="s">
        <v>27</v>
      </c>
      <c r="H233" s="41" t="s">
        <v>23</v>
      </c>
      <c r="I233" s="42">
        <v>45143.0</v>
      </c>
      <c r="J233" s="41">
        <v>171.0</v>
      </c>
      <c r="K233" s="43">
        <v>193.14</v>
      </c>
      <c r="L233" s="43">
        <v>38.56</v>
      </c>
      <c r="M233" s="43">
        <v>33026.939999999995</v>
      </c>
      <c r="N233" s="43">
        <v>6593.76</v>
      </c>
      <c r="O233" s="43">
        <v>26433.179999999993</v>
      </c>
      <c r="P233" s="44">
        <v>0.8003520762141451</v>
      </c>
    </row>
    <row r="234" ht="14.25" customHeight="1">
      <c r="C234" s="41" t="s">
        <v>250</v>
      </c>
      <c r="D234" s="41" t="s">
        <v>25</v>
      </c>
      <c r="E234" s="41" t="s">
        <v>15</v>
      </c>
      <c r="F234" s="41" t="s">
        <v>16</v>
      </c>
      <c r="G234" s="41" t="s">
        <v>17</v>
      </c>
      <c r="H234" s="41" t="s">
        <v>23</v>
      </c>
      <c r="I234" s="42">
        <v>45144.0</v>
      </c>
      <c r="J234" s="41">
        <v>454.0</v>
      </c>
      <c r="K234" s="43">
        <v>102.59</v>
      </c>
      <c r="L234" s="43">
        <v>386.12</v>
      </c>
      <c r="M234" s="43">
        <v>46575.86</v>
      </c>
      <c r="N234" s="43">
        <v>175298.48</v>
      </c>
      <c r="O234" s="43">
        <v>-128722.62000000001</v>
      </c>
      <c r="P234" s="44">
        <v>-2.763719660785652</v>
      </c>
    </row>
    <row r="235" ht="14.25" customHeight="1">
      <c r="C235" s="41" t="s">
        <v>251</v>
      </c>
      <c r="D235" s="41" t="s">
        <v>20</v>
      </c>
      <c r="E235" s="41" t="s">
        <v>15</v>
      </c>
      <c r="F235" s="41" t="s">
        <v>46</v>
      </c>
      <c r="G235" s="41" t="s">
        <v>27</v>
      </c>
      <c r="H235" s="41" t="s">
        <v>23</v>
      </c>
      <c r="I235" s="42">
        <v>45145.0</v>
      </c>
      <c r="J235" s="41">
        <v>172.0</v>
      </c>
      <c r="K235" s="43">
        <v>242.2</v>
      </c>
      <c r="L235" s="43">
        <v>196.38</v>
      </c>
      <c r="M235" s="43">
        <v>41658.4</v>
      </c>
      <c r="N235" s="43">
        <v>33777.36</v>
      </c>
      <c r="O235" s="43">
        <v>7881.040000000001</v>
      </c>
      <c r="P235" s="44">
        <v>0.18918249380677127</v>
      </c>
    </row>
    <row r="236" ht="14.25" customHeight="1">
      <c r="C236" s="41" t="s">
        <v>252</v>
      </c>
      <c r="D236" s="41" t="s">
        <v>14</v>
      </c>
      <c r="E236" s="41" t="s">
        <v>29</v>
      </c>
      <c r="F236" s="41" t="s">
        <v>30</v>
      </c>
      <c r="G236" s="41" t="s">
        <v>17</v>
      </c>
      <c r="H236" s="41" t="s">
        <v>18</v>
      </c>
      <c r="I236" s="42">
        <v>45146.0</v>
      </c>
      <c r="J236" s="41">
        <v>329.0</v>
      </c>
      <c r="K236" s="43">
        <v>101.31</v>
      </c>
      <c r="L236" s="43">
        <v>61.97</v>
      </c>
      <c r="M236" s="43">
        <v>33330.99</v>
      </c>
      <c r="N236" s="43">
        <v>20388.13</v>
      </c>
      <c r="O236" s="43">
        <v>12942.859999999997</v>
      </c>
      <c r="P236" s="44">
        <v>0.38831309841081824</v>
      </c>
    </row>
    <row r="237" ht="14.25" customHeight="1">
      <c r="C237" s="41" t="s">
        <v>253</v>
      </c>
      <c r="D237" s="41" t="s">
        <v>14</v>
      </c>
      <c r="E237" s="41" t="s">
        <v>34</v>
      </c>
      <c r="F237" s="41" t="s">
        <v>22</v>
      </c>
      <c r="G237" s="41" t="s">
        <v>17</v>
      </c>
      <c r="H237" s="41" t="s">
        <v>18</v>
      </c>
      <c r="I237" s="42">
        <v>45147.0</v>
      </c>
      <c r="J237" s="41">
        <v>290.0</v>
      </c>
      <c r="K237" s="43">
        <v>87.33</v>
      </c>
      <c r="L237" s="43">
        <v>138.27</v>
      </c>
      <c r="M237" s="43">
        <v>25325.7</v>
      </c>
      <c r="N237" s="43">
        <v>40098.3</v>
      </c>
      <c r="O237" s="43">
        <v>-14772.600000000002</v>
      </c>
      <c r="P237" s="44">
        <v>-0.5833047062864996</v>
      </c>
    </row>
    <row r="238" ht="14.25" customHeight="1">
      <c r="C238" s="41" t="s">
        <v>254</v>
      </c>
      <c r="D238" s="41" t="s">
        <v>39</v>
      </c>
      <c r="E238" s="41" t="s">
        <v>15</v>
      </c>
      <c r="F238" s="41" t="s">
        <v>46</v>
      </c>
      <c r="G238" s="41" t="s">
        <v>17</v>
      </c>
      <c r="H238" s="41" t="s">
        <v>31</v>
      </c>
      <c r="I238" s="42">
        <v>45148.0</v>
      </c>
      <c r="J238" s="41">
        <v>289.0</v>
      </c>
      <c r="K238" s="43">
        <v>310.59</v>
      </c>
      <c r="L238" s="43">
        <v>166.54</v>
      </c>
      <c r="M238" s="43">
        <v>89760.51</v>
      </c>
      <c r="N238" s="43">
        <v>48130.06</v>
      </c>
      <c r="O238" s="43">
        <v>41630.45</v>
      </c>
      <c r="P238" s="44">
        <v>0.4637947132876139</v>
      </c>
    </row>
    <row r="239" ht="14.25" customHeight="1">
      <c r="C239" s="41" t="s">
        <v>255</v>
      </c>
      <c r="D239" s="41" t="s">
        <v>52</v>
      </c>
      <c r="E239" s="41" t="s">
        <v>21</v>
      </c>
      <c r="F239" s="41" t="s">
        <v>46</v>
      </c>
      <c r="G239" s="41" t="s">
        <v>17</v>
      </c>
      <c r="H239" s="41" t="s">
        <v>18</v>
      </c>
      <c r="I239" s="42">
        <v>45149.0</v>
      </c>
      <c r="J239" s="41">
        <v>21.0</v>
      </c>
      <c r="K239" s="43">
        <v>263.93</v>
      </c>
      <c r="L239" s="43">
        <v>303.76</v>
      </c>
      <c r="M239" s="43">
        <v>5542.53</v>
      </c>
      <c r="N239" s="43">
        <v>6378.96</v>
      </c>
      <c r="O239" s="43">
        <v>-836.4300000000003</v>
      </c>
      <c r="P239" s="44">
        <v>-0.15091122646156183</v>
      </c>
    </row>
    <row r="240" ht="14.25" customHeight="1">
      <c r="C240" s="41" t="s">
        <v>256</v>
      </c>
      <c r="D240" s="41" t="s">
        <v>20</v>
      </c>
      <c r="E240" s="41" t="s">
        <v>21</v>
      </c>
      <c r="F240" s="41" t="s">
        <v>26</v>
      </c>
      <c r="G240" s="41" t="s">
        <v>17</v>
      </c>
      <c r="H240" s="41" t="s">
        <v>18</v>
      </c>
      <c r="I240" s="42">
        <v>45150.0</v>
      </c>
      <c r="J240" s="41">
        <v>283.0</v>
      </c>
      <c r="K240" s="43">
        <v>336.7</v>
      </c>
      <c r="L240" s="43">
        <v>297.88</v>
      </c>
      <c r="M240" s="43">
        <v>95286.09999999999</v>
      </c>
      <c r="N240" s="43">
        <v>84300.04</v>
      </c>
      <c r="O240" s="43">
        <v>10986.059999999998</v>
      </c>
      <c r="P240" s="44">
        <v>0.11529551529551528</v>
      </c>
    </row>
    <row r="241" ht="14.25" customHeight="1">
      <c r="C241" s="41" t="s">
        <v>257</v>
      </c>
      <c r="D241" s="41" t="s">
        <v>52</v>
      </c>
      <c r="E241" s="41" t="s">
        <v>54</v>
      </c>
      <c r="F241" s="41" t="s">
        <v>16</v>
      </c>
      <c r="G241" s="41" t="s">
        <v>27</v>
      </c>
      <c r="H241" s="41" t="s">
        <v>31</v>
      </c>
      <c r="I241" s="42">
        <v>45151.0</v>
      </c>
      <c r="J241" s="41">
        <v>280.0</v>
      </c>
      <c r="K241" s="43">
        <v>465.15</v>
      </c>
      <c r="L241" s="43">
        <v>245.55</v>
      </c>
      <c r="M241" s="43">
        <v>130242.0</v>
      </c>
      <c r="N241" s="43">
        <v>68754.0</v>
      </c>
      <c r="O241" s="43">
        <v>61488.0</v>
      </c>
      <c r="P241" s="44">
        <v>0.47210577233150597</v>
      </c>
    </row>
    <row r="242" ht="14.25" customHeight="1">
      <c r="C242" s="41" t="s">
        <v>258</v>
      </c>
      <c r="D242" s="41" t="s">
        <v>52</v>
      </c>
      <c r="E242" s="41" t="s">
        <v>34</v>
      </c>
      <c r="F242" s="41" t="s">
        <v>22</v>
      </c>
      <c r="G242" s="41" t="s">
        <v>27</v>
      </c>
      <c r="H242" s="41" t="s">
        <v>18</v>
      </c>
      <c r="I242" s="42">
        <v>45152.0</v>
      </c>
      <c r="J242" s="41">
        <v>217.0</v>
      </c>
      <c r="K242" s="43">
        <v>268.47</v>
      </c>
      <c r="L242" s="43">
        <v>44.16</v>
      </c>
      <c r="M242" s="43">
        <v>58257.990000000005</v>
      </c>
      <c r="N242" s="43">
        <v>9582.72</v>
      </c>
      <c r="O242" s="43">
        <v>48675.270000000004</v>
      </c>
      <c r="P242" s="44">
        <v>0.8355123477483518</v>
      </c>
    </row>
    <row r="243" ht="14.25" customHeight="1">
      <c r="C243" s="41" t="s">
        <v>259</v>
      </c>
      <c r="D243" s="41" t="s">
        <v>25</v>
      </c>
      <c r="E243" s="41" t="s">
        <v>34</v>
      </c>
      <c r="F243" s="41" t="s">
        <v>30</v>
      </c>
      <c r="G243" s="41" t="s">
        <v>27</v>
      </c>
      <c r="H243" s="41" t="s">
        <v>18</v>
      </c>
      <c r="I243" s="42">
        <v>45153.0</v>
      </c>
      <c r="J243" s="41">
        <v>36.0</v>
      </c>
      <c r="K243" s="43">
        <v>292.56</v>
      </c>
      <c r="L243" s="43">
        <v>62.32</v>
      </c>
      <c r="M243" s="43">
        <v>10532.16</v>
      </c>
      <c r="N243" s="43">
        <v>2243.52</v>
      </c>
      <c r="O243" s="43">
        <v>8288.64</v>
      </c>
      <c r="P243" s="44">
        <v>0.7869838665572874</v>
      </c>
    </row>
    <row r="244" ht="14.25" customHeight="1">
      <c r="C244" s="41" t="s">
        <v>260</v>
      </c>
      <c r="D244" s="41" t="s">
        <v>52</v>
      </c>
      <c r="E244" s="41" t="s">
        <v>54</v>
      </c>
      <c r="F244" s="41" t="s">
        <v>22</v>
      </c>
      <c r="G244" s="41" t="s">
        <v>27</v>
      </c>
      <c r="H244" s="41" t="s">
        <v>31</v>
      </c>
      <c r="I244" s="42">
        <v>45154.0</v>
      </c>
      <c r="J244" s="41">
        <v>255.9029411764706</v>
      </c>
      <c r="K244" s="43">
        <v>49.37</v>
      </c>
      <c r="L244" s="43">
        <v>39.32</v>
      </c>
      <c r="M244" s="43">
        <v>12633.928205882352</v>
      </c>
      <c r="N244" s="43">
        <v>10062.103647058824</v>
      </c>
      <c r="O244" s="43">
        <v>2571.8245588235277</v>
      </c>
      <c r="P244" s="44">
        <v>0.2035649179663762</v>
      </c>
    </row>
    <row r="245" ht="14.25" customHeight="1">
      <c r="C245" s="41" t="s">
        <v>261</v>
      </c>
      <c r="D245" s="41" t="s">
        <v>25</v>
      </c>
      <c r="E245" s="41" t="s">
        <v>15</v>
      </c>
      <c r="F245" s="41" t="s">
        <v>30</v>
      </c>
      <c r="G245" s="41" t="s">
        <v>17</v>
      </c>
      <c r="H245" s="41" t="s">
        <v>31</v>
      </c>
      <c r="I245" s="42">
        <v>45155.0</v>
      </c>
      <c r="J245" s="41">
        <v>69.0</v>
      </c>
      <c r="K245" s="43">
        <v>360.23</v>
      </c>
      <c r="L245" s="43">
        <v>231.71</v>
      </c>
      <c r="M245" s="43">
        <v>24855.870000000003</v>
      </c>
      <c r="N245" s="43">
        <v>15987.99</v>
      </c>
      <c r="O245" s="43">
        <v>8867.880000000003</v>
      </c>
      <c r="P245" s="44">
        <v>0.35677206229353475</v>
      </c>
    </row>
    <row r="246" ht="14.25" customHeight="1">
      <c r="C246" s="41" t="s">
        <v>262</v>
      </c>
      <c r="D246" s="41" t="s">
        <v>25</v>
      </c>
      <c r="E246" s="41" t="s">
        <v>34</v>
      </c>
      <c r="F246" s="41" t="s">
        <v>16</v>
      </c>
      <c r="G246" s="41" t="s">
        <v>17</v>
      </c>
      <c r="H246" s="41" t="s">
        <v>31</v>
      </c>
      <c r="I246" s="42">
        <v>45156.0</v>
      </c>
      <c r="J246" s="41">
        <v>439.0</v>
      </c>
      <c r="K246" s="43">
        <v>202.95</v>
      </c>
      <c r="L246" s="43">
        <v>351.1</v>
      </c>
      <c r="M246" s="43">
        <v>89095.04999999999</v>
      </c>
      <c r="N246" s="43">
        <v>154132.90000000002</v>
      </c>
      <c r="O246" s="43">
        <v>-65037.850000000035</v>
      </c>
      <c r="P246" s="44">
        <v>-0.7299827543729988</v>
      </c>
    </row>
    <row r="247" ht="14.25" customHeight="1">
      <c r="C247" s="41" t="s">
        <v>263</v>
      </c>
      <c r="D247" s="41" t="s">
        <v>52</v>
      </c>
      <c r="E247" s="41" t="s">
        <v>21</v>
      </c>
      <c r="F247" s="41" t="s">
        <v>30</v>
      </c>
      <c r="G247" s="41" t="s">
        <v>17</v>
      </c>
      <c r="H247" s="41" t="s">
        <v>23</v>
      </c>
      <c r="I247" s="42">
        <v>45157.0</v>
      </c>
      <c r="J247" s="41">
        <v>482.0</v>
      </c>
      <c r="K247" s="43">
        <v>488.48</v>
      </c>
      <c r="L247" s="43">
        <v>174.65</v>
      </c>
      <c r="M247" s="43">
        <v>235447.36000000002</v>
      </c>
      <c r="N247" s="43">
        <v>84181.3</v>
      </c>
      <c r="O247" s="43">
        <v>151266.06</v>
      </c>
      <c r="P247" s="44">
        <v>0.6424623321323288</v>
      </c>
    </row>
    <row r="248" ht="14.25" customHeight="1">
      <c r="C248" s="41" t="s">
        <v>264</v>
      </c>
      <c r="D248" s="41" t="s">
        <v>20</v>
      </c>
      <c r="E248" s="41" t="s">
        <v>21</v>
      </c>
      <c r="F248" s="41" t="s">
        <v>26</v>
      </c>
      <c r="G248" s="41" t="s">
        <v>17</v>
      </c>
      <c r="H248" s="41" t="s">
        <v>23</v>
      </c>
      <c r="I248" s="42">
        <v>45158.0</v>
      </c>
      <c r="J248" s="41">
        <v>154.0</v>
      </c>
      <c r="K248" s="43">
        <v>412.47</v>
      </c>
      <c r="L248" s="43">
        <v>66.02</v>
      </c>
      <c r="M248" s="43">
        <v>63520.380000000005</v>
      </c>
      <c r="N248" s="43">
        <v>10167.08</v>
      </c>
      <c r="O248" s="43">
        <v>53353.3</v>
      </c>
      <c r="P248" s="44">
        <v>0.839939874415109</v>
      </c>
    </row>
    <row r="249" ht="14.25" customHeight="1">
      <c r="C249" s="41" t="s">
        <v>265</v>
      </c>
      <c r="D249" s="41" t="s">
        <v>20</v>
      </c>
      <c r="E249" s="41" t="s">
        <v>29</v>
      </c>
      <c r="F249" s="41" t="s">
        <v>26</v>
      </c>
      <c r="G249" s="41" t="s">
        <v>27</v>
      </c>
      <c r="H249" s="41" t="s">
        <v>31</v>
      </c>
      <c r="I249" s="42">
        <v>45159.0</v>
      </c>
      <c r="J249" s="41">
        <v>102.0</v>
      </c>
      <c r="K249" s="43">
        <v>263.63</v>
      </c>
      <c r="L249" s="43">
        <v>224.1</v>
      </c>
      <c r="M249" s="43">
        <v>26890.26</v>
      </c>
      <c r="N249" s="43">
        <v>22858.2</v>
      </c>
      <c r="O249" s="43">
        <v>4032.0599999999977</v>
      </c>
      <c r="P249" s="44">
        <v>0.14994499867238167</v>
      </c>
    </row>
    <row r="250" ht="14.25" customHeight="1">
      <c r="C250" s="41" t="s">
        <v>266</v>
      </c>
      <c r="D250" s="41" t="s">
        <v>20</v>
      </c>
      <c r="E250" s="41" t="s">
        <v>34</v>
      </c>
      <c r="F250" s="41" t="s">
        <v>26</v>
      </c>
      <c r="G250" s="41" t="s">
        <v>17</v>
      </c>
      <c r="H250" s="41" t="s">
        <v>31</v>
      </c>
      <c r="I250" s="42">
        <v>45160.0</v>
      </c>
      <c r="J250" s="41">
        <v>318.0</v>
      </c>
      <c r="K250" s="43">
        <v>66.0</v>
      </c>
      <c r="L250" s="43">
        <v>325.08</v>
      </c>
      <c r="M250" s="43">
        <v>20988.0</v>
      </c>
      <c r="N250" s="43">
        <v>103375.43999999999</v>
      </c>
      <c r="O250" s="43">
        <v>-82387.43999999999</v>
      </c>
      <c r="P250" s="44">
        <v>-3.925454545454545</v>
      </c>
    </row>
    <row r="251" ht="14.25" customHeight="1">
      <c r="C251" s="41" t="s">
        <v>267</v>
      </c>
      <c r="D251" s="41" t="s">
        <v>20</v>
      </c>
      <c r="E251" s="41" t="s">
        <v>15</v>
      </c>
      <c r="F251" s="41" t="s">
        <v>26</v>
      </c>
      <c r="G251" s="41" t="s">
        <v>17</v>
      </c>
      <c r="H251" s="41" t="s">
        <v>31</v>
      </c>
      <c r="I251" s="42">
        <v>45161.0</v>
      </c>
      <c r="J251" s="41">
        <v>17.0</v>
      </c>
      <c r="K251" s="43">
        <v>430.41</v>
      </c>
      <c r="L251" s="43">
        <v>297.2</v>
      </c>
      <c r="M251" s="43">
        <v>7316.97</v>
      </c>
      <c r="N251" s="43">
        <v>5052.4</v>
      </c>
      <c r="O251" s="43">
        <v>2264.5700000000006</v>
      </c>
      <c r="P251" s="44">
        <v>0.30949559722125425</v>
      </c>
    </row>
    <row r="252" ht="14.25" customHeight="1">
      <c r="C252" s="41" t="s">
        <v>268</v>
      </c>
      <c r="D252" s="41" t="s">
        <v>20</v>
      </c>
      <c r="E252" s="41" t="s">
        <v>54</v>
      </c>
      <c r="F252" s="41" t="s">
        <v>22</v>
      </c>
      <c r="G252" s="41" t="s">
        <v>27</v>
      </c>
      <c r="H252" s="41" t="s">
        <v>23</v>
      </c>
      <c r="I252" s="42">
        <v>45162.0</v>
      </c>
      <c r="J252" s="41">
        <v>88.0</v>
      </c>
      <c r="K252" s="43">
        <v>400.89</v>
      </c>
      <c r="L252" s="43">
        <v>352.82</v>
      </c>
      <c r="M252" s="43">
        <v>35278.32</v>
      </c>
      <c r="N252" s="43">
        <v>31048.16</v>
      </c>
      <c r="O252" s="43">
        <v>4230.16</v>
      </c>
      <c r="P252" s="44">
        <v>0.11990820424555364</v>
      </c>
    </row>
    <row r="253" ht="14.25" customHeight="1">
      <c r="C253" s="41" t="s">
        <v>269</v>
      </c>
      <c r="D253" s="41" t="s">
        <v>52</v>
      </c>
      <c r="E253" s="41" t="s">
        <v>54</v>
      </c>
      <c r="F253" s="41" t="s">
        <v>16</v>
      </c>
      <c r="G253" s="41" t="s">
        <v>27</v>
      </c>
      <c r="H253" s="41" t="s">
        <v>23</v>
      </c>
      <c r="I253" s="42">
        <v>45163.0</v>
      </c>
      <c r="J253" s="41">
        <v>36.0</v>
      </c>
      <c r="K253" s="43">
        <v>96.37</v>
      </c>
      <c r="L253" s="43">
        <v>112.61</v>
      </c>
      <c r="M253" s="43">
        <v>3469.32</v>
      </c>
      <c r="N253" s="43">
        <v>4053.96</v>
      </c>
      <c r="O253" s="43">
        <v>-584.6399999999999</v>
      </c>
      <c r="P253" s="44">
        <v>-0.16851717339420977</v>
      </c>
    </row>
    <row r="254" ht="14.25" customHeight="1">
      <c r="C254" s="41" t="s">
        <v>270</v>
      </c>
      <c r="D254" s="41" t="s">
        <v>52</v>
      </c>
      <c r="E254" s="41" t="s">
        <v>15</v>
      </c>
      <c r="F254" s="41" t="s">
        <v>30</v>
      </c>
      <c r="G254" s="41" t="s">
        <v>27</v>
      </c>
      <c r="H254" s="41" t="s">
        <v>18</v>
      </c>
      <c r="I254" s="42">
        <v>45164.0</v>
      </c>
      <c r="J254" s="41">
        <v>183.0</v>
      </c>
      <c r="K254" s="43">
        <v>151.16</v>
      </c>
      <c r="L254" s="43">
        <v>79.19</v>
      </c>
      <c r="M254" s="43">
        <v>27662.28</v>
      </c>
      <c r="N254" s="43">
        <v>14491.77</v>
      </c>
      <c r="O254" s="43">
        <v>13170.509999999998</v>
      </c>
      <c r="P254" s="44">
        <v>0.476118020640381</v>
      </c>
    </row>
    <row r="255" ht="14.25" customHeight="1">
      <c r="C255" s="41" t="s">
        <v>271</v>
      </c>
      <c r="D255" s="41" t="s">
        <v>14</v>
      </c>
      <c r="E255" s="41" t="s">
        <v>29</v>
      </c>
      <c r="F255" s="41" t="s">
        <v>30</v>
      </c>
      <c r="G255" s="41" t="s">
        <v>27</v>
      </c>
      <c r="H255" s="41" t="s">
        <v>18</v>
      </c>
      <c r="I255" s="42">
        <v>45165.0</v>
      </c>
      <c r="J255" s="41">
        <v>59.0</v>
      </c>
      <c r="K255" s="43">
        <v>397.74</v>
      </c>
      <c r="L255" s="43">
        <v>352.17</v>
      </c>
      <c r="M255" s="43">
        <v>23466.66</v>
      </c>
      <c r="N255" s="43">
        <v>20778.030000000002</v>
      </c>
      <c r="O255" s="43">
        <v>2688.6299999999974</v>
      </c>
      <c r="P255" s="44">
        <v>0.11457233368532196</v>
      </c>
    </row>
    <row r="256" ht="14.25" customHeight="1">
      <c r="C256" s="41" t="s">
        <v>272</v>
      </c>
      <c r="D256" s="41" t="s">
        <v>20</v>
      </c>
      <c r="E256" s="41" t="s">
        <v>54</v>
      </c>
      <c r="F256" s="41" t="s">
        <v>26</v>
      </c>
      <c r="G256" s="41" t="s">
        <v>17</v>
      </c>
      <c r="H256" s="41" t="s">
        <v>31</v>
      </c>
      <c r="I256" s="42">
        <v>45166.0</v>
      </c>
      <c r="J256" s="41">
        <v>208.0</v>
      </c>
      <c r="K256" s="43">
        <v>96.69</v>
      </c>
      <c r="L256" s="43">
        <v>263.71</v>
      </c>
      <c r="M256" s="43">
        <v>20111.52</v>
      </c>
      <c r="N256" s="43">
        <v>54851.67999999999</v>
      </c>
      <c r="O256" s="43">
        <v>-34740.15999999999</v>
      </c>
      <c r="P256" s="44">
        <v>-1.727376150584341</v>
      </c>
    </row>
    <row r="257" ht="14.25" customHeight="1">
      <c r="C257" s="41" t="s">
        <v>273</v>
      </c>
      <c r="D257" s="41" t="s">
        <v>52</v>
      </c>
      <c r="E257" s="41" t="s">
        <v>34</v>
      </c>
      <c r="F257" s="41" t="s">
        <v>26</v>
      </c>
      <c r="G257" s="41" t="s">
        <v>17</v>
      </c>
      <c r="H257" s="41" t="s">
        <v>23</v>
      </c>
      <c r="I257" s="42">
        <v>45167.0</v>
      </c>
      <c r="J257" s="41">
        <v>396.0</v>
      </c>
      <c r="K257" s="43">
        <v>459.29</v>
      </c>
      <c r="L257" s="43">
        <v>125.75</v>
      </c>
      <c r="M257" s="43">
        <v>181878.84</v>
      </c>
      <c r="N257" s="43">
        <v>49797.0</v>
      </c>
      <c r="O257" s="43">
        <v>132081.84</v>
      </c>
      <c r="P257" s="44">
        <v>0.7262078425395719</v>
      </c>
    </row>
    <row r="258" ht="14.25" customHeight="1">
      <c r="C258" s="41" t="s">
        <v>274</v>
      </c>
      <c r="D258" s="41" t="s">
        <v>14</v>
      </c>
      <c r="E258" s="41" t="s">
        <v>29</v>
      </c>
      <c r="F258" s="41" t="s">
        <v>46</v>
      </c>
      <c r="G258" s="41" t="s">
        <v>27</v>
      </c>
      <c r="H258" s="41" t="s">
        <v>23</v>
      </c>
      <c r="I258" s="42">
        <v>45168.0</v>
      </c>
      <c r="J258" s="41">
        <v>358.0</v>
      </c>
      <c r="K258" s="43">
        <v>215.14</v>
      </c>
      <c r="L258" s="43">
        <v>297.45</v>
      </c>
      <c r="M258" s="43">
        <v>77020.12</v>
      </c>
      <c r="N258" s="43">
        <v>106487.09999999999</v>
      </c>
      <c r="O258" s="43">
        <v>-29466.979999999996</v>
      </c>
      <c r="P258" s="44">
        <v>-0.38258808217904616</v>
      </c>
    </row>
    <row r="259" ht="14.25" customHeight="1">
      <c r="C259" s="41" t="s">
        <v>275</v>
      </c>
      <c r="D259" s="41" t="s">
        <v>20</v>
      </c>
      <c r="E259" s="41" t="s">
        <v>34</v>
      </c>
      <c r="F259" s="41" t="s">
        <v>16</v>
      </c>
      <c r="G259" s="41" t="s">
        <v>17</v>
      </c>
      <c r="H259" s="41" t="s">
        <v>23</v>
      </c>
      <c r="I259" s="42">
        <v>45169.0</v>
      </c>
      <c r="J259" s="41">
        <v>457.0</v>
      </c>
      <c r="K259" s="43">
        <v>48.08</v>
      </c>
      <c r="L259" s="43">
        <v>326.42</v>
      </c>
      <c r="M259" s="43">
        <v>21972.559999999998</v>
      </c>
      <c r="N259" s="43">
        <v>149173.94</v>
      </c>
      <c r="O259" s="43">
        <v>-127201.38</v>
      </c>
      <c r="P259" s="44">
        <v>-5.78910149750416</v>
      </c>
    </row>
    <row r="260" ht="14.25" customHeight="1">
      <c r="C260" s="41" t="s">
        <v>276</v>
      </c>
      <c r="D260" s="41" t="s">
        <v>25</v>
      </c>
      <c r="E260" s="41" t="s">
        <v>21</v>
      </c>
      <c r="F260" s="41" t="s">
        <v>22</v>
      </c>
      <c r="G260" s="41" t="s">
        <v>17</v>
      </c>
      <c r="H260" s="41" t="s">
        <v>31</v>
      </c>
      <c r="I260" s="42">
        <v>45170.0</v>
      </c>
      <c r="J260" s="41">
        <v>437.0</v>
      </c>
      <c r="K260" s="43">
        <v>408.8</v>
      </c>
      <c r="L260" s="43">
        <v>246.76</v>
      </c>
      <c r="M260" s="43">
        <v>178645.6</v>
      </c>
      <c r="N260" s="43">
        <v>107834.12</v>
      </c>
      <c r="O260" s="43">
        <v>70811.48000000001</v>
      </c>
      <c r="P260" s="44">
        <v>0.3963796477495108</v>
      </c>
    </row>
    <row r="261" ht="14.25" customHeight="1">
      <c r="C261" s="41" t="s">
        <v>277</v>
      </c>
      <c r="D261" s="41" t="s">
        <v>14</v>
      </c>
      <c r="E261" s="41" t="s">
        <v>29</v>
      </c>
      <c r="F261" s="41" t="s">
        <v>30</v>
      </c>
      <c r="G261" s="41" t="s">
        <v>17</v>
      </c>
      <c r="H261" s="41" t="s">
        <v>18</v>
      </c>
      <c r="I261" s="42">
        <v>45171.0</v>
      </c>
      <c r="J261" s="41">
        <v>190.0</v>
      </c>
      <c r="K261" s="43">
        <v>189.89</v>
      </c>
      <c r="L261" s="43">
        <v>275.78</v>
      </c>
      <c r="M261" s="43">
        <v>36079.1</v>
      </c>
      <c r="N261" s="43">
        <v>52398.2</v>
      </c>
      <c r="O261" s="43">
        <v>-16319.099999999999</v>
      </c>
      <c r="P261" s="44">
        <v>-0.45231449786718625</v>
      </c>
    </row>
    <row r="262" ht="14.25" customHeight="1">
      <c r="C262" s="41" t="s">
        <v>278</v>
      </c>
      <c r="D262" s="41" t="s">
        <v>52</v>
      </c>
      <c r="E262" s="41" t="s">
        <v>54</v>
      </c>
      <c r="F262" s="41" t="s">
        <v>46</v>
      </c>
      <c r="G262" s="41" t="s">
        <v>27</v>
      </c>
      <c r="H262" s="41" t="s">
        <v>31</v>
      </c>
      <c r="I262" s="42">
        <v>45172.0</v>
      </c>
      <c r="J262" s="41">
        <v>33.0</v>
      </c>
      <c r="K262" s="43">
        <v>265.62</v>
      </c>
      <c r="L262" s="43">
        <v>151.35</v>
      </c>
      <c r="M262" s="43">
        <v>8765.460000000001</v>
      </c>
      <c r="N262" s="43">
        <v>4994.55</v>
      </c>
      <c r="O262" s="43">
        <v>3770.9100000000008</v>
      </c>
      <c r="P262" s="44">
        <v>0.4302010390783827</v>
      </c>
    </row>
    <row r="263" ht="14.25" customHeight="1">
      <c r="C263" s="41" t="s">
        <v>279</v>
      </c>
      <c r="D263" s="41" t="s">
        <v>25</v>
      </c>
      <c r="E263" s="41" t="s">
        <v>29</v>
      </c>
      <c r="F263" s="41" t="s">
        <v>46</v>
      </c>
      <c r="G263" s="41" t="s">
        <v>17</v>
      </c>
      <c r="H263" s="41" t="s">
        <v>18</v>
      </c>
      <c r="I263" s="42">
        <v>45173.0</v>
      </c>
      <c r="J263" s="41">
        <v>325.0</v>
      </c>
      <c r="K263" s="43">
        <v>60.59</v>
      </c>
      <c r="L263" s="43">
        <v>216.4</v>
      </c>
      <c r="M263" s="43">
        <v>19691.75</v>
      </c>
      <c r="N263" s="43">
        <v>70330.0</v>
      </c>
      <c r="O263" s="43">
        <v>-50638.25</v>
      </c>
      <c r="P263" s="44">
        <v>-2.57154645981185</v>
      </c>
    </row>
    <row r="264" ht="14.25" customHeight="1">
      <c r="C264" s="41" t="s">
        <v>280</v>
      </c>
      <c r="D264" s="41" t="s">
        <v>25</v>
      </c>
      <c r="E264" s="41" t="s">
        <v>29</v>
      </c>
      <c r="F264" s="41" t="s">
        <v>30</v>
      </c>
      <c r="G264" s="41" t="s">
        <v>27</v>
      </c>
      <c r="H264" s="41" t="s">
        <v>18</v>
      </c>
      <c r="I264" s="42">
        <v>45174.0</v>
      </c>
      <c r="J264" s="41">
        <v>387.0</v>
      </c>
      <c r="K264" s="43">
        <v>6.28</v>
      </c>
      <c r="L264" s="43">
        <v>210.62</v>
      </c>
      <c r="M264" s="43">
        <v>2430.36</v>
      </c>
      <c r="N264" s="43">
        <v>81509.94</v>
      </c>
      <c r="O264" s="43">
        <v>-79079.58</v>
      </c>
      <c r="P264" s="44">
        <v>-32.538216560509554</v>
      </c>
    </row>
    <row r="265" ht="14.25" customHeight="1">
      <c r="C265" s="41" t="s">
        <v>281</v>
      </c>
      <c r="D265" s="41" t="s">
        <v>25</v>
      </c>
      <c r="E265" s="41" t="s">
        <v>29</v>
      </c>
      <c r="F265" s="41" t="s">
        <v>22</v>
      </c>
      <c r="G265" s="41" t="s">
        <v>17</v>
      </c>
      <c r="H265" s="41" t="s">
        <v>31</v>
      </c>
      <c r="I265" s="42">
        <v>45175.0</v>
      </c>
      <c r="J265" s="41">
        <v>396.0</v>
      </c>
      <c r="K265" s="43">
        <v>320.8</v>
      </c>
      <c r="L265" s="43">
        <v>339.52</v>
      </c>
      <c r="M265" s="43">
        <v>127036.8</v>
      </c>
      <c r="N265" s="43">
        <v>134449.91999999998</v>
      </c>
      <c r="O265" s="43">
        <v>-7413.119999999981</v>
      </c>
      <c r="P265" s="44">
        <v>-0.058354114713216804</v>
      </c>
    </row>
    <row r="266" ht="14.25" customHeight="1">
      <c r="C266" s="41" t="s">
        <v>282</v>
      </c>
      <c r="D266" s="41" t="s">
        <v>14</v>
      </c>
      <c r="E266" s="41" t="s">
        <v>29</v>
      </c>
      <c r="F266" s="41" t="s">
        <v>46</v>
      </c>
      <c r="G266" s="41" t="s">
        <v>17</v>
      </c>
      <c r="H266" s="41" t="s">
        <v>18</v>
      </c>
      <c r="I266" s="42">
        <v>45176.0</v>
      </c>
      <c r="J266" s="41">
        <v>413.0</v>
      </c>
      <c r="K266" s="43">
        <v>260.01</v>
      </c>
      <c r="L266" s="43">
        <v>336.31</v>
      </c>
      <c r="M266" s="43">
        <v>107384.12999999999</v>
      </c>
      <c r="N266" s="43">
        <v>138896.03</v>
      </c>
      <c r="O266" s="43">
        <v>-31511.90000000001</v>
      </c>
      <c r="P266" s="44">
        <v>-0.2934502519133881</v>
      </c>
    </row>
    <row r="267" ht="14.25" customHeight="1">
      <c r="C267" s="41" t="s">
        <v>283</v>
      </c>
      <c r="D267" s="41" t="s">
        <v>52</v>
      </c>
      <c r="E267" s="41" t="s">
        <v>34</v>
      </c>
      <c r="F267" s="41" t="s">
        <v>46</v>
      </c>
      <c r="G267" s="41" t="s">
        <v>17</v>
      </c>
      <c r="H267" s="41" t="s">
        <v>18</v>
      </c>
      <c r="I267" s="42">
        <v>45177.0</v>
      </c>
      <c r="J267" s="41">
        <v>255.9029411764706</v>
      </c>
      <c r="K267" s="43">
        <v>298.8</v>
      </c>
      <c r="L267" s="43">
        <v>333.41</v>
      </c>
      <c r="M267" s="43">
        <v>76463.79882352942</v>
      </c>
      <c r="N267" s="43">
        <v>85320.59961764707</v>
      </c>
      <c r="O267" s="43">
        <v>-8856.800794117647</v>
      </c>
      <c r="P267" s="44">
        <v>-0.11582998661311913</v>
      </c>
    </row>
    <row r="268" ht="14.25" customHeight="1">
      <c r="C268" s="41" t="s">
        <v>284</v>
      </c>
      <c r="D268" s="41" t="s">
        <v>25</v>
      </c>
      <c r="E268" s="41" t="s">
        <v>21</v>
      </c>
      <c r="F268" s="41" t="s">
        <v>16</v>
      </c>
      <c r="G268" s="41" t="s">
        <v>27</v>
      </c>
      <c r="H268" s="41" t="s">
        <v>23</v>
      </c>
      <c r="I268" s="42">
        <v>45178.0</v>
      </c>
      <c r="J268" s="41">
        <v>24.0</v>
      </c>
      <c r="K268" s="43">
        <v>397.9</v>
      </c>
      <c r="L268" s="43">
        <v>6.39</v>
      </c>
      <c r="M268" s="43">
        <v>9549.599999999999</v>
      </c>
      <c r="N268" s="43">
        <v>153.35999999999999</v>
      </c>
      <c r="O268" s="43">
        <v>9396.239999999998</v>
      </c>
      <c r="P268" s="44">
        <v>0.9839406886152299</v>
      </c>
    </row>
    <row r="269" ht="14.25" customHeight="1">
      <c r="C269" s="41" t="s">
        <v>285</v>
      </c>
      <c r="D269" s="41" t="s">
        <v>20</v>
      </c>
      <c r="E269" s="41" t="s">
        <v>15</v>
      </c>
      <c r="F269" s="41" t="s">
        <v>39</v>
      </c>
      <c r="G269" s="41" t="s">
        <v>17</v>
      </c>
      <c r="H269" s="41" t="s">
        <v>18</v>
      </c>
      <c r="I269" s="42">
        <v>45179.0</v>
      </c>
      <c r="J269" s="41">
        <v>162.0</v>
      </c>
      <c r="K269" s="43">
        <v>325.07</v>
      </c>
      <c r="L269" s="43">
        <v>300.32</v>
      </c>
      <c r="M269" s="43">
        <v>52661.34</v>
      </c>
      <c r="N269" s="43">
        <v>48651.84</v>
      </c>
      <c r="O269" s="43">
        <v>4009.5</v>
      </c>
      <c r="P269" s="44">
        <v>0.07613744731903899</v>
      </c>
    </row>
    <row r="270" ht="14.25" customHeight="1">
      <c r="C270" s="41" t="s">
        <v>286</v>
      </c>
      <c r="D270" s="41" t="s">
        <v>25</v>
      </c>
      <c r="E270" s="41" t="s">
        <v>29</v>
      </c>
      <c r="F270" s="41" t="s">
        <v>46</v>
      </c>
      <c r="G270" s="41" t="s">
        <v>27</v>
      </c>
      <c r="H270" s="41" t="s">
        <v>31</v>
      </c>
      <c r="I270" s="42">
        <v>45180.0</v>
      </c>
      <c r="J270" s="41">
        <v>231.0</v>
      </c>
      <c r="K270" s="43">
        <v>91.51</v>
      </c>
      <c r="L270" s="43">
        <v>303.95</v>
      </c>
      <c r="M270" s="43">
        <v>21138.81</v>
      </c>
      <c r="N270" s="43">
        <v>70212.45</v>
      </c>
      <c r="O270" s="43">
        <v>-49073.64</v>
      </c>
      <c r="P270" s="44">
        <v>-2.321494918588132</v>
      </c>
    </row>
    <row r="271" ht="14.25" customHeight="1">
      <c r="C271" s="41" t="s">
        <v>287</v>
      </c>
      <c r="D271" s="41" t="s">
        <v>25</v>
      </c>
      <c r="E271" s="41" t="s">
        <v>54</v>
      </c>
      <c r="F271" s="41" t="s">
        <v>22</v>
      </c>
      <c r="G271" s="41" t="s">
        <v>27</v>
      </c>
      <c r="H271" s="41" t="s">
        <v>31</v>
      </c>
      <c r="I271" s="42">
        <v>45181.0</v>
      </c>
      <c r="J271" s="41">
        <v>215.0</v>
      </c>
      <c r="K271" s="43">
        <v>183.58</v>
      </c>
      <c r="L271" s="43">
        <v>271.99</v>
      </c>
      <c r="M271" s="43">
        <v>39469.700000000004</v>
      </c>
      <c r="N271" s="43">
        <v>58477.85</v>
      </c>
      <c r="O271" s="43">
        <v>-19008.149999999994</v>
      </c>
      <c r="P271" s="44">
        <v>-0.4815884083233466</v>
      </c>
    </row>
    <row r="272" ht="14.25" customHeight="1">
      <c r="C272" s="41" t="s">
        <v>288</v>
      </c>
      <c r="D272" s="41" t="s">
        <v>14</v>
      </c>
      <c r="E272" s="41" t="s">
        <v>29</v>
      </c>
      <c r="F272" s="41" t="s">
        <v>30</v>
      </c>
      <c r="G272" s="41" t="s">
        <v>27</v>
      </c>
      <c r="H272" s="41" t="s">
        <v>18</v>
      </c>
      <c r="I272" s="42">
        <v>45182.0</v>
      </c>
      <c r="J272" s="41">
        <v>464.0</v>
      </c>
      <c r="K272" s="43">
        <v>453.42</v>
      </c>
      <c r="L272" s="43">
        <v>302.99</v>
      </c>
      <c r="M272" s="43">
        <v>210386.88</v>
      </c>
      <c r="N272" s="43">
        <v>140587.36000000002</v>
      </c>
      <c r="O272" s="43">
        <v>69799.51999999999</v>
      </c>
      <c r="P272" s="44">
        <v>0.33176745622160464</v>
      </c>
    </row>
    <row r="273" ht="14.25" customHeight="1">
      <c r="C273" s="41" t="s">
        <v>289</v>
      </c>
      <c r="D273" s="41" t="s">
        <v>14</v>
      </c>
      <c r="E273" s="41" t="s">
        <v>54</v>
      </c>
      <c r="F273" s="41" t="s">
        <v>26</v>
      </c>
      <c r="G273" s="41" t="s">
        <v>17</v>
      </c>
      <c r="H273" s="41" t="s">
        <v>23</v>
      </c>
      <c r="I273" s="42">
        <v>45183.0</v>
      </c>
      <c r="J273" s="41">
        <v>282.0</v>
      </c>
      <c r="K273" s="43">
        <v>249.64520588235297</v>
      </c>
      <c r="L273" s="43">
        <v>337.1</v>
      </c>
      <c r="M273" s="43">
        <v>70399.94805882353</v>
      </c>
      <c r="N273" s="43">
        <v>95062.20000000001</v>
      </c>
      <c r="O273" s="43">
        <v>-24662.25194117648</v>
      </c>
      <c r="P273" s="44">
        <v>-0.35031633717356775</v>
      </c>
    </row>
    <row r="274" ht="14.25" customHeight="1">
      <c r="C274" s="41" t="s">
        <v>290</v>
      </c>
      <c r="D274" s="41" t="s">
        <v>52</v>
      </c>
      <c r="E274" s="41" t="s">
        <v>34</v>
      </c>
      <c r="F274" s="41" t="s">
        <v>46</v>
      </c>
      <c r="G274" s="41" t="s">
        <v>17</v>
      </c>
      <c r="H274" s="41" t="s">
        <v>23</v>
      </c>
      <c r="I274" s="42">
        <v>45184.0</v>
      </c>
      <c r="J274" s="41">
        <v>391.0</v>
      </c>
      <c r="K274" s="43">
        <v>280.54</v>
      </c>
      <c r="L274" s="43">
        <v>189.19</v>
      </c>
      <c r="M274" s="43">
        <v>109691.14000000001</v>
      </c>
      <c r="N274" s="43">
        <v>73973.29</v>
      </c>
      <c r="O274" s="43">
        <v>35717.85000000002</v>
      </c>
      <c r="P274" s="44">
        <v>0.3256220146859629</v>
      </c>
    </row>
    <row r="275" ht="14.25" customHeight="1">
      <c r="C275" s="41" t="s">
        <v>291</v>
      </c>
      <c r="D275" s="41" t="s">
        <v>20</v>
      </c>
      <c r="E275" s="41" t="s">
        <v>54</v>
      </c>
      <c r="F275" s="41" t="s">
        <v>16</v>
      </c>
      <c r="G275" s="41" t="s">
        <v>17</v>
      </c>
      <c r="H275" s="41" t="s">
        <v>18</v>
      </c>
      <c r="I275" s="42">
        <v>45185.0</v>
      </c>
      <c r="J275" s="41">
        <v>245.0</v>
      </c>
      <c r="K275" s="43">
        <v>131.54</v>
      </c>
      <c r="L275" s="43">
        <v>201.82</v>
      </c>
      <c r="M275" s="43">
        <v>32227.3</v>
      </c>
      <c r="N275" s="43">
        <v>49445.9</v>
      </c>
      <c r="O275" s="43">
        <v>-17218.600000000002</v>
      </c>
      <c r="P275" s="44">
        <v>-0.5342861487000153</v>
      </c>
    </row>
    <row r="276" ht="14.25" customHeight="1">
      <c r="C276" s="41" t="s">
        <v>292</v>
      </c>
      <c r="D276" s="41" t="s">
        <v>14</v>
      </c>
      <c r="E276" s="41" t="s">
        <v>15</v>
      </c>
      <c r="F276" s="41" t="s">
        <v>30</v>
      </c>
      <c r="G276" s="41" t="s">
        <v>17</v>
      </c>
      <c r="H276" s="41" t="s">
        <v>18</v>
      </c>
      <c r="I276" s="42">
        <v>45186.0</v>
      </c>
      <c r="J276" s="41">
        <v>349.0</v>
      </c>
      <c r="K276" s="43">
        <v>154.52</v>
      </c>
      <c r="L276" s="43">
        <v>51.64</v>
      </c>
      <c r="M276" s="43">
        <v>53927.48</v>
      </c>
      <c r="N276" s="43">
        <v>18022.36</v>
      </c>
      <c r="O276" s="43">
        <v>35905.12</v>
      </c>
      <c r="P276" s="44">
        <v>0.6658037794460264</v>
      </c>
    </row>
    <row r="277" ht="14.25" customHeight="1">
      <c r="C277" s="41" t="s">
        <v>293</v>
      </c>
      <c r="D277" s="41" t="s">
        <v>25</v>
      </c>
      <c r="E277" s="41" t="s">
        <v>21</v>
      </c>
      <c r="F277" s="41" t="s">
        <v>22</v>
      </c>
      <c r="G277" s="41" t="s">
        <v>27</v>
      </c>
      <c r="H277" s="41" t="s">
        <v>31</v>
      </c>
      <c r="I277" s="42">
        <v>45187.0</v>
      </c>
      <c r="J277" s="41">
        <v>237.0</v>
      </c>
      <c r="K277" s="43">
        <v>249.64520588235297</v>
      </c>
      <c r="L277" s="43">
        <v>155.38</v>
      </c>
      <c r="M277" s="43">
        <v>59165.91379411765</v>
      </c>
      <c r="N277" s="43">
        <v>36825.06</v>
      </c>
      <c r="O277" s="43">
        <v>22340.853794117655</v>
      </c>
      <c r="P277" s="44">
        <v>0.3775966998812551</v>
      </c>
    </row>
    <row r="278" ht="14.25" customHeight="1">
      <c r="C278" s="41" t="s">
        <v>294</v>
      </c>
      <c r="D278" s="41" t="s">
        <v>52</v>
      </c>
      <c r="E278" s="41" t="s">
        <v>54</v>
      </c>
      <c r="F278" s="41" t="s">
        <v>30</v>
      </c>
      <c r="G278" s="41" t="s">
        <v>27</v>
      </c>
      <c r="H278" s="41" t="s">
        <v>18</v>
      </c>
      <c r="I278" s="42">
        <v>45188.0</v>
      </c>
      <c r="J278" s="41">
        <v>18.0</v>
      </c>
      <c r="K278" s="43">
        <v>426.33</v>
      </c>
      <c r="L278" s="43">
        <v>258.06</v>
      </c>
      <c r="M278" s="43">
        <v>7673.94</v>
      </c>
      <c r="N278" s="43">
        <v>4645.08</v>
      </c>
      <c r="O278" s="43">
        <v>3028.8599999999997</v>
      </c>
      <c r="P278" s="44">
        <v>0.3946942509323763</v>
      </c>
    </row>
    <row r="279" ht="14.25" customHeight="1">
      <c r="C279" s="41" t="s">
        <v>295</v>
      </c>
      <c r="D279" s="41" t="s">
        <v>25</v>
      </c>
      <c r="E279" s="41" t="s">
        <v>54</v>
      </c>
      <c r="F279" s="41" t="s">
        <v>46</v>
      </c>
      <c r="G279" s="41" t="s">
        <v>27</v>
      </c>
      <c r="H279" s="41" t="s">
        <v>23</v>
      </c>
      <c r="I279" s="42">
        <v>45189.0</v>
      </c>
      <c r="J279" s="41">
        <v>175.0</v>
      </c>
      <c r="K279" s="43">
        <v>337.36</v>
      </c>
      <c r="L279" s="43">
        <v>312.6</v>
      </c>
      <c r="M279" s="43">
        <v>59038.0</v>
      </c>
      <c r="N279" s="43">
        <v>54705.00000000001</v>
      </c>
      <c r="O279" s="43">
        <v>4332.999999999993</v>
      </c>
      <c r="P279" s="44">
        <v>0.0733934076357599</v>
      </c>
    </row>
    <row r="280" ht="14.25" customHeight="1">
      <c r="C280" s="41" t="s">
        <v>296</v>
      </c>
      <c r="D280" s="41" t="s">
        <v>25</v>
      </c>
      <c r="E280" s="41" t="s">
        <v>21</v>
      </c>
      <c r="F280" s="41" t="s">
        <v>39</v>
      </c>
      <c r="G280" s="41" t="s">
        <v>17</v>
      </c>
      <c r="H280" s="41" t="s">
        <v>18</v>
      </c>
      <c r="I280" s="42">
        <v>45190.0</v>
      </c>
      <c r="J280" s="41">
        <v>441.0</v>
      </c>
      <c r="K280" s="43">
        <v>405.72</v>
      </c>
      <c r="L280" s="43">
        <v>88.45</v>
      </c>
      <c r="M280" s="43">
        <v>178922.52000000002</v>
      </c>
      <c r="N280" s="43">
        <v>39006.450000000004</v>
      </c>
      <c r="O280" s="43">
        <v>139916.07</v>
      </c>
      <c r="P280" s="44">
        <v>0.7819925071477866</v>
      </c>
    </row>
    <row r="281" ht="14.25" customHeight="1">
      <c r="C281" s="41" t="s">
        <v>297</v>
      </c>
      <c r="D281" s="41" t="s">
        <v>14</v>
      </c>
      <c r="E281" s="41" t="s">
        <v>15</v>
      </c>
      <c r="F281" s="41" t="s">
        <v>26</v>
      </c>
      <c r="G281" s="41" t="s">
        <v>27</v>
      </c>
      <c r="H281" s="41" t="s">
        <v>31</v>
      </c>
      <c r="I281" s="42">
        <v>45191.0</v>
      </c>
      <c r="J281" s="41">
        <v>453.0</v>
      </c>
      <c r="K281" s="43">
        <v>384.49</v>
      </c>
      <c r="L281" s="43">
        <v>56.85</v>
      </c>
      <c r="M281" s="43">
        <v>174173.97</v>
      </c>
      <c r="N281" s="43">
        <v>25753.05</v>
      </c>
      <c r="O281" s="43">
        <v>148420.92</v>
      </c>
      <c r="P281" s="44">
        <v>0.8521417982262218</v>
      </c>
    </row>
    <row r="282" ht="14.25" customHeight="1">
      <c r="C282" s="41" t="s">
        <v>298</v>
      </c>
      <c r="D282" s="41" t="s">
        <v>52</v>
      </c>
      <c r="E282" s="41" t="s">
        <v>29</v>
      </c>
      <c r="F282" s="41" t="s">
        <v>30</v>
      </c>
      <c r="G282" s="41" t="s">
        <v>17</v>
      </c>
      <c r="H282" s="41" t="s">
        <v>31</v>
      </c>
      <c r="I282" s="42">
        <v>45192.0</v>
      </c>
      <c r="J282" s="41">
        <v>328.0</v>
      </c>
      <c r="K282" s="43">
        <v>79.1</v>
      </c>
      <c r="L282" s="43">
        <v>265.89</v>
      </c>
      <c r="M282" s="43">
        <v>25944.8</v>
      </c>
      <c r="N282" s="43">
        <v>87211.92</v>
      </c>
      <c r="O282" s="43">
        <v>-61267.119999999995</v>
      </c>
      <c r="P282" s="44">
        <v>-2.361441213653603</v>
      </c>
    </row>
    <row r="283" ht="14.25" customHeight="1">
      <c r="C283" s="41" t="s">
        <v>299</v>
      </c>
      <c r="D283" s="41" t="s">
        <v>20</v>
      </c>
      <c r="E283" s="41" t="s">
        <v>54</v>
      </c>
      <c r="F283" s="41" t="s">
        <v>46</v>
      </c>
      <c r="G283" s="41" t="s">
        <v>27</v>
      </c>
      <c r="H283" s="41" t="s">
        <v>31</v>
      </c>
      <c r="I283" s="42">
        <v>45193.0</v>
      </c>
      <c r="J283" s="41">
        <v>223.0</v>
      </c>
      <c r="K283" s="43">
        <v>214.85</v>
      </c>
      <c r="L283" s="43">
        <v>2.75</v>
      </c>
      <c r="M283" s="43">
        <v>47911.549999999996</v>
      </c>
      <c r="N283" s="43">
        <v>613.25</v>
      </c>
      <c r="O283" s="43">
        <v>47298.299999999996</v>
      </c>
      <c r="P283" s="44">
        <v>0.9872003723528043</v>
      </c>
    </row>
    <row r="284" ht="14.25" customHeight="1">
      <c r="C284" s="41" t="s">
        <v>300</v>
      </c>
      <c r="D284" s="41" t="s">
        <v>20</v>
      </c>
      <c r="E284" s="41" t="s">
        <v>21</v>
      </c>
      <c r="F284" s="41" t="s">
        <v>16</v>
      </c>
      <c r="G284" s="41" t="s">
        <v>17</v>
      </c>
      <c r="H284" s="41" t="s">
        <v>31</v>
      </c>
      <c r="I284" s="42">
        <v>45194.0</v>
      </c>
      <c r="J284" s="41">
        <v>126.0</v>
      </c>
      <c r="K284" s="43">
        <v>80.73</v>
      </c>
      <c r="L284" s="43">
        <v>72.99</v>
      </c>
      <c r="M284" s="43">
        <v>10171.980000000001</v>
      </c>
      <c r="N284" s="43">
        <v>9196.74</v>
      </c>
      <c r="O284" s="43">
        <v>975.2400000000016</v>
      </c>
      <c r="P284" s="44">
        <v>0.09587513935340036</v>
      </c>
    </row>
    <row r="285" ht="14.25" customHeight="1">
      <c r="C285" s="41" t="s">
        <v>301</v>
      </c>
      <c r="D285" s="41" t="s">
        <v>14</v>
      </c>
      <c r="E285" s="41" t="s">
        <v>34</v>
      </c>
      <c r="F285" s="41" t="s">
        <v>22</v>
      </c>
      <c r="G285" s="41" t="s">
        <v>17</v>
      </c>
      <c r="H285" s="41" t="s">
        <v>31</v>
      </c>
      <c r="I285" s="42">
        <v>45195.0</v>
      </c>
      <c r="J285" s="41">
        <v>395.0</v>
      </c>
      <c r="K285" s="43">
        <v>121.44</v>
      </c>
      <c r="L285" s="43">
        <v>13.57</v>
      </c>
      <c r="M285" s="43">
        <v>47968.799999999996</v>
      </c>
      <c r="N285" s="43">
        <v>5360.150000000001</v>
      </c>
      <c r="O285" s="43">
        <v>42608.649999999994</v>
      </c>
      <c r="P285" s="44">
        <v>0.8882575757575757</v>
      </c>
    </row>
    <row r="286" ht="14.25" customHeight="1">
      <c r="C286" s="41" t="s">
        <v>302</v>
      </c>
      <c r="D286" s="41" t="s">
        <v>14</v>
      </c>
      <c r="E286" s="41" t="s">
        <v>21</v>
      </c>
      <c r="F286" s="41" t="s">
        <v>30</v>
      </c>
      <c r="G286" s="41" t="s">
        <v>27</v>
      </c>
      <c r="H286" s="41" t="s">
        <v>18</v>
      </c>
      <c r="I286" s="42">
        <v>45196.0</v>
      </c>
      <c r="J286" s="41">
        <v>353.0</v>
      </c>
      <c r="K286" s="43">
        <v>435.28</v>
      </c>
      <c r="L286" s="43">
        <v>68.42</v>
      </c>
      <c r="M286" s="43">
        <v>153653.84</v>
      </c>
      <c r="N286" s="43">
        <v>24152.260000000002</v>
      </c>
      <c r="O286" s="43">
        <v>129501.57999999999</v>
      </c>
      <c r="P286" s="44">
        <v>0.8428138209887888</v>
      </c>
    </row>
    <row r="287" ht="14.25" customHeight="1">
      <c r="C287" s="41" t="s">
        <v>303</v>
      </c>
      <c r="D287" s="41" t="s">
        <v>52</v>
      </c>
      <c r="E287" s="41" t="s">
        <v>34</v>
      </c>
      <c r="F287" s="41" t="s">
        <v>30</v>
      </c>
      <c r="G287" s="41" t="s">
        <v>27</v>
      </c>
      <c r="H287" s="41" t="s">
        <v>18</v>
      </c>
      <c r="I287" s="42">
        <v>45197.0</v>
      </c>
      <c r="J287" s="41">
        <v>81.0</v>
      </c>
      <c r="K287" s="43">
        <v>239.08</v>
      </c>
      <c r="L287" s="43">
        <v>74.17</v>
      </c>
      <c r="M287" s="43">
        <v>19365.48</v>
      </c>
      <c r="N287" s="43">
        <v>6007.77</v>
      </c>
      <c r="O287" s="43">
        <v>13357.71</v>
      </c>
      <c r="P287" s="44">
        <v>0.6897691149406057</v>
      </c>
    </row>
    <row r="288" ht="14.25" customHeight="1">
      <c r="C288" s="41" t="s">
        <v>304</v>
      </c>
      <c r="D288" s="41" t="s">
        <v>20</v>
      </c>
      <c r="E288" s="41" t="s">
        <v>15</v>
      </c>
      <c r="F288" s="41" t="s">
        <v>26</v>
      </c>
      <c r="G288" s="41" t="s">
        <v>27</v>
      </c>
      <c r="H288" s="41" t="s">
        <v>18</v>
      </c>
      <c r="I288" s="42">
        <v>45198.0</v>
      </c>
      <c r="J288" s="41">
        <v>404.0</v>
      </c>
      <c r="K288" s="43">
        <v>270.0</v>
      </c>
      <c r="L288" s="43">
        <v>156.29</v>
      </c>
      <c r="M288" s="43">
        <v>109080.0</v>
      </c>
      <c r="N288" s="43">
        <v>63141.159999999996</v>
      </c>
      <c r="O288" s="43">
        <v>45938.840000000004</v>
      </c>
      <c r="P288" s="44">
        <v>0.42114814814814816</v>
      </c>
    </row>
    <row r="289" ht="14.25" customHeight="1">
      <c r="C289" s="41" t="s">
        <v>305</v>
      </c>
      <c r="D289" s="41" t="s">
        <v>20</v>
      </c>
      <c r="E289" s="41" t="s">
        <v>29</v>
      </c>
      <c r="F289" s="41" t="s">
        <v>26</v>
      </c>
      <c r="G289" s="41" t="s">
        <v>27</v>
      </c>
      <c r="H289" s="41" t="s">
        <v>18</v>
      </c>
      <c r="I289" s="42">
        <v>45199.0</v>
      </c>
      <c r="J289" s="41">
        <v>73.0</v>
      </c>
      <c r="K289" s="43">
        <v>93.33</v>
      </c>
      <c r="L289" s="43">
        <v>162.13</v>
      </c>
      <c r="M289" s="43">
        <v>6813.09</v>
      </c>
      <c r="N289" s="43">
        <v>11835.49</v>
      </c>
      <c r="O289" s="43">
        <v>-5022.4</v>
      </c>
      <c r="P289" s="44">
        <v>-0.7371691846137362</v>
      </c>
    </row>
    <row r="290" ht="14.25" customHeight="1">
      <c r="C290" s="41" t="s">
        <v>306</v>
      </c>
      <c r="D290" s="41" t="s">
        <v>20</v>
      </c>
      <c r="E290" s="41" t="s">
        <v>21</v>
      </c>
      <c r="F290" s="41" t="s">
        <v>16</v>
      </c>
      <c r="G290" s="41" t="s">
        <v>17</v>
      </c>
      <c r="H290" s="41" t="s">
        <v>31</v>
      </c>
      <c r="I290" s="42">
        <v>45200.0</v>
      </c>
      <c r="J290" s="41">
        <v>214.0</v>
      </c>
      <c r="K290" s="43">
        <v>159.57</v>
      </c>
      <c r="L290" s="43">
        <v>349.96</v>
      </c>
      <c r="M290" s="43">
        <v>34147.979999999996</v>
      </c>
      <c r="N290" s="43">
        <v>74891.44</v>
      </c>
      <c r="O290" s="43">
        <v>-40743.46000000001</v>
      </c>
      <c r="P290" s="44">
        <v>-1.1931440747007587</v>
      </c>
    </row>
    <row r="291" ht="14.25" customHeight="1">
      <c r="C291" s="41" t="s">
        <v>307</v>
      </c>
      <c r="D291" s="41" t="s">
        <v>25</v>
      </c>
      <c r="E291" s="41" t="s">
        <v>54</v>
      </c>
      <c r="F291" s="41" t="s">
        <v>16</v>
      </c>
      <c r="G291" s="41" t="s">
        <v>27</v>
      </c>
      <c r="H291" s="41" t="s">
        <v>23</v>
      </c>
      <c r="I291" s="42">
        <v>45201.0</v>
      </c>
      <c r="J291" s="41">
        <v>218.0</v>
      </c>
      <c r="K291" s="43">
        <v>118.97</v>
      </c>
      <c r="L291" s="43">
        <v>205.02</v>
      </c>
      <c r="M291" s="43">
        <v>25935.46</v>
      </c>
      <c r="N291" s="43">
        <v>44694.36</v>
      </c>
      <c r="O291" s="43">
        <v>-18758.9</v>
      </c>
      <c r="P291" s="44">
        <v>-0.7232915861141465</v>
      </c>
    </row>
    <row r="292" ht="14.25" customHeight="1">
      <c r="C292" s="41" t="s">
        <v>308</v>
      </c>
      <c r="D292" s="41" t="s">
        <v>20</v>
      </c>
      <c r="E292" s="41" t="s">
        <v>15</v>
      </c>
      <c r="F292" s="41" t="s">
        <v>46</v>
      </c>
      <c r="G292" s="41" t="s">
        <v>27</v>
      </c>
      <c r="H292" s="41" t="s">
        <v>18</v>
      </c>
      <c r="I292" s="42">
        <v>45202.0</v>
      </c>
      <c r="J292" s="41">
        <v>81.0</v>
      </c>
      <c r="K292" s="43">
        <v>107.06</v>
      </c>
      <c r="L292" s="43">
        <v>289.92</v>
      </c>
      <c r="M292" s="43">
        <v>8671.86</v>
      </c>
      <c r="N292" s="43">
        <v>23483.52</v>
      </c>
      <c r="O292" s="43">
        <v>-14811.66</v>
      </c>
      <c r="P292" s="44">
        <v>-1.7080141976461796</v>
      </c>
    </row>
    <row r="293" ht="14.25" customHeight="1">
      <c r="C293" s="41" t="s">
        <v>309</v>
      </c>
      <c r="D293" s="41" t="s">
        <v>25</v>
      </c>
      <c r="E293" s="41" t="s">
        <v>21</v>
      </c>
      <c r="F293" s="41" t="s">
        <v>46</v>
      </c>
      <c r="G293" s="41" t="s">
        <v>27</v>
      </c>
      <c r="H293" s="41" t="s">
        <v>23</v>
      </c>
      <c r="I293" s="42">
        <v>45203.0</v>
      </c>
      <c r="J293" s="41">
        <v>286.0</v>
      </c>
      <c r="K293" s="43">
        <v>320.79</v>
      </c>
      <c r="L293" s="43">
        <v>43.45</v>
      </c>
      <c r="M293" s="43">
        <v>91745.94</v>
      </c>
      <c r="N293" s="43">
        <v>12426.7</v>
      </c>
      <c r="O293" s="43">
        <v>79319.24</v>
      </c>
      <c r="P293" s="44">
        <v>0.8645531344493282</v>
      </c>
    </row>
    <row r="294" ht="14.25" customHeight="1">
      <c r="C294" s="41" t="s">
        <v>310</v>
      </c>
      <c r="D294" s="41" t="s">
        <v>52</v>
      </c>
      <c r="E294" s="41" t="s">
        <v>54</v>
      </c>
      <c r="F294" s="41" t="s">
        <v>16</v>
      </c>
      <c r="G294" s="41" t="s">
        <v>17</v>
      </c>
      <c r="H294" s="41" t="s">
        <v>18</v>
      </c>
      <c r="I294" s="42">
        <v>45204.0</v>
      </c>
      <c r="J294" s="41">
        <v>283.0</v>
      </c>
      <c r="K294" s="43">
        <v>132.16</v>
      </c>
      <c r="L294" s="43">
        <v>91.72</v>
      </c>
      <c r="M294" s="43">
        <v>37401.28</v>
      </c>
      <c r="N294" s="43">
        <v>25956.76</v>
      </c>
      <c r="O294" s="43">
        <v>11444.52</v>
      </c>
      <c r="P294" s="44">
        <v>0.30599273607748184</v>
      </c>
    </row>
    <row r="295" ht="14.25" customHeight="1">
      <c r="C295" s="41" t="s">
        <v>311</v>
      </c>
      <c r="D295" s="41" t="s">
        <v>25</v>
      </c>
      <c r="E295" s="41" t="s">
        <v>21</v>
      </c>
      <c r="F295" s="41" t="s">
        <v>16</v>
      </c>
      <c r="G295" s="41" t="s">
        <v>17</v>
      </c>
      <c r="H295" s="41" t="s">
        <v>18</v>
      </c>
      <c r="I295" s="42">
        <v>45205.0</v>
      </c>
      <c r="J295" s="41">
        <v>487.0</v>
      </c>
      <c r="K295" s="43">
        <v>317.85</v>
      </c>
      <c r="L295" s="43">
        <v>281.77</v>
      </c>
      <c r="M295" s="43">
        <v>154792.95</v>
      </c>
      <c r="N295" s="43">
        <v>137221.99</v>
      </c>
      <c r="O295" s="43">
        <v>17570.96000000002</v>
      </c>
      <c r="P295" s="44">
        <v>0.11351266320591487</v>
      </c>
    </row>
    <row r="296" ht="14.25" customHeight="1">
      <c r="C296" s="41" t="s">
        <v>312</v>
      </c>
      <c r="D296" s="41" t="s">
        <v>52</v>
      </c>
      <c r="E296" s="41" t="s">
        <v>34</v>
      </c>
      <c r="F296" s="41" t="s">
        <v>22</v>
      </c>
      <c r="G296" s="41" t="s">
        <v>27</v>
      </c>
      <c r="H296" s="41" t="s">
        <v>23</v>
      </c>
      <c r="I296" s="42">
        <v>45206.0</v>
      </c>
      <c r="J296" s="41">
        <v>329.0</v>
      </c>
      <c r="K296" s="43">
        <v>33.94</v>
      </c>
      <c r="L296" s="43">
        <v>23.02</v>
      </c>
      <c r="M296" s="43">
        <v>11166.259999999998</v>
      </c>
      <c r="N296" s="43">
        <v>7573.58</v>
      </c>
      <c r="O296" s="43">
        <v>3592.6799999999985</v>
      </c>
      <c r="P296" s="44">
        <v>0.32174425456688266</v>
      </c>
    </row>
    <row r="297" ht="14.25" customHeight="1">
      <c r="C297" s="41" t="s">
        <v>313</v>
      </c>
      <c r="D297" s="41" t="s">
        <v>20</v>
      </c>
      <c r="E297" s="41" t="s">
        <v>21</v>
      </c>
      <c r="F297" s="41" t="s">
        <v>26</v>
      </c>
      <c r="G297" s="41" t="s">
        <v>17</v>
      </c>
      <c r="H297" s="41" t="s">
        <v>31</v>
      </c>
      <c r="I297" s="42">
        <v>45207.0</v>
      </c>
      <c r="J297" s="41">
        <v>347.0</v>
      </c>
      <c r="K297" s="43">
        <v>75.18</v>
      </c>
      <c r="L297" s="43">
        <v>195.67</v>
      </c>
      <c r="M297" s="43">
        <v>26087.460000000003</v>
      </c>
      <c r="N297" s="43">
        <v>67897.48999999999</v>
      </c>
      <c r="O297" s="43">
        <v>-41810.029999999984</v>
      </c>
      <c r="P297" s="44">
        <v>-1.602686884809789</v>
      </c>
    </row>
    <row r="298" ht="14.25" customHeight="1">
      <c r="C298" s="41" t="s">
        <v>314</v>
      </c>
      <c r="D298" s="41" t="s">
        <v>20</v>
      </c>
      <c r="E298" s="41" t="s">
        <v>21</v>
      </c>
      <c r="F298" s="41" t="s">
        <v>46</v>
      </c>
      <c r="G298" s="41" t="s">
        <v>27</v>
      </c>
      <c r="H298" s="41" t="s">
        <v>18</v>
      </c>
      <c r="I298" s="42">
        <v>45208.0</v>
      </c>
      <c r="J298" s="41">
        <v>375.0</v>
      </c>
      <c r="K298" s="43">
        <v>140.9</v>
      </c>
      <c r="L298" s="43">
        <v>240.55</v>
      </c>
      <c r="M298" s="43">
        <v>52837.5</v>
      </c>
      <c r="N298" s="43">
        <v>90206.25</v>
      </c>
      <c r="O298" s="43">
        <v>-37368.75</v>
      </c>
      <c r="P298" s="44">
        <v>-0.7072391767210788</v>
      </c>
    </row>
    <row r="299" ht="14.25" customHeight="1">
      <c r="C299" s="41" t="s">
        <v>315</v>
      </c>
      <c r="D299" s="41" t="s">
        <v>52</v>
      </c>
      <c r="E299" s="41" t="s">
        <v>21</v>
      </c>
      <c r="F299" s="41" t="s">
        <v>26</v>
      </c>
      <c r="G299" s="41" t="s">
        <v>17</v>
      </c>
      <c r="H299" s="41" t="s">
        <v>18</v>
      </c>
      <c r="I299" s="42">
        <v>45209.0</v>
      </c>
      <c r="J299" s="41">
        <v>104.0</v>
      </c>
      <c r="K299" s="43">
        <v>300.54</v>
      </c>
      <c r="L299" s="43">
        <v>241.65</v>
      </c>
      <c r="M299" s="43">
        <v>31256.160000000003</v>
      </c>
      <c r="N299" s="43">
        <v>25131.600000000002</v>
      </c>
      <c r="O299" s="43">
        <v>6124.560000000001</v>
      </c>
      <c r="P299" s="44">
        <v>0.1959472948692354</v>
      </c>
    </row>
    <row r="300" ht="14.25" customHeight="1">
      <c r="C300" s="41" t="s">
        <v>316</v>
      </c>
      <c r="D300" s="41" t="s">
        <v>14</v>
      </c>
      <c r="E300" s="41" t="s">
        <v>15</v>
      </c>
      <c r="F300" s="41" t="s">
        <v>39</v>
      </c>
      <c r="G300" s="41" t="s">
        <v>17</v>
      </c>
      <c r="H300" s="41" t="s">
        <v>18</v>
      </c>
      <c r="I300" s="42">
        <v>45210.0</v>
      </c>
      <c r="J300" s="41">
        <v>175.0</v>
      </c>
      <c r="K300" s="43">
        <v>339.54</v>
      </c>
      <c r="L300" s="43">
        <v>11.13</v>
      </c>
      <c r="M300" s="43">
        <v>59419.5</v>
      </c>
      <c r="N300" s="43">
        <v>1947.7500000000002</v>
      </c>
      <c r="O300" s="43">
        <v>57471.75</v>
      </c>
      <c r="P300" s="44">
        <v>0.9672203569535254</v>
      </c>
    </row>
    <row r="301" ht="14.25" customHeight="1">
      <c r="C301" s="41" t="s">
        <v>317</v>
      </c>
      <c r="D301" s="41" t="s">
        <v>52</v>
      </c>
      <c r="E301" s="41" t="s">
        <v>21</v>
      </c>
      <c r="F301" s="41" t="s">
        <v>16</v>
      </c>
      <c r="G301" s="41" t="s">
        <v>17</v>
      </c>
      <c r="H301" s="41" t="s">
        <v>23</v>
      </c>
      <c r="I301" s="42">
        <v>45211.0</v>
      </c>
      <c r="J301" s="41">
        <v>41.0</v>
      </c>
      <c r="K301" s="43">
        <v>224.14</v>
      </c>
      <c r="L301" s="43">
        <v>130.2</v>
      </c>
      <c r="M301" s="43">
        <v>9189.74</v>
      </c>
      <c r="N301" s="43">
        <v>5338.2</v>
      </c>
      <c r="O301" s="43">
        <v>3851.54</v>
      </c>
      <c r="P301" s="44">
        <v>0.41911305434103685</v>
      </c>
    </row>
    <row r="302" ht="14.25" customHeight="1">
      <c r="C302" s="41" t="s">
        <v>318</v>
      </c>
      <c r="D302" s="41" t="s">
        <v>14</v>
      </c>
      <c r="E302" s="41" t="s">
        <v>54</v>
      </c>
      <c r="F302" s="41" t="s">
        <v>22</v>
      </c>
      <c r="G302" s="41" t="s">
        <v>17</v>
      </c>
      <c r="H302" s="41" t="s">
        <v>31</v>
      </c>
      <c r="I302" s="42">
        <v>45212.0</v>
      </c>
      <c r="J302" s="41">
        <v>20.0</v>
      </c>
      <c r="K302" s="43">
        <v>225.67</v>
      </c>
      <c r="L302" s="43">
        <v>255.32</v>
      </c>
      <c r="M302" s="43">
        <v>4513.4</v>
      </c>
      <c r="N302" s="43">
        <v>5106.4</v>
      </c>
      <c r="O302" s="43">
        <v>-593.0</v>
      </c>
      <c r="P302" s="44">
        <v>-0.13138653786502416</v>
      </c>
    </row>
    <row r="303" ht="14.25" customHeight="1">
      <c r="C303" s="41" t="s">
        <v>319</v>
      </c>
      <c r="D303" s="41" t="s">
        <v>25</v>
      </c>
      <c r="E303" s="41" t="s">
        <v>34</v>
      </c>
      <c r="F303" s="41" t="s">
        <v>30</v>
      </c>
      <c r="G303" s="41" t="s">
        <v>27</v>
      </c>
      <c r="H303" s="41" t="s">
        <v>23</v>
      </c>
      <c r="I303" s="42">
        <v>45213.0</v>
      </c>
      <c r="J303" s="41">
        <v>310.0</v>
      </c>
      <c r="K303" s="43">
        <v>363.64</v>
      </c>
      <c r="L303" s="43">
        <v>61.3</v>
      </c>
      <c r="M303" s="43">
        <v>112728.4</v>
      </c>
      <c r="N303" s="43">
        <v>19003.0</v>
      </c>
      <c r="O303" s="43">
        <v>93725.4</v>
      </c>
      <c r="P303" s="44">
        <v>0.8314266857331427</v>
      </c>
    </row>
    <row r="304" ht="14.25" customHeight="1">
      <c r="C304" s="41" t="s">
        <v>320</v>
      </c>
      <c r="D304" s="41" t="s">
        <v>25</v>
      </c>
      <c r="E304" s="41" t="s">
        <v>34</v>
      </c>
      <c r="F304" s="41" t="s">
        <v>22</v>
      </c>
      <c r="G304" s="41" t="s">
        <v>27</v>
      </c>
      <c r="H304" s="41" t="s">
        <v>23</v>
      </c>
      <c r="I304" s="42">
        <v>45214.0</v>
      </c>
      <c r="J304" s="41">
        <v>226.0</v>
      </c>
      <c r="K304" s="43">
        <v>249.64520588235297</v>
      </c>
      <c r="L304" s="43">
        <v>278.78</v>
      </c>
      <c r="M304" s="43">
        <v>56419.81652941177</v>
      </c>
      <c r="N304" s="43">
        <v>63004.27999999999</v>
      </c>
      <c r="O304" s="43">
        <v>-6584.46347058822</v>
      </c>
      <c r="P304" s="44">
        <v>-0.11670480117842505</v>
      </c>
    </row>
    <row r="305" ht="14.25" customHeight="1">
      <c r="C305" s="41" t="s">
        <v>321</v>
      </c>
      <c r="D305" s="41" t="s">
        <v>25</v>
      </c>
      <c r="E305" s="41" t="s">
        <v>21</v>
      </c>
      <c r="F305" s="41" t="s">
        <v>22</v>
      </c>
      <c r="G305" s="41" t="s">
        <v>27</v>
      </c>
      <c r="H305" s="41" t="s">
        <v>31</v>
      </c>
      <c r="I305" s="42">
        <v>45215.0</v>
      </c>
      <c r="J305" s="41">
        <v>255.9029411764706</v>
      </c>
      <c r="K305" s="43">
        <v>173.84</v>
      </c>
      <c r="L305" s="43">
        <v>298.88</v>
      </c>
      <c r="M305" s="43">
        <v>44486.16729411765</v>
      </c>
      <c r="N305" s="43">
        <v>76484.27105882353</v>
      </c>
      <c r="O305" s="43">
        <v>-31998.103764705884</v>
      </c>
      <c r="P305" s="44">
        <v>-0.7192820984813622</v>
      </c>
    </row>
    <row r="306" ht="14.25" customHeight="1">
      <c r="C306" s="41" t="s">
        <v>322</v>
      </c>
      <c r="D306" s="41" t="s">
        <v>20</v>
      </c>
      <c r="E306" s="41" t="s">
        <v>15</v>
      </c>
      <c r="F306" s="41" t="s">
        <v>26</v>
      </c>
      <c r="G306" s="41" t="s">
        <v>17</v>
      </c>
      <c r="H306" s="41" t="s">
        <v>23</v>
      </c>
      <c r="I306" s="42">
        <v>45216.0</v>
      </c>
      <c r="J306" s="41">
        <v>111.0</v>
      </c>
      <c r="K306" s="43">
        <v>410.26</v>
      </c>
      <c r="L306" s="43">
        <v>392.82</v>
      </c>
      <c r="M306" s="43">
        <v>45538.86</v>
      </c>
      <c r="N306" s="43">
        <v>43603.02</v>
      </c>
      <c r="O306" s="43">
        <v>1935.8400000000038</v>
      </c>
      <c r="P306" s="44">
        <v>0.04250962804075473</v>
      </c>
    </row>
    <row r="307" ht="14.25" customHeight="1">
      <c r="C307" s="41" t="s">
        <v>323</v>
      </c>
      <c r="D307" s="41" t="s">
        <v>25</v>
      </c>
      <c r="E307" s="41" t="s">
        <v>15</v>
      </c>
      <c r="F307" s="41" t="s">
        <v>22</v>
      </c>
      <c r="G307" s="41" t="s">
        <v>27</v>
      </c>
      <c r="H307" s="41" t="s">
        <v>31</v>
      </c>
      <c r="I307" s="42">
        <v>45217.0</v>
      </c>
      <c r="J307" s="41">
        <v>434.0</v>
      </c>
      <c r="K307" s="43">
        <v>303.59</v>
      </c>
      <c r="L307" s="43">
        <v>85.52</v>
      </c>
      <c r="M307" s="43">
        <v>131758.06</v>
      </c>
      <c r="N307" s="43">
        <v>37115.68</v>
      </c>
      <c r="O307" s="43">
        <v>94642.38</v>
      </c>
      <c r="P307" s="44">
        <v>0.7183042919727264</v>
      </c>
    </row>
    <row r="308" ht="14.25" customHeight="1">
      <c r="C308" s="41" t="s">
        <v>324</v>
      </c>
      <c r="D308" s="41" t="s">
        <v>14</v>
      </c>
      <c r="E308" s="41" t="s">
        <v>54</v>
      </c>
      <c r="F308" s="41" t="s">
        <v>46</v>
      </c>
      <c r="G308" s="41" t="s">
        <v>27</v>
      </c>
      <c r="H308" s="41" t="s">
        <v>18</v>
      </c>
      <c r="I308" s="42">
        <v>45218.0</v>
      </c>
      <c r="J308" s="41">
        <v>401.0</v>
      </c>
      <c r="K308" s="43">
        <v>171.93</v>
      </c>
      <c r="L308" s="43">
        <v>330.4</v>
      </c>
      <c r="M308" s="43">
        <v>68943.93000000001</v>
      </c>
      <c r="N308" s="43">
        <v>132490.4</v>
      </c>
      <c r="O308" s="43">
        <v>-63546.46999999999</v>
      </c>
      <c r="P308" s="44">
        <v>-0.9217123247833418</v>
      </c>
    </row>
    <row r="309" ht="14.25" customHeight="1">
      <c r="C309" s="41" t="s">
        <v>325</v>
      </c>
      <c r="D309" s="41" t="s">
        <v>25</v>
      </c>
      <c r="E309" s="41" t="s">
        <v>21</v>
      </c>
      <c r="F309" s="41" t="s">
        <v>26</v>
      </c>
      <c r="G309" s="41" t="s">
        <v>27</v>
      </c>
      <c r="H309" s="41" t="s">
        <v>31</v>
      </c>
      <c r="I309" s="42">
        <v>45219.0</v>
      </c>
      <c r="J309" s="41">
        <v>276.0</v>
      </c>
      <c r="K309" s="43">
        <v>453.23</v>
      </c>
      <c r="L309" s="43">
        <v>209.08</v>
      </c>
      <c r="M309" s="43">
        <v>125091.48000000001</v>
      </c>
      <c r="N309" s="43">
        <v>57706.08</v>
      </c>
      <c r="O309" s="43">
        <v>67385.40000000001</v>
      </c>
      <c r="P309" s="44">
        <v>0.5386889658672197</v>
      </c>
    </row>
    <row r="310" ht="14.25" customHeight="1">
      <c r="C310" s="41" t="s">
        <v>326</v>
      </c>
      <c r="D310" s="41" t="s">
        <v>52</v>
      </c>
      <c r="E310" s="41" t="s">
        <v>34</v>
      </c>
      <c r="F310" s="41" t="s">
        <v>46</v>
      </c>
      <c r="G310" s="41" t="s">
        <v>17</v>
      </c>
      <c r="H310" s="41" t="s">
        <v>18</v>
      </c>
      <c r="I310" s="42">
        <v>45220.0</v>
      </c>
      <c r="J310" s="41">
        <v>255.9029411764706</v>
      </c>
      <c r="K310" s="43">
        <v>387.45</v>
      </c>
      <c r="L310" s="43">
        <v>150.64</v>
      </c>
      <c r="M310" s="43">
        <v>99149.59455882353</v>
      </c>
      <c r="N310" s="43">
        <v>38549.219058823524</v>
      </c>
      <c r="O310" s="43">
        <v>60600.37550000001</v>
      </c>
      <c r="P310" s="44">
        <v>0.6112014453477869</v>
      </c>
    </row>
    <row r="311" ht="14.25" customHeight="1">
      <c r="C311" s="41" t="s">
        <v>327</v>
      </c>
      <c r="D311" s="41" t="s">
        <v>52</v>
      </c>
      <c r="E311" s="41" t="s">
        <v>15</v>
      </c>
      <c r="F311" s="41" t="s">
        <v>30</v>
      </c>
      <c r="G311" s="41" t="s">
        <v>17</v>
      </c>
      <c r="H311" s="41" t="s">
        <v>23</v>
      </c>
      <c r="I311" s="42">
        <v>45221.0</v>
      </c>
      <c r="J311" s="41">
        <v>188.0</v>
      </c>
      <c r="K311" s="43">
        <v>136.12</v>
      </c>
      <c r="L311" s="43">
        <v>50.71</v>
      </c>
      <c r="M311" s="43">
        <v>25590.56</v>
      </c>
      <c r="N311" s="43">
        <v>9533.48</v>
      </c>
      <c r="O311" s="43">
        <v>16057.080000000002</v>
      </c>
      <c r="P311" s="44">
        <v>0.6274610637672642</v>
      </c>
    </row>
    <row r="312" ht="14.25" customHeight="1">
      <c r="C312" s="41" t="s">
        <v>328</v>
      </c>
      <c r="D312" s="41" t="s">
        <v>20</v>
      </c>
      <c r="E312" s="41" t="s">
        <v>21</v>
      </c>
      <c r="F312" s="41" t="s">
        <v>26</v>
      </c>
      <c r="G312" s="41" t="s">
        <v>17</v>
      </c>
      <c r="H312" s="41" t="s">
        <v>23</v>
      </c>
      <c r="I312" s="42">
        <v>45222.0</v>
      </c>
      <c r="J312" s="41">
        <v>97.0</v>
      </c>
      <c r="K312" s="43">
        <v>324.42</v>
      </c>
      <c r="L312" s="43">
        <v>294.73</v>
      </c>
      <c r="M312" s="43">
        <v>31468.74</v>
      </c>
      <c r="N312" s="43">
        <v>28588.81</v>
      </c>
      <c r="O312" s="43">
        <v>2879.9300000000003</v>
      </c>
      <c r="P312" s="44">
        <v>0.09151716910178165</v>
      </c>
    </row>
    <row r="313" ht="14.25" customHeight="1">
      <c r="C313" s="41" t="s">
        <v>329</v>
      </c>
      <c r="D313" s="41" t="s">
        <v>52</v>
      </c>
      <c r="E313" s="41" t="s">
        <v>15</v>
      </c>
      <c r="F313" s="41" t="s">
        <v>30</v>
      </c>
      <c r="G313" s="41" t="s">
        <v>27</v>
      </c>
      <c r="H313" s="41" t="s">
        <v>18</v>
      </c>
      <c r="I313" s="42">
        <v>45223.0</v>
      </c>
      <c r="J313" s="41">
        <v>50.0</v>
      </c>
      <c r="K313" s="43">
        <v>299.9</v>
      </c>
      <c r="L313" s="43">
        <v>95.87</v>
      </c>
      <c r="M313" s="43">
        <v>14994.999999999998</v>
      </c>
      <c r="N313" s="43">
        <v>4793.5</v>
      </c>
      <c r="O313" s="43">
        <v>10201.499999999998</v>
      </c>
      <c r="P313" s="44">
        <v>0.6803267755918639</v>
      </c>
    </row>
    <row r="314" ht="14.25" customHeight="1">
      <c r="C314" s="41" t="s">
        <v>330</v>
      </c>
      <c r="D314" s="41" t="s">
        <v>14</v>
      </c>
      <c r="E314" s="41" t="s">
        <v>15</v>
      </c>
      <c r="F314" s="41" t="s">
        <v>26</v>
      </c>
      <c r="G314" s="41" t="s">
        <v>27</v>
      </c>
      <c r="H314" s="41" t="s">
        <v>23</v>
      </c>
      <c r="I314" s="42">
        <v>45224.0</v>
      </c>
      <c r="J314" s="41">
        <v>410.0</v>
      </c>
      <c r="K314" s="43">
        <v>203.59</v>
      </c>
      <c r="L314" s="43">
        <v>149.83</v>
      </c>
      <c r="M314" s="43">
        <v>83471.9</v>
      </c>
      <c r="N314" s="43">
        <v>61430.3</v>
      </c>
      <c r="O314" s="43">
        <v>22041.59999999999</v>
      </c>
      <c r="P314" s="44">
        <v>0.264060120831082</v>
      </c>
    </row>
    <row r="315" ht="14.25" customHeight="1">
      <c r="C315" s="41" t="s">
        <v>331</v>
      </c>
      <c r="D315" s="41" t="s">
        <v>25</v>
      </c>
      <c r="E315" s="41" t="s">
        <v>34</v>
      </c>
      <c r="F315" s="41" t="s">
        <v>16</v>
      </c>
      <c r="G315" s="41" t="s">
        <v>27</v>
      </c>
      <c r="H315" s="41" t="s">
        <v>31</v>
      </c>
      <c r="I315" s="42">
        <v>45225.0</v>
      </c>
      <c r="J315" s="41">
        <v>85.0</v>
      </c>
      <c r="K315" s="43">
        <v>186.64</v>
      </c>
      <c r="L315" s="43">
        <v>26.89</v>
      </c>
      <c r="M315" s="43">
        <v>15864.4</v>
      </c>
      <c r="N315" s="43">
        <v>2285.65</v>
      </c>
      <c r="O315" s="43">
        <v>13578.75</v>
      </c>
      <c r="P315" s="44">
        <v>0.8559258465495071</v>
      </c>
    </row>
    <row r="316" ht="14.25" customHeight="1">
      <c r="C316" s="41" t="s">
        <v>332</v>
      </c>
      <c r="D316" s="41" t="s">
        <v>20</v>
      </c>
      <c r="E316" s="41" t="s">
        <v>29</v>
      </c>
      <c r="F316" s="41" t="s">
        <v>22</v>
      </c>
      <c r="G316" s="41" t="s">
        <v>17</v>
      </c>
      <c r="H316" s="41" t="s">
        <v>18</v>
      </c>
      <c r="I316" s="42">
        <v>45226.0</v>
      </c>
      <c r="J316" s="41">
        <v>386.0</v>
      </c>
      <c r="K316" s="43">
        <v>175.06</v>
      </c>
      <c r="L316" s="43">
        <v>320.94</v>
      </c>
      <c r="M316" s="43">
        <v>67573.16</v>
      </c>
      <c r="N316" s="43">
        <v>123882.84</v>
      </c>
      <c r="O316" s="43">
        <v>-56309.67999999999</v>
      </c>
      <c r="P316" s="44">
        <v>-0.8333142922426595</v>
      </c>
    </row>
    <row r="317" ht="14.25" customHeight="1">
      <c r="C317" s="41" t="s">
        <v>333</v>
      </c>
      <c r="D317" s="41" t="s">
        <v>25</v>
      </c>
      <c r="E317" s="41" t="s">
        <v>54</v>
      </c>
      <c r="F317" s="41" t="s">
        <v>16</v>
      </c>
      <c r="G317" s="41" t="s">
        <v>17</v>
      </c>
      <c r="H317" s="41" t="s">
        <v>23</v>
      </c>
      <c r="I317" s="42">
        <v>45227.0</v>
      </c>
      <c r="J317" s="41">
        <v>55.0</v>
      </c>
      <c r="K317" s="43">
        <v>310.49</v>
      </c>
      <c r="L317" s="43">
        <v>307.1</v>
      </c>
      <c r="M317" s="43">
        <v>17076.95</v>
      </c>
      <c r="N317" s="43">
        <v>16890.5</v>
      </c>
      <c r="O317" s="43">
        <v>186.45000000000073</v>
      </c>
      <c r="P317" s="44">
        <v>0.010918226029823869</v>
      </c>
    </row>
    <row r="318" ht="14.25" customHeight="1">
      <c r="C318" s="41" t="s">
        <v>334</v>
      </c>
      <c r="D318" s="41" t="s">
        <v>25</v>
      </c>
      <c r="E318" s="41" t="s">
        <v>54</v>
      </c>
      <c r="F318" s="41" t="s">
        <v>30</v>
      </c>
      <c r="G318" s="41" t="s">
        <v>27</v>
      </c>
      <c r="H318" s="41" t="s">
        <v>18</v>
      </c>
      <c r="I318" s="42">
        <v>45228.0</v>
      </c>
      <c r="J318" s="41">
        <v>169.0</v>
      </c>
      <c r="K318" s="43">
        <v>223.99</v>
      </c>
      <c r="L318" s="43">
        <v>293.98</v>
      </c>
      <c r="M318" s="43">
        <v>37854.310000000005</v>
      </c>
      <c r="N318" s="43">
        <v>49682.62</v>
      </c>
      <c r="O318" s="43">
        <v>-11828.309999999998</v>
      </c>
      <c r="P318" s="44">
        <v>-0.312469306665476</v>
      </c>
    </row>
    <row r="319" ht="14.25" customHeight="1">
      <c r="C319" s="41" t="s">
        <v>335</v>
      </c>
      <c r="D319" s="41" t="s">
        <v>14</v>
      </c>
      <c r="E319" s="41" t="s">
        <v>34</v>
      </c>
      <c r="F319" s="41" t="s">
        <v>22</v>
      </c>
      <c r="G319" s="41" t="s">
        <v>17</v>
      </c>
      <c r="H319" s="41" t="s">
        <v>31</v>
      </c>
      <c r="I319" s="42">
        <v>45229.0</v>
      </c>
      <c r="J319" s="41">
        <v>472.0</v>
      </c>
      <c r="K319" s="43">
        <v>416.77</v>
      </c>
      <c r="L319" s="43">
        <v>121.18</v>
      </c>
      <c r="M319" s="43">
        <v>196715.44</v>
      </c>
      <c r="N319" s="43">
        <v>57196.96000000001</v>
      </c>
      <c r="O319" s="43">
        <v>139518.47999999998</v>
      </c>
      <c r="P319" s="44">
        <v>0.7092401084531035</v>
      </c>
    </row>
    <row r="320" ht="14.25" customHeight="1">
      <c r="C320" s="41" t="s">
        <v>336</v>
      </c>
      <c r="D320" s="41" t="s">
        <v>52</v>
      </c>
      <c r="E320" s="41" t="s">
        <v>15</v>
      </c>
      <c r="F320" s="41" t="s">
        <v>26</v>
      </c>
      <c r="G320" s="41" t="s">
        <v>17</v>
      </c>
      <c r="H320" s="41" t="s">
        <v>31</v>
      </c>
      <c r="I320" s="42">
        <v>45230.0</v>
      </c>
      <c r="J320" s="41">
        <v>89.0</v>
      </c>
      <c r="K320" s="43">
        <v>336.45</v>
      </c>
      <c r="L320" s="43">
        <v>71.05</v>
      </c>
      <c r="M320" s="43">
        <v>29944.05</v>
      </c>
      <c r="N320" s="43">
        <v>6323.45</v>
      </c>
      <c r="O320" s="43">
        <v>23620.6</v>
      </c>
      <c r="P320" s="44">
        <v>0.7888244910090653</v>
      </c>
    </row>
    <row r="321" ht="14.25" customHeight="1">
      <c r="C321" s="41" t="s">
        <v>337</v>
      </c>
      <c r="D321" s="41" t="s">
        <v>52</v>
      </c>
      <c r="E321" s="41" t="s">
        <v>21</v>
      </c>
      <c r="F321" s="41" t="s">
        <v>22</v>
      </c>
      <c r="G321" s="41" t="s">
        <v>17</v>
      </c>
      <c r="H321" s="41" t="s">
        <v>23</v>
      </c>
      <c r="I321" s="42">
        <v>45231.0</v>
      </c>
      <c r="J321" s="41">
        <v>319.0</v>
      </c>
      <c r="K321" s="43">
        <v>39.62</v>
      </c>
      <c r="L321" s="43">
        <v>255.75</v>
      </c>
      <c r="M321" s="43">
        <v>12638.779999999999</v>
      </c>
      <c r="N321" s="43">
        <v>81584.25</v>
      </c>
      <c r="O321" s="43">
        <v>-68945.47</v>
      </c>
      <c r="P321" s="44">
        <v>-5.455073195355881</v>
      </c>
    </row>
    <row r="322" ht="14.25" customHeight="1">
      <c r="C322" s="41" t="s">
        <v>338</v>
      </c>
      <c r="D322" s="41" t="s">
        <v>25</v>
      </c>
      <c r="E322" s="41" t="s">
        <v>15</v>
      </c>
      <c r="F322" s="41" t="s">
        <v>39</v>
      </c>
      <c r="G322" s="41" t="s">
        <v>17</v>
      </c>
      <c r="H322" s="41" t="s">
        <v>31</v>
      </c>
      <c r="I322" s="42">
        <v>45232.0</v>
      </c>
      <c r="J322" s="41">
        <v>95.0</v>
      </c>
      <c r="K322" s="43">
        <v>321.88</v>
      </c>
      <c r="L322" s="43">
        <v>199.47</v>
      </c>
      <c r="M322" s="43">
        <v>30578.6</v>
      </c>
      <c r="N322" s="43">
        <v>18949.65</v>
      </c>
      <c r="O322" s="43">
        <v>11628.949999999997</v>
      </c>
      <c r="P322" s="44">
        <v>0.3802970050950664</v>
      </c>
    </row>
    <row r="323" ht="14.25" customHeight="1">
      <c r="C323" s="41" t="s">
        <v>339</v>
      </c>
      <c r="D323" s="41" t="s">
        <v>20</v>
      </c>
      <c r="E323" s="41" t="s">
        <v>34</v>
      </c>
      <c r="F323" s="41" t="s">
        <v>39</v>
      </c>
      <c r="G323" s="41" t="s">
        <v>27</v>
      </c>
      <c r="H323" s="41" t="s">
        <v>18</v>
      </c>
      <c r="I323" s="42">
        <v>45233.0</v>
      </c>
      <c r="J323" s="41">
        <v>101.0</v>
      </c>
      <c r="K323" s="43">
        <v>139.22</v>
      </c>
      <c r="L323" s="43">
        <v>72.94</v>
      </c>
      <c r="M323" s="43">
        <v>14061.22</v>
      </c>
      <c r="N323" s="43">
        <v>7366.94</v>
      </c>
      <c r="O323" s="43">
        <v>6694.28</v>
      </c>
      <c r="P323" s="44">
        <v>0.47608102284154574</v>
      </c>
    </row>
    <row r="324" ht="14.25" customHeight="1">
      <c r="C324" s="41" t="s">
        <v>340</v>
      </c>
      <c r="D324" s="41" t="s">
        <v>52</v>
      </c>
      <c r="E324" s="41" t="s">
        <v>54</v>
      </c>
      <c r="F324" s="41" t="s">
        <v>39</v>
      </c>
      <c r="G324" s="41" t="s">
        <v>17</v>
      </c>
      <c r="H324" s="41" t="s">
        <v>31</v>
      </c>
      <c r="I324" s="42">
        <v>45234.0</v>
      </c>
      <c r="J324" s="41">
        <v>157.0</v>
      </c>
      <c r="K324" s="43">
        <v>249.64520588235297</v>
      </c>
      <c r="L324" s="43">
        <v>274.99</v>
      </c>
      <c r="M324" s="43">
        <v>39194.29732352942</v>
      </c>
      <c r="N324" s="43">
        <v>43173.43</v>
      </c>
      <c r="O324" s="43">
        <v>-3979.132676470581</v>
      </c>
      <c r="P324" s="44">
        <v>-0.10152325588655975</v>
      </c>
    </row>
    <row r="325" ht="14.25" customHeight="1">
      <c r="C325" s="41" t="s">
        <v>341</v>
      </c>
      <c r="D325" s="41" t="s">
        <v>20</v>
      </c>
      <c r="E325" s="41" t="s">
        <v>15</v>
      </c>
      <c r="F325" s="41" t="s">
        <v>22</v>
      </c>
      <c r="G325" s="41" t="s">
        <v>17</v>
      </c>
      <c r="H325" s="41" t="s">
        <v>18</v>
      </c>
      <c r="I325" s="42">
        <v>45235.0</v>
      </c>
      <c r="J325" s="41">
        <v>170.0</v>
      </c>
      <c r="K325" s="43">
        <v>341.67</v>
      </c>
      <c r="L325" s="43">
        <v>396.47</v>
      </c>
      <c r="M325" s="43">
        <v>58083.9</v>
      </c>
      <c r="N325" s="43">
        <v>67399.90000000001</v>
      </c>
      <c r="O325" s="43">
        <v>-9316.000000000007</v>
      </c>
      <c r="P325" s="44">
        <v>-0.16038867913483784</v>
      </c>
    </row>
    <row r="326" ht="14.25" customHeight="1">
      <c r="C326" s="41" t="s">
        <v>342</v>
      </c>
      <c r="D326" s="41" t="s">
        <v>52</v>
      </c>
      <c r="E326" s="41" t="s">
        <v>54</v>
      </c>
      <c r="F326" s="41" t="s">
        <v>46</v>
      </c>
      <c r="G326" s="41" t="s">
        <v>17</v>
      </c>
      <c r="H326" s="41" t="s">
        <v>18</v>
      </c>
      <c r="I326" s="42">
        <v>45236.0</v>
      </c>
      <c r="J326" s="41">
        <v>211.0</v>
      </c>
      <c r="K326" s="43">
        <v>119.26</v>
      </c>
      <c r="L326" s="43">
        <v>299.39</v>
      </c>
      <c r="M326" s="43">
        <v>25163.86</v>
      </c>
      <c r="N326" s="43">
        <v>63171.28999999999</v>
      </c>
      <c r="O326" s="43">
        <v>-38007.42999999999</v>
      </c>
      <c r="P326" s="44">
        <v>-1.5103974509475093</v>
      </c>
    </row>
    <row r="327" ht="14.25" customHeight="1">
      <c r="C327" s="41" t="s">
        <v>343</v>
      </c>
      <c r="D327" s="41" t="s">
        <v>20</v>
      </c>
      <c r="E327" s="41" t="s">
        <v>21</v>
      </c>
      <c r="F327" s="41" t="s">
        <v>30</v>
      </c>
      <c r="G327" s="41" t="s">
        <v>17</v>
      </c>
      <c r="H327" s="41" t="s">
        <v>31</v>
      </c>
      <c r="I327" s="42">
        <v>45237.0</v>
      </c>
      <c r="J327" s="41">
        <v>433.0</v>
      </c>
      <c r="K327" s="43">
        <v>231.15</v>
      </c>
      <c r="L327" s="43">
        <v>296.51</v>
      </c>
      <c r="M327" s="43">
        <v>100087.95</v>
      </c>
      <c r="N327" s="43">
        <v>128388.83</v>
      </c>
      <c r="O327" s="43">
        <v>-28300.880000000005</v>
      </c>
      <c r="P327" s="44">
        <v>-0.28276011248107297</v>
      </c>
    </row>
    <row r="328" ht="14.25" customHeight="1">
      <c r="C328" s="41" t="s">
        <v>344</v>
      </c>
      <c r="D328" s="41" t="s">
        <v>14</v>
      </c>
      <c r="E328" s="41" t="s">
        <v>54</v>
      </c>
      <c r="F328" s="41" t="s">
        <v>16</v>
      </c>
      <c r="G328" s="41" t="s">
        <v>27</v>
      </c>
      <c r="H328" s="41" t="s">
        <v>23</v>
      </c>
      <c r="I328" s="42">
        <v>45238.0</v>
      </c>
      <c r="J328" s="41">
        <v>425.0</v>
      </c>
      <c r="K328" s="43">
        <v>99.21</v>
      </c>
      <c r="L328" s="43">
        <v>380.22</v>
      </c>
      <c r="M328" s="43">
        <v>42164.25</v>
      </c>
      <c r="N328" s="43">
        <v>161593.5</v>
      </c>
      <c r="O328" s="43">
        <v>-119429.25</v>
      </c>
      <c r="P328" s="44">
        <v>-2.832476564862413</v>
      </c>
    </row>
    <row r="329" ht="14.25" customHeight="1">
      <c r="C329" s="41" t="s">
        <v>345</v>
      </c>
      <c r="D329" s="41" t="s">
        <v>20</v>
      </c>
      <c r="E329" s="41" t="s">
        <v>54</v>
      </c>
      <c r="F329" s="41" t="s">
        <v>26</v>
      </c>
      <c r="G329" s="41" t="s">
        <v>27</v>
      </c>
      <c r="H329" s="41" t="s">
        <v>31</v>
      </c>
      <c r="I329" s="42">
        <v>45239.0</v>
      </c>
      <c r="J329" s="41">
        <v>251.0</v>
      </c>
      <c r="K329" s="43">
        <v>30.91</v>
      </c>
      <c r="L329" s="43">
        <v>82.77</v>
      </c>
      <c r="M329" s="43">
        <v>7758.41</v>
      </c>
      <c r="N329" s="43">
        <v>20775.27</v>
      </c>
      <c r="O329" s="43">
        <v>-13016.86</v>
      </c>
      <c r="P329" s="44">
        <v>-1.6777741831122615</v>
      </c>
    </row>
    <row r="330" ht="14.25" customHeight="1">
      <c r="C330" s="41" t="s">
        <v>346</v>
      </c>
      <c r="D330" s="41" t="s">
        <v>14</v>
      </c>
      <c r="E330" s="41" t="s">
        <v>29</v>
      </c>
      <c r="F330" s="41" t="s">
        <v>22</v>
      </c>
      <c r="G330" s="41" t="s">
        <v>17</v>
      </c>
      <c r="H330" s="41" t="s">
        <v>18</v>
      </c>
      <c r="I330" s="42">
        <v>45240.0</v>
      </c>
      <c r="J330" s="41">
        <v>255.9029411764706</v>
      </c>
      <c r="K330" s="43">
        <v>192.35</v>
      </c>
      <c r="L330" s="43">
        <v>227.09</v>
      </c>
      <c r="M330" s="43">
        <v>49222.93073529412</v>
      </c>
      <c r="N330" s="43">
        <v>58112.998911764706</v>
      </c>
      <c r="O330" s="43">
        <v>-8890.068176470588</v>
      </c>
      <c r="P330" s="44">
        <v>-0.18060826618144007</v>
      </c>
    </row>
    <row r="331" ht="14.25" customHeight="1">
      <c r="C331" s="41" t="s">
        <v>347</v>
      </c>
      <c r="D331" s="41" t="s">
        <v>14</v>
      </c>
      <c r="E331" s="41" t="s">
        <v>29</v>
      </c>
      <c r="F331" s="41" t="s">
        <v>16</v>
      </c>
      <c r="G331" s="41" t="s">
        <v>17</v>
      </c>
      <c r="H331" s="41" t="s">
        <v>18</v>
      </c>
      <c r="I331" s="42">
        <v>45241.0</v>
      </c>
      <c r="J331" s="41">
        <v>11.0</v>
      </c>
      <c r="K331" s="43">
        <v>184.66</v>
      </c>
      <c r="L331" s="43">
        <v>391.9</v>
      </c>
      <c r="M331" s="43">
        <v>2031.26</v>
      </c>
      <c r="N331" s="43">
        <v>4310.9</v>
      </c>
      <c r="O331" s="43">
        <v>-2279.6399999999994</v>
      </c>
      <c r="P331" s="44">
        <v>-1.1222787826275313</v>
      </c>
    </row>
    <row r="332" ht="14.25" customHeight="1">
      <c r="C332" s="41" t="s">
        <v>348</v>
      </c>
      <c r="D332" s="41" t="s">
        <v>20</v>
      </c>
      <c r="E332" s="41" t="s">
        <v>29</v>
      </c>
      <c r="F332" s="41" t="s">
        <v>26</v>
      </c>
      <c r="G332" s="41" t="s">
        <v>17</v>
      </c>
      <c r="H332" s="41" t="s">
        <v>31</v>
      </c>
      <c r="I332" s="42">
        <v>45242.0</v>
      </c>
      <c r="J332" s="41">
        <v>234.0</v>
      </c>
      <c r="K332" s="43">
        <v>497.76</v>
      </c>
      <c r="L332" s="43">
        <v>67.79</v>
      </c>
      <c r="M332" s="43">
        <v>116475.84</v>
      </c>
      <c r="N332" s="43">
        <v>15862.86</v>
      </c>
      <c r="O332" s="43">
        <v>100612.98</v>
      </c>
      <c r="P332" s="44">
        <v>0.863809868209579</v>
      </c>
    </row>
    <row r="333" ht="14.25" customHeight="1">
      <c r="C333" s="41" t="s">
        <v>349</v>
      </c>
      <c r="D333" s="41" t="s">
        <v>14</v>
      </c>
      <c r="E333" s="41" t="s">
        <v>54</v>
      </c>
      <c r="F333" s="41" t="s">
        <v>26</v>
      </c>
      <c r="G333" s="41" t="s">
        <v>17</v>
      </c>
      <c r="H333" s="41" t="s">
        <v>23</v>
      </c>
      <c r="I333" s="42">
        <v>45243.0</v>
      </c>
      <c r="J333" s="41">
        <v>255.9029411764706</v>
      </c>
      <c r="K333" s="43">
        <v>225.94</v>
      </c>
      <c r="L333" s="43">
        <v>280.7</v>
      </c>
      <c r="M333" s="43">
        <v>57818.710529411765</v>
      </c>
      <c r="N333" s="43">
        <v>71831.95558823529</v>
      </c>
      <c r="O333" s="43">
        <v>-14013.245058823522</v>
      </c>
      <c r="P333" s="44">
        <v>-0.24236522970700175</v>
      </c>
    </row>
    <row r="334" ht="14.25" customHeight="1">
      <c r="C334" s="41" t="s">
        <v>350</v>
      </c>
      <c r="D334" s="41" t="s">
        <v>25</v>
      </c>
      <c r="E334" s="41" t="s">
        <v>34</v>
      </c>
      <c r="F334" s="41" t="s">
        <v>46</v>
      </c>
      <c r="G334" s="41" t="s">
        <v>17</v>
      </c>
      <c r="H334" s="41" t="s">
        <v>23</v>
      </c>
      <c r="I334" s="42">
        <v>45244.0</v>
      </c>
      <c r="J334" s="41">
        <v>242.0</v>
      </c>
      <c r="K334" s="43">
        <v>170.12</v>
      </c>
      <c r="L334" s="43">
        <v>235.15</v>
      </c>
      <c r="M334" s="43">
        <v>41169.04</v>
      </c>
      <c r="N334" s="43">
        <v>56906.3</v>
      </c>
      <c r="O334" s="43">
        <v>-15737.260000000002</v>
      </c>
      <c r="P334" s="44">
        <v>-0.38225958147190225</v>
      </c>
    </row>
    <row r="335" ht="14.25" customHeight="1">
      <c r="C335" s="41" t="s">
        <v>351</v>
      </c>
      <c r="D335" s="41" t="s">
        <v>14</v>
      </c>
      <c r="E335" s="41" t="s">
        <v>54</v>
      </c>
      <c r="F335" s="41" t="s">
        <v>30</v>
      </c>
      <c r="G335" s="41" t="s">
        <v>17</v>
      </c>
      <c r="H335" s="41" t="s">
        <v>18</v>
      </c>
      <c r="I335" s="42">
        <v>45245.0</v>
      </c>
      <c r="J335" s="41">
        <v>470.0</v>
      </c>
      <c r="K335" s="43">
        <v>292.34</v>
      </c>
      <c r="L335" s="43">
        <v>235.42</v>
      </c>
      <c r="M335" s="43">
        <v>137399.8</v>
      </c>
      <c r="N335" s="43">
        <v>110647.4</v>
      </c>
      <c r="O335" s="43">
        <v>26752.399999999994</v>
      </c>
      <c r="P335" s="44">
        <v>0.1947047957857289</v>
      </c>
    </row>
    <row r="336" ht="14.25" customHeight="1">
      <c r="C336" s="41" t="s">
        <v>352</v>
      </c>
      <c r="D336" s="41" t="s">
        <v>52</v>
      </c>
      <c r="E336" s="41" t="s">
        <v>34</v>
      </c>
      <c r="F336" s="41" t="s">
        <v>30</v>
      </c>
      <c r="G336" s="41" t="s">
        <v>27</v>
      </c>
      <c r="H336" s="41" t="s">
        <v>18</v>
      </c>
      <c r="I336" s="42">
        <v>45246.0</v>
      </c>
      <c r="J336" s="41">
        <v>423.0</v>
      </c>
      <c r="K336" s="43">
        <v>48.94</v>
      </c>
      <c r="L336" s="43">
        <v>279.67</v>
      </c>
      <c r="M336" s="43">
        <v>20701.62</v>
      </c>
      <c r="N336" s="43">
        <v>118300.41</v>
      </c>
      <c r="O336" s="43">
        <v>-97598.79000000001</v>
      </c>
      <c r="P336" s="44">
        <v>-4.714548426644872</v>
      </c>
    </row>
    <row r="337" ht="14.25" customHeight="1">
      <c r="C337" s="41" t="s">
        <v>353</v>
      </c>
      <c r="D337" s="41" t="s">
        <v>20</v>
      </c>
      <c r="E337" s="41" t="s">
        <v>34</v>
      </c>
      <c r="F337" s="41" t="s">
        <v>16</v>
      </c>
      <c r="G337" s="41" t="s">
        <v>17</v>
      </c>
      <c r="H337" s="41" t="s">
        <v>23</v>
      </c>
      <c r="I337" s="42">
        <v>45247.0</v>
      </c>
      <c r="J337" s="41">
        <v>426.0</v>
      </c>
      <c r="K337" s="43">
        <v>481.02</v>
      </c>
      <c r="L337" s="43">
        <v>371.99</v>
      </c>
      <c r="M337" s="43">
        <v>204914.52</v>
      </c>
      <c r="N337" s="43">
        <v>158467.74</v>
      </c>
      <c r="O337" s="43">
        <v>46446.78</v>
      </c>
      <c r="P337" s="44">
        <v>0.22666417196790156</v>
      </c>
    </row>
    <row r="338" ht="14.25" customHeight="1">
      <c r="C338" s="41" t="s">
        <v>354</v>
      </c>
      <c r="D338" s="41" t="s">
        <v>25</v>
      </c>
      <c r="E338" s="41" t="s">
        <v>29</v>
      </c>
      <c r="F338" s="41" t="s">
        <v>30</v>
      </c>
      <c r="G338" s="41" t="s">
        <v>27</v>
      </c>
      <c r="H338" s="41" t="s">
        <v>31</v>
      </c>
      <c r="I338" s="42">
        <v>45248.0</v>
      </c>
      <c r="J338" s="41">
        <v>86.0</v>
      </c>
      <c r="K338" s="43">
        <v>319.31</v>
      </c>
      <c r="L338" s="43">
        <v>313.47</v>
      </c>
      <c r="M338" s="43">
        <v>27460.66</v>
      </c>
      <c r="N338" s="43">
        <v>26958.420000000002</v>
      </c>
      <c r="O338" s="43">
        <v>502.23999999999796</v>
      </c>
      <c r="P338" s="44">
        <v>0.01828943659766364</v>
      </c>
    </row>
    <row r="339" ht="14.25" customHeight="1">
      <c r="C339" s="41" t="s">
        <v>355</v>
      </c>
      <c r="D339" s="41" t="s">
        <v>20</v>
      </c>
      <c r="E339" s="41" t="s">
        <v>15</v>
      </c>
      <c r="F339" s="41" t="s">
        <v>22</v>
      </c>
      <c r="G339" s="41" t="s">
        <v>27</v>
      </c>
      <c r="H339" s="41" t="s">
        <v>18</v>
      </c>
      <c r="I339" s="42">
        <v>45249.0</v>
      </c>
      <c r="J339" s="41">
        <v>125.0</v>
      </c>
      <c r="K339" s="43">
        <v>378.64</v>
      </c>
      <c r="L339" s="43">
        <v>24.34</v>
      </c>
      <c r="M339" s="43">
        <v>47330.0</v>
      </c>
      <c r="N339" s="43">
        <v>3042.5</v>
      </c>
      <c r="O339" s="43">
        <v>44287.5</v>
      </c>
      <c r="P339" s="44">
        <v>0.9357173040354955</v>
      </c>
    </row>
    <row r="340" ht="14.25" customHeight="1">
      <c r="C340" s="41" t="s">
        <v>356</v>
      </c>
      <c r="D340" s="41" t="s">
        <v>52</v>
      </c>
      <c r="E340" s="41" t="s">
        <v>21</v>
      </c>
      <c r="F340" s="41" t="s">
        <v>39</v>
      </c>
      <c r="G340" s="41" t="s">
        <v>17</v>
      </c>
      <c r="H340" s="41" t="s">
        <v>18</v>
      </c>
      <c r="I340" s="42">
        <v>45250.0</v>
      </c>
      <c r="J340" s="41">
        <v>163.0</v>
      </c>
      <c r="K340" s="43">
        <v>89.39</v>
      </c>
      <c r="L340" s="43">
        <v>341.39</v>
      </c>
      <c r="M340" s="43">
        <v>14570.57</v>
      </c>
      <c r="N340" s="43">
        <v>55646.57</v>
      </c>
      <c r="O340" s="43">
        <v>-41076.0</v>
      </c>
      <c r="P340" s="44">
        <v>-2.8191072826938135</v>
      </c>
    </row>
    <row r="341" ht="14.25" customHeight="1">
      <c r="C341" s="41" t="s">
        <v>357</v>
      </c>
      <c r="D341" s="41" t="s">
        <v>52</v>
      </c>
      <c r="E341" s="41" t="s">
        <v>29</v>
      </c>
      <c r="F341" s="41" t="s">
        <v>16</v>
      </c>
      <c r="G341" s="41" t="s">
        <v>27</v>
      </c>
      <c r="H341" s="41" t="s">
        <v>23</v>
      </c>
      <c r="I341" s="42">
        <v>45251.0</v>
      </c>
      <c r="J341" s="41">
        <v>415.0</v>
      </c>
      <c r="K341" s="43">
        <v>207.69</v>
      </c>
      <c r="L341" s="43">
        <v>91.77</v>
      </c>
      <c r="M341" s="43">
        <v>86191.35</v>
      </c>
      <c r="N341" s="43">
        <v>38084.549999999996</v>
      </c>
      <c r="O341" s="43">
        <v>48106.80000000001</v>
      </c>
      <c r="P341" s="44">
        <v>0.558139534883721</v>
      </c>
    </row>
    <row r="342" ht="14.25" customHeight="1">
      <c r="C342" s="41" t="s">
        <v>358</v>
      </c>
      <c r="D342" s="41" t="s">
        <v>52</v>
      </c>
      <c r="E342" s="41" t="s">
        <v>29</v>
      </c>
      <c r="F342" s="41" t="s">
        <v>30</v>
      </c>
      <c r="G342" s="41" t="s">
        <v>27</v>
      </c>
      <c r="H342" s="41" t="s">
        <v>31</v>
      </c>
      <c r="I342" s="42">
        <v>45252.0</v>
      </c>
      <c r="J342" s="41">
        <v>112.0</v>
      </c>
      <c r="K342" s="43">
        <v>214.23</v>
      </c>
      <c r="L342" s="43">
        <v>152.01</v>
      </c>
      <c r="M342" s="43">
        <v>23993.76</v>
      </c>
      <c r="N342" s="43">
        <v>17025.12</v>
      </c>
      <c r="O342" s="43">
        <v>6968.639999999999</v>
      </c>
      <c r="P342" s="44">
        <v>0.2904355132334407</v>
      </c>
    </row>
    <row r="343" ht="14.25" customHeight="1">
      <c r="C343" s="41" t="s">
        <v>359</v>
      </c>
      <c r="D343" s="41" t="s">
        <v>14</v>
      </c>
      <c r="E343" s="41" t="s">
        <v>15</v>
      </c>
      <c r="F343" s="41" t="s">
        <v>22</v>
      </c>
      <c r="G343" s="41" t="s">
        <v>27</v>
      </c>
      <c r="H343" s="41" t="s">
        <v>23</v>
      </c>
      <c r="I343" s="42">
        <v>45253.0</v>
      </c>
      <c r="J343" s="41">
        <v>203.0</v>
      </c>
      <c r="K343" s="43">
        <v>411.79</v>
      </c>
      <c r="L343" s="43">
        <v>185.77</v>
      </c>
      <c r="M343" s="43">
        <v>83593.37000000001</v>
      </c>
      <c r="N343" s="43">
        <v>37711.310000000005</v>
      </c>
      <c r="O343" s="43">
        <v>45882.060000000005</v>
      </c>
      <c r="P343" s="44">
        <v>0.5488719978629885</v>
      </c>
    </row>
    <row r="344" ht="14.25" customHeight="1">
      <c r="C344" s="41" t="s">
        <v>360</v>
      </c>
      <c r="D344" s="41" t="s">
        <v>14</v>
      </c>
      <c r="E344" s="41" t="s">
        <v>21</v>
      </c>
      <c r="F344" s="41" t="s">
        <v>46</v>
      </c>
      <c r="G344" s="41" t="s">
        <v>27</v>
      </c>
      <c r="H344" s="41" t="s">
        <v>31</v>
      </c>
      <c r="I344" s="42">
        <v>45254.0</v>
      </c>
      <c r="J344" s="41">
        <v>255.9029411764706</v>
      </c>
      <c r="K344" s="43">
        <v>5.61</v>
      </c>
      <c r="L344" s="43">
        <v>193.4</v>
      </c>
      <c r="M344" s="43">
        <v>1435.6155</v>
      </c>
      <c r="N344" s="43">
        <v>49491.62882352941</v>
      </c>
      <c r="O344" s="43">
        <v>-48056.01332352941</v>
      </c>
      <c r="P344" s="44">
        <v>-33.474153297682705</v>
      </c>
    </row>
    <row r="345" ht="14.25" customHeight="1">
      <c r="C345" s="41" t="s">
        <v>361</v>
      </c>
      <c r="D345" s="41" t="s">
        <v>20</v>
      </c>
      <c r="E345" s="41" t="s">
        <v>54</v>
      </c>
      <c r="F345" s="41" t="s">
        <v>16</v>
      </c>
      <c r="G345" s="41" t="s">
        <v>27</v>
      </c>
      <c r="H345" s="41" t="s">
        <v>31</v>
      </c>
      <c r="I345" s="42">
        <v>45255.0</v>
      </c>
      <c r="J345" s="41">
        <v>368.0</v>
      </c>
      <c r="K345" s="43">
        <v>153.92</v>
      </c>
      <c r="L345" s="43">
        <v>175.2</v>
      </c>
      <c r="M345" s="43">
        <v>56642.56</v>
      </c>
      <c r="N345" s="43">
        <v>64473.6</v>
      </c>
      <c r="O345" s="43">
        <v>-7831.040000000001</v>
      </c>
      <c r="P345" s="44">
        <v>-0.13825363825363826</v>
      </c>
    </row>
    <row r="346" ht="14.25" customHeight="1">
      <c r="C346" s="41" t="s">
        <v>362</v>
      </c>
      <c r="D346" s="41" t="s">
        <v>20</v>
      </c>
      <c r="E346" s="41" t="s">
        <v>54</v>
      </c>
      <c r="F346" s="41" t="s">
        <v>46</v>
      </c>
      <c r="G346" s="41" t="s">
        <v>27</v>
      </c>
      <c r="H346" s="41" t="s">
        <v>31</v>
      </c>
      <c r="I346" s="42">
        <v>45256.0</v>
      </c>
      <c r="J346" s="41">
        <v>99.0</v>
      </c>
      <c r="K346" s="43">
        <v>490.71</v>
      </c>
      <c r="L346" s="43">
        <v>375.07</v>
      </c>
      <c r="M346" s="43">
        <v>48580.29</v>
      </c>
      <c r="N346" s="43">
        <v>37131.93</v>
      </c>
      <c r="O346" s="43">
        <v>11448.36</v>
      </c>
      <c r="P346" s="44">
        <v>0.2356585355912861</v>
      </c>
    </row>
    <row r="347" ht="14.25" customHeight="1">
      <c r="C347" s="41" t="s">
        <v>363</v>
      </c>
      <c r="D347" s="41" t="s">
        <v>25</v>
      </c>
      <c r="E347" s="41" t="s">
        <v>29</v>
      </c>
      <c r="F347" s="41" t="s">
        <v>46</v>
      </c>
      <c r="G347" s="41" t="s">
        <v>17</v>
      </c>
      <c r="H347" s="41" t="s">
        <v>18</v>
      </c>
      <c r="I347" s="42">
        <v>45257.0</v>
      </c>
      <c r="J347" s="41">
        <v>183.0</v>
      </c>
      <c r="K347" s="43">
        <v>240.07</v>
      </c>
      <c r="L347" s="43">
        <v>283.0</v>
      </c>
      <c r="M347" s="43">
        <v>43932.81</v>
      </c>
      <c r="N347" s="43">
        <v>51789.0</v>
      </c>
      <c r="O347" s="43">
        <v>-7856.190000000002</v>
      </c>
      <c r="P347" s="44">
        <v>-0.17882284333736</v>
      </c>
    </row>
    <row r="348" ht="14.25" customHeight="1">
      <c r="C348" s="41" t="s">
        <v>364</v>
      </c>
      <c r="D348" s="41" t="s">
        <v>39</v>
      </c>
      <c r="E348" s="41" t="s">
        <v>21</v>
      </c>
      <c r="F348" s="41" t="s">
        <v>46</v>
      </c>
      <c r="G348" s="41" t="s">
        <v>27</v>
      </c>
      <c r="H348" s="41" t="s">
        <v>23</v>
      </c>
      <c r="I348" s="42">
        <v>45258.0</v>
      </c>
      <c r="J348" s="41">
        <v>131.0</v>
      </c>
      <c r="K348" s="43">
        <v>194.35</v>
      </c>
      <c r="L348" s="43">
        <v>253.21</v>
      </c>
      <c r="M348" s="43">
        <v>25459.85</v>
      </c>
      <c r="N348" s="43">
        <v>33170.51</v>
      </c>
      <c r="O348" s="43">
        <v>-7710.6600000000035</v>
      </c>
      <c r="P348" s="44">
        <v>-0.3028556727553385</v>
      </c>
    </row>
    <row r="349" ht="14.25" customHeight="1">
      <c r="C349" s="41" t="s">
        <v>365</v>
      </c>
      <c r="D349" s="41" t="s">
        <v>20</v>
      </c>
      <c r="E349" s="41" t="s">
        <v>29</v>
      </c>
      <c r="F349" s="41" t="s">
        <v>26</v>
      </c>
      <c r="G349" s="41" t="s">
        <v>27</v>
      </c>
      <c r="H349" s="41" t="s">
        <v>23</v>
      </c>
      <c r="I349" s="42">
        <v>45259.0</v>
      </c>
      <c r="J349" s="41">
        <v>152.0</v>
      </c>
      <c r="K349" s="43">
        <v>64.32</v>
      </c>
      <c r="L349" s="43">
        <v>21.84</v>
      </c>
      <c r="M349" s="43">
        <v>9776.64</v>
      </c>
      <c r="N349" s="43">
        <v>3319.68</v>
      </c>
      <c r="O349" s="43">
        <v>6456.959999999999</v>
      </c>
      <c r="P349" s="44">
        <v>0.6604477611940298</v>
      </c>
    </row>
    <row r="350" ht="14.25" customHeight="1">
      <c r="C350" s="41" t="s">
        <v>366</v>
      </c>
      <c r="D350" s="41" t="s">
        <v>14</v>
      </c>
      <c r="E350" s="41" t="s">
        <v>34</v>
      </c>
      <c r="F350" s="41" t="s">
        <v>26</v>
      </c>
      <c r="G350" s="41" t="s">
        <v>27</v>
      </c>
      <c r="H350" s="41" t="s">
        <v>31</v>
      </c>
      <c r="I350" s="42">
        <v>45260.0</v>
      </c>
      <c r="J350" s="41">
        <v>491.0</v>
      </c>
      <c r="K350" s="43">
        <v>487.21</v>
      </c>
      <c r="L350" s="43">
        <v>361.76</v>
      </c>
      <c r="M350" s="43">
        <v>239220.11</v>
      </c>
      <c r="N350" s="43">
        <v>177624.16</v>
      </c>
      <c r="O350" s="43">
        <v>61595.94999999998</v>
      </c>
      <c r="P350" s="44">
        <v>0.2574865047925945</v>
      </c>
    </row>
    <row r="351" ht="14.25" customHeight="1">
      <c r="C351" s="41" t="s">
        <v>367</v>
      </c>
      <c r="D351" s="41" t="s">
        <v>52</v>
      </c>
      <c r="E351" s="41" t="s">
        <v>29</v>
      </c>
      <c r="F351" s="41" t="s">
        <v>46</v>
      </c>
      <c r="G351" s="41" t="s">
        <v>17</v>
      </c>
      <c r="H351" s="41" t="s">
        <v>18</v>
      </c>
      <c r="I351" s="42">
        <v>45261.0</v>
      </c>
      <c r="J351" s="41">
        <v>115.0</v>
      </c>
      <c r="K351" s="43">
        <v>14.91</v>
      </c>
      <c r="L351" s="43">
        <v>363.94</v>
      </c>
      <c r="M351" s="43">
        <v>1714.65</v>
      </c>
      <c r="N351" s="43">
        <v>41853.1</v>
      </c>
      <c r="O351" s="43">
        <v>-40138.45</v>
      </c>
      <c r="P351" s="44">
        <v>-23.409121395036884</v>
      </c>
    </row>
    <row r="352" ht="14.25" customHeight="1">
      <c r="C352" s="41" t="s">
        <v>368</v>
      </c>
      <c r="D352" s="41" t="s">
        <v>20</v>
      </c>
      <c r="E352" s="41" t="s">
        <v>29</v>
      </c>
      <c r="F352" s="41" t="s">
        <v>16</v>
      </c>
      <c r="G352" s="41" t="s">
        <v>27</v>
      </c>
      <c r="H352" s="41" t="s">
        <v>18</v>
      </c>
      <c r="I352" s="42">
        <v>45262.0</v>
      </c>
      <c r="J352" s="41">
        <v>384.0</v>
      </c>
      <c r="K352" s="43">
        <v>369.9</v>
      </c>
      <c r="L352" s="43">
        <v>312.52</v>
      </c>
      <c r="M352" s="43">
        <v>142041.59999999998</v>
      </c>
      <c r="N352" s="43">
        <v>120007.68</v>
      </c>
      <c r="O352" s="43">
        <v>22033.919999999984</v>
      </c>
      <c r="P352" s="44">
        <v>0.15512300621789665</v>
      </c>
    </row>
    <row r="353" ht="14.25" customHeight="1">
      <c r="C353" s="41" t="s">
        <v>369</v>
      </c>
      <c r="D353" s="41" t="s">
        <v>25</v>
      </c>
      <c r="E353" s="41" t="s">
        <v>54</v>
      </c>
      <c r="F353" s="41" t="s">
        <v>22</v>
      </c>
      <c r="G353" s="41" t="s">
        <v>17</v>
      </c>
      <c r="H353" s="41" t="s">
        <v>23</v>
      </c>
      <c r="I353" s="42">
        <v>45263.0</v>
      </c>
      <c r="J353" s="41">
        <v>437.0</v>
      </c>
      <c r="K353" s="43">
        <v>385.46</v>
      </c>
      <c r="L353" s="43">
        <v>4.8</v>
      </c>
      <c r="M353" s="43">
        <v>168446.02</v>
      </c>
      <c r="N353" s="43">
        <v>2097.6</v>
      </c>
      <c r="O353" s="43">
        <v>166348.41999999998</v>
      </c>
      <c r="P353" s="44">
        <v>0.9875473460281222</v>
      </c>
    </row>
    <row r="354" ht="14.25" customHeight="1">
      <c r="C354" s="41" t="s">
        <v>370</v>
      </c>
      <c r="D354" s="41" t="s">
        <v>14</v>
      </c>
      <c r="E354" s="41" t="s">
        <v>54</v>
      </c>
      <c r="F354" s="41" t="s">
        <v>22</v>
      </c>
      <c r="G354" s="41" t="s">
        <v>27</v>
      </c>
      <c r="H354" s="41" t="s">
        <v>18</v>
      </c>
      <c r="I354" s="42">
        <v>45264.0</v>
      </c>
      <c r="J354" s="41">
        <v>314.0</v>
      </c>
      <c r="K354" s="43">
        <v>125.61</v>
      </c>
      <c r="L354" s="43">
        <v>24.8</v>
      </c>
      <c r="M354" s="43">
        <v>39441.54</v>
      </c>
      <c r="N354" s="43">
        <v>7787.2</v>
      </c>
      <c r="O354" s="43">
        <v>31654.34</v>
      </c>
      <c r="P354" s="44">
        <v>0.8025634901679802</v>
      </c>
    </row>
    <row r="355" ht="14.25" customHeight="1">
      <c r="C355" s="41" t="s">
        <v>371</v>
      </c>
      <c r="D355" s="41" t="s">
        <v>20</v>
      </c>
      <c r="E355" s="41" t="s">
        <v>54</v>
      </c>
      <c r="F355" s="41" t="s">
        <v>30</v>
      </c>
      <c r="G355" s="41" t="s">
        <v>17</v>
      </c>
      <c r="H355" s="41" t="s">
        <v>18</v>
      </c>
      <c r="I355" s="42">
        <v>45265.0</v>
      </c>
      <c r="J355" s="41">
        <v>369.0</v>
      </c>
      <c r="K355" s="43">
        <v>337.42</v>
      </c>
      <c r="L355" s="43">
        <v>91.64</v>
      </c>
      <c r="M355" s="43">
        <v>124507.98000000001</v>
      </c>
      <c r="N355" s="43">
        <v>33815.16</v>
      </c>
      <c r="O355" s="43">
        <v>90692.82</v>
      </c>
      <c r="P355" s="44">
        <v>0.7284096971133899</v>
      </c>
    </row>
    <row r="356" ht="14.25" customHeight="1">
      <c r="C356" s="41" t="s">
        <v>372</v>
      </c>
      <c r="D356" s="41" t="s">
        <v>20</v>
      </c>
      <c r="E356" s="41" t="s">
        <v>34</v>
      </c>
      <c r="F356" s="41" t="s">
        <v>16</v>
      </c>
      <c r="G356" s="41" t="s">
        <v>17</v>
      </c>
      <c r="H356" s="41" t="s">
        <v>31</v>
      </c>
      <c r="I356" s="42">
        <v>45266.0</v>
      </c>
      <c r="J356" s="41">
        <v>468.0</v>
      </c>
      <c r="K356" s="43">
        <v>51.0</v>
      </c>
      <c r="L356" s="43">
        <v>54.28</v>
      </c>
      <c r="M356" s="43">
        <v>23868.0</v>
      </c>
      <c r="N356" s="43">
        <v>25403.04</v>
      </c>
      <c r="O356" s="43">
        <v>-1535.0400000000009</v>
      </c>
      <c r="P356" s="44">
        <v>-0.06431372549019612</v>
      </c>
    </row>
    <row r="357" ht="14.25" customHeight="1">
      <c r="C357" s="41" t="s">
        <v>373</v>
      </c>
      <c r="D357" s="41" t="s">
        <v>14</v>
      </c>
      <c r="E357" s="41" t="s">
        <v>54</v>
      </c>
      <c r="F357" s="41" t="s">
        <v>26</v>
      </c>
      <c r="G357" s="41" t="s">
        <v>27</v>
      </c>
      <c r="H357" s="41" t="s">
        <v>18</v>
      </c>
      <c r="I357" s="42">
        <v>45267.0</v>
      </c>
      <c r="J357" s="41">
        <v>326.0</v>
      </c>
      <c r="K357" s="43">
        <v>132.24</v>
      </c>
      <c r="L357" s="43">
        <v>160.74</v>
      </c>
      <c r="M357" s="43">
        <v>43110.240000000005</v>
      </c>
      <c r="N357" s="43">
        <v>52401.240000000005</v>
      </c>
      <c r="O357" s="43">
        <v>-9291.0</v>
      </c>
      <c r="P357" s="44">
        <v>-0.21551724137931033</v>
      </c>
    </row>
    <row r="358" ht="14.25" customHeight="1">
      <c r="C358" s="41" t="s">
        <v>374</v>
      </c>
      <c r="D358" s="41" t="s">
        <v>20</v>
      </c>
      <c r="E358" s="41" t="s">
        <v>21</v>
      </c>
      <c r="F358" s="41" t="s">
        <v>46</v>
      </c>
      <c r="G358" s="41" t="s">
        <v>27</v>
      </c>
      <c r="H358" s="41" t="s">
        <v>31</v>
      </c>
      <c r="I358" s="42">
        <v>45268.0</v>
      </c>
      <c r="J358" s="41">
        <v>460.0</v>
      </c>
      <c r="K358" s="43">
        <v>395.01</v>
      </c>
      <c r="L358" s="43">
        <v>369.2</v>
      </c>
      <c r="M358" s="43">
        <v>181704.6</v>
      </c>
      <c r="N358" s="43">
        <v>169832.0</v>
      </c>
      <c r="O358" s="43">
        <v>11872.600000000006</v>
      </c>
      <c r="P358" s="44">
        <v>0.06534011797169695</v>
      </c>
    </row>
    <row r="359" ht="14.25" customHeight="1">
      <c r="C359" s="41" t="s">
        <v>375</v>
      </c>
      <c r="D359" s="41" t="s">
        <v>14</v>
      </c>
      <c r="E359" s="41" t="s">
        <v>15</v>
      </c>
      <c r="F359" s="41" t="s">
        <v>30</v>
      </c>
      <c r="G359" s="41" t="s">
        <v>17</v>
      </c>
      <c r="H359" s="41" t="s">
        <v>23</v>
      </c>
      <c r="I359" s="42">
        <v>45269.0</v>
      </c>
      <c r="J359" s="41">
        <v>132.0</v>
      </c>
      <c r="K359" s="43">
        <v>433.02</v>
      </c>
      <c r="L359" s="43">
        <v>189.88</v>
      </c>
      <c r="M359" s="43">
        <v>57158.64</v>
      </c>
      <c r="N359" s="43">
        <v>25064.16</v>
      </c>
      <c r="O359" s="43">
        <v>32094.48</v>
      </c>
      <c r="P359" s="44">
        <v>0.5614983141656275</v>
      </c>
    </row>
    <row r="360" ht="14.25" customHeight="1">
      <c r="C360" s="41" t="s">
        <v>376</v>
      </c>
      <c r="D360" s="41" t="s">
        <v>52</v>
      </c>
      <c r="E360" s="41" t="s">
        <v>21</v>
      </c>
      <c r="F360" s="41" t="s">
        <v>22</v>
      </c>
      <c r="G360" s="41" t="s">
        <v>27</v>
      </c>
      <c r="H360" s="41" t="s">
        <v>18</v>
      </c>
      <c r="I360" s="42">
        <v>45270.0</v>
      </c>
      <c r="J360" s="41">
        <v>399.0</v>
      </c>
      <c r="K360" s="43">
        <v>306.2</v>
      </c>
      <c r="L360" s="43">
        <v>7.33</v>
      </c>
      <c r="M360" s="43">
        <v>122173.79999999999</v>
      </c>
      <c r="N360" s="43">
        <v>2924.67</v>
      </c>
      <c r="O360" s="43">
        <v>119249.12999999999</v>
      </c>
      <c r="P360" s="44">
        <v>0.9760613977792293</v>
      </c>
    </row>
    <row r="361" ht="14.25" customHeight="1">
      <c r="C361" s="41" t="s">
        <v>377</v>
      </c>
      <c r="D361" s="41" t="s">
        <v>14</v>
      </c>
      <c r="E361" s="41" t="s">
        <v>21</v>
      </c>
      <c r="F361" s="41" t="s">
        <v>26</v>
      </c>
      <c r="G361" s="41" t="s">
        <v>17</v>
      </c>
      <c r="H361" s="41" t="s">
        <v>23</v>
      </c>
      <c r="I361" s="42">
        <v>45271.0</v>
      </c>
      <c r="J361" s="41">
        <v>18.0</v>
      </c>
      <c r="K361" s="43">
        <v>255.89</v>
      </c>
      <c r="L361" s="43">
        <v>114.53</v>
      </c>
      <c r="M361" s="43">
        <v>4606.0199999999995</v>
      </c>
      <c r="N361" s="43">
        <v>2061.54</v>
      </c>
      <c r="O361" s="43">
        <v>2544.4799999999996</v>
      </c>
      <c r="P361" s="44">
        <v>0.5524248700613544</v>
      </c>
    </row>
    <row r="362" ht="14.25" customHeight="1">
      <c r="C362" s="41" t="s">
        <v>378</v>
      </c>
      <c r="D362" s="41" t="s">
        <v>14</v>
      </c>
      <c r="E362" s="41" t="s">
        <v>54</v>
      </c>
      <c r="F362" s="41" t="s">
        <v>26</v>
      </c>
      <c r="G362" s="41" t="s">
        <v>17</v>
      </c>
      <c r="H362" s="41" t="s">
        <v>23</v>
      </c>
      <c r="I362" s="42">
        <v>45272.0</v>
      </c>
      <c r="J362" s="41">
        <v>271.0</v>
      </c>
      <c r="K362" s="43">
        <v>83.86</v>
      </c>
      <c r="L362" s="43">
        <v>19.75</v>
      </c>
      <c r="M362" s="43">
        <v>22726.06</v>
      </c>
      <c r="N362" s="43">
        <v>5352.25</v>
      </c>
      <c r="O362" s="43">
        <v>17373.81</v>
      </c>
      <c r="P362" s="44">
        <v>0.7644884331027904</v>
      </c>
    </row>
    <row r="363" ht="14.25" customHeight="1">
      <c r="C363" s="41" t="s">
        <v>379</v>
      </c>
      <c r="D363" s="41" t="s">
        <v>39</v>
      </c>
      <c r="E363" s="41" t="s">
        <v>15</v>
      </c>
      <c r="F363" s="41" t="s">
        <v>46</v>
      </c>
      <c r="G363" s="41" t="s">
        <v>17</v>
      </c>
      <c r="H363" s="41" t="s">
        <v>18</v>
      </c>
      <c r="I363" s="42">
        <v>45273.0</v>
      </c>
      <c r="J363" s="41">
        <v>82.0</v>
      </c>
      <c r="K363" s="43">
        <v>36.24</v>
      </c>
      <c r="L363" s="43">
        <v>16.44</v>
      </c>
      <c r="M363" s="43">
        <v>2971.6800000000003</v>
      </c>
      <c r="N363" s="43">
        <v>1348.0800000000002</v>
      </c>
      <c r="O363" s="43">
        <v>1623.6000000000001</v>
      </c>
      <c r="P363" s="44">
        <v>0.5463576158940397</v>
      </c>
    </row>
    <row r="364" ht="14.25" customHeight="1">
      <c r="C364" s="41" t="s">
        <v>380</v>
      </c>
      <c r="D364" s="41" t="s">
        <v>20</v>
      </c>
      <c r="E364" s="41" t="s">
        <v>15</v>
      </c>
      <c r="F364" s="41" t="s">
        <v>22</v>
      </c>
      <c r="G364" s="41" t="s">
        <v>17</v>
      </c>
      <c r="H364" s="41" t="s">
        <v>18</v>
      </c>
      <c r="I364" s="42">
        <v>45274.0</v>
      </c>
      <c r="J364" s="41">
        <v>368.0</v>
      </c>
      <c r="K364" s="43">
        <v>63.24</v>
      </c>
      <c r="L364" s="43">
        <v>111.74</v>
      </c>
      <c r="M364" s="43">
        <v>23272.32</v>
      </c>
      <c r="N364" s="43">
        <v>41120.32</v>
      </c>
      <c r="O364" s="43">
        <v>-17848.0</v>
      </c>
      <c r="P364" s="44">
        <v>-0.7669196710942442</v>
      </c>
    </row>
    <row r="365" ht="14.25" customHeight="1">
      <c r="C365" s="41" t="s">
        <v>381</v>
      </c>
      <c r="D365" s="41" t="s">
        <v>20</v>
      </c>
      <c r="E365" s="41" t="s">
        <v>15</v>
      </c>
      <c r="F365" s="41" t="s">
        <v>16</v>
      </c>
      <c r="G365" s="41" t="s">
        <v>17</v>
      </c>
      <c r="H365" s="41" t="s">
        <v>23</v>
      </c>
      <c r="I365" s="42">
        <v>45275.0</v>
      </c>
      <c r="J365" s="41">
        <v>232.0</v>
      </c>
      <c r="K365" s="43">
        <v>117.54</v>
      </c>
      <c r="L365" s="43">
        <v>111.69</v>
      </c>
      <c r="M365" s="43">
        <v>27269.280000000002</v>
      </c>
      <c r="N365" s="43">
        <v>25912.079999999998</v>
      </c>
      <c r="O365" s="43">
        <v>1357.2000000000044</v>
      </c>
      <c r="P365" s="44">
        <v>0.049770290964778106</v>
      </c>
    </row>
    <row r="366" ht="14.25" customHeight="1">
      <c r="C366" s="41" t="s">
        <v>382</v>
      </c>
      <c r="D366" s="41" t="s">
        <v>14</v>
      </c>
      <c r="E366" s="41" t="s">
        <v>34</v>
      </c>
      <c r="F366" s="41" t="s">
        <v>26</v>
      </c>
      <c r="G366" s="41" t="s">
        <v>27</v>
      </c>
      <c r="H366" s="41" t="s">
        <v>18</v>
      </c>
      <c r="I366" s="42">
        <v>45276.0</v>
      </c>
      <c r="J366" s="41">
        <v>425.0</v>
      </c>
      <c r="K366" s="43">
        <v>174.13</v>
      </c>
      <c r="L366" s="43">
        <v>315.28</v>
      </c>
      <c r="M366" s="43">
        <v>74005.25</v>
      </c>
      <c r="N366" s="43">
        <v>133994.0</v>
      </c>
      <c r="O366" s="43">
        <v>-59988.75</v>
      </c>
      <c r="P366" s="44">
        <v>-0.8106012749095504</v>
      </c>
    </row>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2:M2"/>
    <mergeCell ref="C5:D5"/>
    <mergeCell ref="C7:M7"/>
    <mergeCell ref="C8:M8"/>
    <mergeCell ref="C11:M11"/>
    <mergeCell ref="C12:M12"/>
    <mergeCell ref="C13:M13"/>
    <mergeCell ref="R16:S16"/>
    <mergeCell ref="R17:Z17"/>
    <mergeCell ref="R18:Z18"/>
    <mergeCell ref="R19:Z19"/>
    <mergeCell ref="R20:Z20"/>
    <mergeCell ref="R21:Z21"/>
    <mergeCell ref="R22:Z22"/>
    <mergeCell ref="R23:Z23"/>
    <mergeCell ref="R24:Z24"/>
    <mergeCell ref="R25:Z25"/>
    <mergeCell ref="R26:Z26"/>
    <mergeCell ref="R29:W29"/>
    <mergeCell ref="R30:W30"/>
    <mergeCell ref="R31:W31"/>
    <mergeCell ref="R39:W39"/>
    <mergeCell ref="R40:W40"/>
    <mergeCell ref="R32:W32"/>
    <mergeCell ref="R33:W33"/>
    <mergeCell ref="R34:W34"/>
    <mergeCell ref="R35:W35"/>
    <mergeCell ref="R36:W36"/>
    <mergeCell ref="R37:W37"/>
    <mergeCell ref="R38:W38"/>
  </mergeCells>
  <dataValidations>
    <dataValidation type="list" allowBlank="1" showErrorMessage="1" sqref="C17:C366">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G17:G366">
      <formula1>"Online,Offline"</formula1>
    </dataValidation>
    <dataValidation type="list" allowBlank="1" showErrorMessage="1" sqref="D17:D366">
      <formula1>"East,West,North,Unknown,South"</formula1>
    </dataValidation>
    <dataValidation type="list" allowBlank="1" showErrorMessage="1" sqref="E17:E366">
      <formula1>"Germany,India,USA,UK,Australia"</formula1>
    </dataValidation>
    <dataValidation type="list" allowBlank="1" showErrorMessage="1" sqref="F17:F366">
      <formula1>"Beverages,Food,Clothing,Furniture,Electronics,Unknown"</formula1>
    </dataValidation>
    <dataValidation type="list" allowBlank="1" showErrorMessage="1" sqref="H17:H366">
      <formula1>"High,Low,Medium"</formula1>
    </dataValidation>
  </dataValidations>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63"/>
    <col customWidth="1" min="5" max="5" width="12.13"/>
    <col customWidth="1" min="6" max="6" width="12.88"/>
    <col customWidth="1" min="7" max="7" width="8.63"/>
    <col customWidth="1" min="8" max="8" width="10.5"/>
    <col customWidth="1" min="9" max="9" width="17.63"/>
    <col customWidth="1" min="10" max="11" width="8.63"/>
    <col customWidth="1" min="12" max="12" width="18.5"/>
    <col customWidth="1" min="13" max="20" width="8.63"/>
  </cols>
  <sheetData>
    <row r="1" ht="14.25" customHeight="1">
      <c r="L1" s="55"/>
    </row>
    <row r="2" ht="14.25" customHeight="1">
      <c r="C2" s="48" t="s">
        <v>488</v>
      </c>
      <c r="D2" s="36"/>
      <c r="E2" s="36"/>
      <c r="F2" s="36"/>
      <c r="G2" s="36"/>
      <c r="H2" s="36"/>
      <c r="L2" s="55"/>
    </row>
    <row r="3" ht="14.25" customHeight="1">
      <c r="L3" s="55"/>
    </row>
    <row r="4" ht="14.25" customHeight="1">
      <c r="B4" s="38" t="s">
        <v>0</v>
      </c>
      <c r="C4" s="38" t="s">
        <v>1</v>
      </c>
      <c r="D4" s="38" t="s">
        <v>2</v>
      </c>
      <c r="E4" s="38" t="s">
        <v>3</v>
      </c>
      <c r="F4" s="38" t="s">
        <v>4</v>
      </c>
      <c r="G4" s="38" t="s">
        <v>5</v>
      </c>
      <c r="H4" s="38" t="s">
        <v>6</v>
      </c>
      <c r="I4" s="38" t="s">
        <v>7</v>
      </c>
      <c r="J4" s="39" t="s">
        <v>8</v>
      </c>
      <c r="K4" s="39" t="s">
        <v>9</v>
      </c>
      <c r="L4" s="39" t="s">
        <v>10</v>
      </c>
    </row>
    <row r="5" ht="14.25" customHeight="1">
      <c r="B5" s="40" t="s">
        <v>13</v>
      </c>
      <c r="C5" s="41" t="s">
        <v>14</v>
      </c>
      <c r="D5" s="41" t="s">
        <v>15</v>
      </c>
      <c r="E5" s="41" t="s">
        <v>16</v>
      </c>
      <c r="F5" s="41" t="s">
        <v>17</v>
      </c>
      <c r="G5" s="41" t="s">
        <v>18</v>
      </c>
      <c r="H5" s="42">
        <v>44927.0</v>
      </c>
      <c r="I5" s="41">
        <v>235.0</v>
      </c>
      <c r="J5" s="43">
        <v>152.92</v>
      </c>
      <c r="K5" s="43">
        <v>153.6</v>
      </c>
      <c r="L5" s="43">
        <v>35936.2</v>
      </c>
    </row>
    <row r="6" ht="14.25" customHeight="1">
      <c r="B6" s="41" t="s">
        <v>19</v>
      </c>
      <c r="C6" s="41" t="s">
        <v>20</v>
      </c>
      <c r="D6" s="41" t="s">
        <v>21</v>
      </c>
      <c r="E6" s="41" t="s">
        <v>22</v>
      </c>
      <c r="F6" s="41" t="s">
        <v>17</v>
      </c>
      <c r="G6" s="41" t="s">
        <v>23</v>
      </c>
      <c r="H6" s="42">
        <v>44928.0</v>
      </c>
      <c r="I6" s="41">
        <v>341.0</v>
      </c>
      <c r="J6" s="43">
        <v>467.92</v>
      </c>
      <c r="K6" s="43">
        <v>139.84</v>
      </c>
      <c r="L6" s="43">
        <v>159560.72</v>
      </c>
      <c r="M6" s="56"/>
      <c r="N6" s="56"/>
    </row>
    <row r="7" ht="14.25" customHeight="1">
      <c r="B7" s="41" t="s">
        <v>24</v>
      </c>
      <c r="C7" s="41" t="s">
        <v>25</v>
      </c>
      <c r="D7" s="41" t="s">
        <v>21</v>
      </c>
      <c r="E7" s="41" t="s">
        <v>26</v>
      </c>
      <c r="F7" s="41" t="s">
        <v>27</v>
      </c>
      <c r="G7" s="41" t="s">
        <v>18</v>
      </c>
      <c r="H7" s="42">
        <v>44929.0</v>
      </c>
      <c r="I7" s="41">
        <v>179.0</v>
      </c>
      <c r="J7" s="43">
        <v>473.94</v>
      </c>
      <c r="K7" s="43">
        <v>97.14</v>
      </c>
      <c r="L7" s="43">
        <v>84835.26</v>
      </c>
    </row>
    <row r="8" ht="14.25" customHeight="1">
      <c r="B8" s="41" t="s">
        <v>28</v>
      </c>
      <c r="C8" s="41" t="s">
        <v>14</v>
      </c>
      <c r="D8" s="41" t="s">
        <v>29</v>
      </c>
      <c r="E8" s="41" t="s">
        <v>30</v>
      </c>
      <c r="F8" s="41" t="s">
        <v>27</v>
      </c>
      <c r="G8" s="41" t="s">
        <v>31</v>
      </c>
      <c r="H8" s="42">
        <v>44930.0</v>
      </c>
      <c r="I8" s="41">
        <v>18.0</v>
      </c>
      <c r="J8" s="43">
        <v>314.53</v>
      </c>
      <c r="K8" s="43">
        <v>204.87</v>
      </c>
      <c r="L8" s="43">
        <v>5661.539999999999</v>
      </c>
      <c r="M8" s="56"/>
      <c r="N8" s="56"/>
      <c r="O8" s="56"/>
      <c r="P8" s="56"/>
      <c r="Q8" s="56"/>
      <c r="R8" s="56"/>
      <c r="S8" s="56"/>
      <c r="T8" s="56"/>
    </row>
    <row r="9" ht="14.25" customHeight="1">
      <c r="B9" s="41" t="s">
        <v>32</v>
      </c>
      <c r="C9" s="41" t="s">
        <v>14</v>
      </c>
      <c r="D9" s="41" t="s">
        <v>21</v>
      </c>
      <c r="E9" s="41" t="s">
        <v>30</v>
      </c>
      <c r="F9" s="41" t="s">
        <v>27</v>
      </c>
      <c r="G9" s="41" t="s">
        <v>31</v>
      </c>
      <c r="H9" s="42">
        <v>44931.0</v>
      </c>
      <c r="I9" s="41">
        <v>472.0</v>
      </c>
      <c r="J9" s="43">
        <v>392.79</v>
      </c>
      <c r="K9" s="43">
        <v>330.46</v>
      </c>
      <c r="L9" s="43">
        <v>185396.88</v>
      </c>
    </row>
    <row r="10" ht="14.25" customHeight="1">
      <c r="B10" s="41" t="s">
        <v>33</v>
      </c>
      <c r="C10" s="41" t="s">
        <v>20</v>
      </c>
      <c r="D10" s="41" t="s">
        <v>34</v>
      </c>
      <c r="E10" s="41" t="s">
        <v>26</v>
      </c>
      <c r="F10" s="41" t="s">
        <v>17</v>
      </c>
      <c r="G10" s="41" t="s">
        <v>18</v>
      </c>
      <c r="H10" s="42">
        <v>44932.0</v>
      </c>
      <c r="I10" s="41">
        <v>49.0</v>
      </c>
      <c r="J10" s="43">
        <v>308.07</v>
      </c>
      <c r="K10" s="43">
        <v>113.32</v>
      </c>
      <c r="L10" s="43">
        <v>15095.43</v>
      </c>
      <c r="M10" s="56"/>
      <c r="N10" s="56"/>
      <c r="O10" s="56"/>
      <c r="P10" s="56"/>
      <c r="Q10" s="56"/>
      <c r="R10" s="56"/>
      <c r="S10" s="56"/>
      <c r="T10" s="57"/>
    </row>
    <row r="11" ht="14.25" customHeight="1">
      <c r="B11" s="41" t="s">
        <v>35</v>
      </c>
      <c r="C11" s="41" t="s">
        <v>25</v>
      </c>
      <c r="D11" s="41" t="s">
        <v>15</v>
      </c>
      <c r="E11" s="41" t="s">
        <v>26</v>
      </c>
      <c r="F11" s="41" t="s">
        <v>17</v>
      </c>
      <c r="G11" s="41" t="s">
        <v>23</v>
      </c>
      <c r="H11" s="42">
        <v>44933.0</v>
      </c>
      <c r="I11" s="41">
        <v>34.0</v>
      </c>
      <c r="J11" s="43">
        <v>244.78</v>
      </c>
      <c r="K11" s="43">
        <v>377.07</v>
      </c>
      <c r="L11" s="43">
        <v>8322.52</v>
      </c>
    </row>
    <row r="12" ht="14.25" customHeight="1">
      <c r="B12" s="41" t="s">
        <v>36</v>
      </c>
      <c r="C12" s="41" t="s">
        <v>25</v>
      </c>
      <c r="D12" s="41" t="s">
        <v>21</v>
      </c>
      <c r="E12" s="41" t="s">
        <v>16</v>
      </c>
      <c r="F12" s="41" t="s">
        <v>17</v>
      </c>
      <c r="G12" s="41" t="s">
        <v>18</v>
      </c>
      <c r="H12" s="42">
        <v>44934.0</v>
      </c>
      <c r="I12" s="41">
        <v>270.0</v>
      </c>
      <c r="J12" s="43">
        <v>332.11</v>
      </c>
      <c r="K12" s="43">
        <v>349.59</v>
      </c>
      <c r="L12" s="43">
        <v>89669.7</v>
      </c>
    </row>
    <row r="13" ht="14.25" customHeight="1">
      <c r="B13" s="41" t="s">
        <v>37</v>
      </c>
      <c r="C13" s="41" t="s">
        <v>14</v>
      </c>
      <c r="D13" s="41" t="s">
        <v>21</v>
      </c>
      <c r="E13" s="41" t="s">
        <v>16</v>
      </c>
      <c r="F13" s="41" t="s">
        <v>17</v>
      </c>
      <c r="G13" s="41" t="s">
        <v>23</v>
      </c>
      <c r="H13" s="42">
        <v>44935.0</v>
      </c>
      <c r="I13" s="41">
        <v>404.0</v>
      </c>
      <c r="J13" s="43">
        <v>278.74</v>
      </c>
      <c r="K13" s="43">
        <v>66.38</v>
      </c>
      <c r="L13" s="43">
        <v>112610.96</v>
      </c>
    </row>
    <row r="14" ht="14.25" customHeight="1">
      <c r="B14" s="41" t="s">
        <v>38</v>
      </c>
      <c r="C14" s="41" t="s">
        <v>39</v>
      </c>
      <c r="D14" s="41" t="s">
        <v>29</v>
      </c>
      <c r="E14" s="41" t="s">
        <v>30</v>
      </c>
      <c r="F14" s="41" t="s">
        <v>17</v>
      </c>
      <c r="G14" s="41" t="s">
        <v>31</v>
      </c>
      <c r="H14" s="42">
        <v>44936.0</v>
      </c>
      <c r="I14" s="41">
        <v>452.0</v>
      </c>
      <c r="J14" s="43">
        <v>300.75</v>
      </c>
      <c r="K14" s="43">
        <v>314.94</v>
      </c>
      <c r="L14" s="43">
        <v>135939.0</v>
      </c>
    </row>
    <row r="15" ht="14.25" customHeight="1">
      <c r="B15" s="41" t="s">
        <v>40</v>
      </c>
      <c r="C15" s="41" t="s">
        <v>14</v>
      </c>
      <c r="D15" s="41" t="s">
        <v>29</v>
      </c>
      <c r="E15" s="41" t="s">
        <v>22</v>
      </c>
      <c r="F15" s="41" t="s">
        <v>17</v>
      </c>
      <c r="G15" s="41" t="s">
        <v>23</v>
      </c>
      <c r="H15" s="42">
        <v>44937.0</v>
      </c>
      <c r="I15" s="41">
        <v>235.0</v>
      </c>
      <c r="J15" s="43">
        <v>393.0</v>
      </c>
      <c r="K15" s="43">
        <v>230.69</v>
      </c>
      <c r="L15" s="43">
        <v>92355.0</v>
      </c>
    </row>
    <row r="16" ht="14.25" customHeight="1">
      <c r="B16" s="41" t="s">
        <v>41</v>
      </c>
      <c r="C16" s="41" t="s">
        <v>14</v>
      </c>
      <c r="D16" s="41" t="s">
        <v>34</v>
      </c>
      <c r="E16" s="41" t="s">
        <v>30</v>
      </c>
      <c r="F16" s="41" t="s">
        <v>27</v>
      </c>
      <c r="G16" s="41" t="s">
        <v>31</v>
      </c>
      <c r="H16" s="42">
        <v>44938.0</v>
      </c>
      <c r="I16" s="41">
        <v>481.0</v>
      </c>
      <c r="J16" s="43">
        <v>243.05</v>
      </c>
      <c r="K16" s="43">
        <v>227.5</v>
      </c>
      <c r="L16" s="43">
        <v>116907.05</v>
      </c>
    </row>
    <row r="17" ht="14.25" customHeight="1">
      <c r="B17" s="41" t="s">
        <v>42</v>
      </c>
      <c r="C17" s="41" t="s">
        <v>14</v>
      </c>
      <c r="D17" s="41" t="s">
        <v>15</v>
      </c>
      <c r="E17" s="41" t="s">
        <v>22</v>
      </c>
      <c r="F17" s="41" t="s">
        <v>27</v>
      </c>
      <c r="G17" s="41" t="s">
        <v>23</v>
      </c>
      <c r="H17" s="42">
        <v>44939.0</v>
      </c>
      <c r="I17" s="41">
        <v>133.0</v>
      </c>
      <c r="J17" s="43">
        <v>25.17</v>
      </c>
      <c r="K17" s="43">
        <v>157.64</v>
      </c>
      <c r="L17" s="43">
        <v>3347.61</v>
      </c>
    </row>
    <row r="18" ht="14.25" customHeight="1">
      <c r="B18" s="41" t="s">
        <v>43</v>
      </c>
      <c r="C18" s="41" t="s">
        <v>14</v>
      </c>
      <c r="D18" s="41" t="s">
        <v>29</v>
      </c>
      <c r="E18" s="41" t="s">
        <v>22</v>
      </c>
      <c r="F18" s="41" t="s">
        <v>27</v>
      </c>
      <c r="G18" s="41" t="s">
        <v>23</v>
      </c>
      <c r="H18" s="42">
        <v>44940.0</v>
      </c>
      <c r="I18" s="41">
        <v>472.0</v>
      </c>
      <c r="J18" s="43">
        <v>86.18</v>
      </c>
      <c r="K18" s="43">
        <v>201.46</v>
      </c>
      <c r="L18" s="43">
        <v>40676.96000000001</v>
      </c>
    </row>
    <row r="19" ht="14.25" customHeight="1">
      <c r="B19" s="41" t="s">
        <v>44</v>
      </c>
      <c r="C19" s="41" t="s">
        <v>20</v>
      </c>
      <c r="D19" s="41" t="s">
        <v>21</v>
      </c>
      <c r="E19" s="41" t="s">
        <v>16</v>
      </c>
      <c r="F19" s="41" t="s">
        <v>27</v>
      </c>
      <c r="G19" s="41" t="s">
        <v>23</v>
      </c>
      <c r="H19" s="42">
        <v>44941.0</v>
      </c>
      <c r="I19" s="41">
        <v>47.0</v>
      </c>
      <c r="J19" s="43">
        <v>222.11</v>
      </c>
      <c r="K19" s="43">
        <v>160.08</v>
      </c>
      <c r="L19" s="43">
        <v>10439.17</v>
      </c>
    </row>
    <row r="20" ht="14.25" customHeight="1">
      <c r="B20" s="41" t="s">
        <v>45</v>
      </c>
      <c r="C20" s="41" t="s">
        <v>25</v>
      </c>
      <c r="D20" s="41" t="s">
        <v>15</v>
      </c>
      <c r="E20" s="41" t="s">
        <v>46</v>
      </c>
      <c r="F20" s="41" t="s">
        <v>17</v>
      </c>
      <c r="G20" s="41" t="s">
        <v>18</v>
      </c>
      <c r="H20" s="42">
        <v>44942.0</v>
      </c>
      <c r="I20" s="41">
        <v>337.0</v>
      </c>
      <c r="J20" s="43">
        <v>363.79</v>
      </c>
      <c r="K20" s="43">
        <v>216.81</v>
      </c>
      <c r="L20" s="43">
        <v>122597.23000000001</v>
      </c>
    </row>
    <row r="21" ht="14.25" customHeight="1">
      <c r="B21" s="41" t="s">
        <v>47</v>
      </c>
      <c r="C21" s="41" t="s">
        <v>20</v>
      </c>
      <c r="D21" s="41" t="s">
        <v>15</v>
      </c>
      <c r="E21" s="41" t="s">
        <v>46</v>
      </c>
      <c r="F21" s="41" t="s">
        <v>17</v>
      </c>
      <c r="G21" s="41" t="s">
        <v>18</v>
      </c>
      <c r="H21" s="42">
        <v>44943.0</v>
      </c>
      <c r="I21" s="41">
        <v>260.0</v>
      </c>
      <c r="J21" s="43">
        <v>298.67</v>
      </c>
      <c r="K21" s="43">
        <v>251.92</v>
      </c>
      <c r="L21" s="43">
        <v>77654.2</v>
      </c>
    </row>
    <row r="22" ht="14.25" customHeight="1">
      <c r="B22" s="41" t="s">
        <v>48</v>
      </c>
      <c r="C22" s="41" t="s">
        <v>39</v>
      </c>
      <c r="D22" s="41" t="s">
        <v>21</v>
      </c>
      <c r="E22" s="41" t="s">
        <v>26</v>
      </c>
      <c r="F22" s="41" t="s">
        <v>27</v>
      </c>
      <c r="G22" s="41" t="s">
        <v>31</v>
      </c>
      <c r="H22" s="42">
        <v>44944.0</v>
      </c>
      <c r="I22" s="41">
        <v>398.0</v>
      </c>
      <c r="J22" s="43">
        <v>326.9</v>
      </c>
      <c r="K22" s="43">
        <v>270.37</v>
      </c>
      <c r="L22" s="43">
        <v>130106.2</v>
      </c>
    </row>
    <row r="23" ht="14.25" customHeight="1">
      <c r="B23" s="41" t="s">
        <v>49</v>
      </c>
      <c r="C23" s="41" t="s">
        <v>20</v>
      </c>
      <c r="D23" s="41" t="s">
        <v>29</v>
      </c>
      <c r="E23" s="41" t="s">
        <v>16</v>
      </c>
      <c r="F23" s="41" t="s">
        <v>17</v>
      </c>
      <c r="G23" s="41" t="s">
        <v>31</v>
      </c>
      <c r="H23" s="42">
        <v>44945.0</v>
      </c>
      <c r="I23" s="41">
        <v>185.0</v>
      </c>
      <c r="J23" s="43">
        <v>242.24</v>
      </c>
      <c r="K23" s="43">
        <v>213.93</v>
      </c>
      <c r="L23" s="43">
        <v>44814.4</v>
      </c>
    </row>
    <row r="24" ht="14.25" customHeight="1">
      <c r="B24" s="41" t="s">
        <v>50</v>
      </c>
      <c r="C24" s="41" t="s">
        <v>14</v>
      </c>
      <c r="D24" s="41" t="s">
        <v>21</v>
      </c>
      <c r="E24" s="41" t="s">
        <v>22</v>
      </c>
      <c r="F24" s="41" t="s">
        <v>27</v>
      </c>
      <c r="G24" s="41" t="s">
        <v>18</v>
      </c>
      <c r="H24" s="42">
        <v>44946.0</v>
      </c>
      <c r="I24" s="41">
        <v>99.0</v>
      </c>
      <c r="J24" s="43">
        <v>309.79</v>
      </c>
      <c r="K24" s="43">
        <v>289.13</v>
      </c>
      <c r="L24" s="43">
        <v>30669.210000000003</v>
      </c>
    </row>
    <row r="25" ht="14.25" customHeight="1">
      <c r="B25" s="41" t="s">
        <v>51</v>
      </c>
      <c r="C25" s="41" t="s">
        <v>52</v>
      </c>
      <c r="D25" s="41" t="s">
        <v>15</v>
      </c>
      <c r="E25" s="41" t="s">
        <v>46</v>
      </c>
      <c r="F25" s="41" t="s">
        <v>27</v>
      </c>
      <c r="G25" s="41" t="s">
        <v>31</v>
      </c>
      <c r="H25" s="42">
        <v>44947.0</v>
      </c>
      <c r="I25" s="41">
        <v>411.0</v>
      </c>
      <c r="J25" s="43">
        <v>167.86</v>
      </c>
      <c r="K25" s="43">
        <v>58.23</v>
      </c>
      <c r="L25" s="43">
        <v>68990.46</v>
      </c>
    </row>
    <row r="26" ht="14.25" customHeight="1">
      <c r="B26" s="41" t="s">
        <v>53</v>
      </c>
      <c r="C26" s="41" t="s">
        <v>25</v>
      </c>
      <c r="D26" s="41" t="s">
        <v>54</v>
      </c>
      <c r="E26" s="41" t="s">
        <v>22</v>
      </c>
      <c r="F26" s="41" t="s">
        <v>27</v>
      </c>
      <c r="G26" s="41" t="s">
        <v>18</v>
      </c>
      <c r="H26" s="42">
        <v>44948.0</v>
      </c>
      <c r="I26" s="41">
        <v>463.0</v>
      </c>
      <c r="J26" s="43">
        <v>237.74</v>
      </c>
      <c r="K26" s="43">
        <v>86.37</v>
      </c>
      <c r="L26" s="43">
        <v>110073.62000000001</v>
      </c>
    </row>
    <row r="27" ht="14.25" customHeight="1">
      <c r="B27" s="41" t="s">
        <v>55</v>
      </c>
      <c r="C27" s="41" t="s">
        <v>52</v>
      </c>
      <c r="D27" s="41" t="s">
        <v>54</v>
      </c>
      <c r="E27" s="41" t="s">
        <v>46</v>
      </c>
      <c r="F27" s="41" t="s">
        <v>17</v>
      </c>
      <c r="G27" s="41" t="s">
        <v>23</v>
      </c>
      <c r="H27" s="42">
        <v>44949.0</v>
      </c>
      <c r="I27" s="41">
        <v>46.0</v>
      </c>
      <c r="J27" s="43">
        <v>373.42</v>
      </c>
      <c r="K27" s="43">
        <v>327.86</v>
      </c>
      <c r="L27" s="43">
        <v>17177.32</v>
      </c>
    </row>
    <row r="28" ht="14.25" customHeight="1">
      <c r="B28" s="41" t="s">
        <v>56</v>
      </c>
      <c r="C28" s="41" t="s">
        <v>20</v>
      </c>
      <c r="D28" s="41" t="s">
        <v>34</v>
      </c>
      <c r="E28" s="41" t="s">
        <v>46</v>
      </c>
      <c r="F28" s="41" t="s">
        <v>27</v>
      </c>
      <c r="G28" s="41" t="s">
        <v>31</v>
      </c>
      <c r="H28" s="42">
        <v>44950.0</v>
      </c>
      <c r="I28" s="41">
        <v>325.0</v>
      </c>
      <c r="J28" s="43">
        <v>436.56</v>
      </c>
      <c r="K28" s="43">
        <v>130.37</v>
      </c>
      <c r="L28" s="43">
        <v>141882.0</v>
      </c>
    </row>
    <row r="29" ht="14.25" customHeight="1">
      <c r="B29" s="41" t="s">
        <v>57</v>
      </c>
      <c r="C29" s="41" t="s">
        <v>20</v>
      </c>
      <c r="D29" s="41" t="s">
        <v>21</v>
      </c>
      <c r="E29" s="41" t="s">
        <v>39</v>
      </c>
      <c r="F29" s="41" t="s">
        <v>27</v>
      </c>
      <c r="G29" s="41" t="s">
        <v>31</v>
      </c>
      <c r="H29" s="42">
        <v>44951.0</v>
      </c>
      <c r="I29" s="41">
        <v>185.0</v>
      </c>
      <c r="J29" s="43">
        <v>219.66</v>
      </c>
      <c r="K29" s="43">
        <v>11.11</v>
      </c>
      <c r="L29" s="43">
        <v>40637.1</v>
      </c>
    </row>
    <row r="30" ht="14.25" customHeight="1">
      <c r="B30" s="41" t="s">
        <v>58</v>
      </c>
      <c r="C30" s="41" t="s">
        <v>52</v>
      </c>
      <c r="D30" s="41" t="s">
        <v>21</v>
      </c>
      <c r="E30" s="41" t="s">
        <v>16</v>
      </c>
      <c r="F30" s="41" t="s">
        <v>27</v>
      </c>
      <c r="G30" s="41" t="s">
        <v>18</v>
      </c>
      <c r="H30" s="42">
        <v>44952.0</v>
      </c>
      <c r="I30" s="41">
        <v>470.0</v>
      </c>
      <c r="J30" s="43">
        <v>26.61</v>
      </c>
      <c r="K30" s="43">
        <v>63.21</v>
      </c>
      <c r="L30" s="43">
        <v>12506.699999999999</v>
      </c>
    </row>
    <row r="31" ht="14.25" customHeight="1">
      <c r="B31" s="41" t="s">
        <v>59</v>
      </c>
      <c r="C31" s="41" t="s">
        <v>52</v>
      </c>
      <c r="D31" s="41" t="s">
        <v>34</v>
      </c>
      <c r="E31" s="41" t="s">
        <v>30</v>
      </c>
      <c r="F31" s="41" t="s">
        <v>17</v>
      </c>
      <c r="G31" s="41" t="s">
        <v>31</v>
      </c>
      <c r="H31" s="42">
        <v>44953.0</v>
      </c>
      <c r="I31" s="41">
        <v>293.0</v>
      </c>
      <c r="J31" s="43">
        <v>85.03</v>
      </c>
      <c r="K31" s="43">
        <v>91.0</v>
      </c>
      <c r="L31" s="43">
        <v>24913.79</v>
      </c>
    </row>
    <row r="32" ht="14.25" customHeight="1">
      <c r="B32" s="41" t="s">
        <v>60</v>
      </c>
      <c r="C32" s="41" t="s">
        <v>52</v>
      </c>
      <c r="D32" s="41" t="s">
        <v>34</v>
      </c>
      <c r="E32" s="41" t="s">
        <v>22</v>
      </c>
      <c r="F32" s="41" t="s">
        <v>17</v>
      </c>
      <c r="G32" s="41" t="s">
        <v>31</v>
      </c>
      <c r="H32" s="42">
        <v>44954.0</v>
      </c>
      <c r="I32" s="41">
        <v>462.0</v>
      </c>
      <c r="J32" s="43">
        <v>249.64520588235297</v>
      </c>
      <c r="K32" s="43">
        <v>383.01</v>
      </c>
      <c r="L32" s="43">
        <v>115336.08511764708</v>
      </c>
    </row>
    <row r="33" ht="14.25" customHeight="1">
      <c r="B33" s="41" t="s">
        <v>61</v>
      </c>
      <c r="C33" s="41" t="s">
        <v>20</v>
      </c>
      <c r="D33" s="41" t="s">
        <v>34</v>
      </c>
      <c r="E33" s="41" t="s">
        <v>16</v>
      </c>
      <c r="F33" s="41" t="s">
        <v>27</v>
      </c>
      <c r="G33" s="41" t="s">
        <v>23</v>
      </c>
      <c r="H33" s="42">
        <v>44955.0</v>
      </c>
      <c r="I33" s="41">
        <v>470.0</v>
      </c>
      <c r="J33" s="43">
        <v>328.37</v>
      </c>
      <c r="K33" s="43">
        <v>230.07</v>
      </c>
      <c r="L33" s="43">
        <v>154333.9</v>
      </c>
    </row>
    <row r="34" ht="14.25" customHeight="1">
      <c r="B34" s="41" t="s">
        <v>62</v>
      </c>
      <c r="C34" s="41" t="s">
        <v>20</v>
      </c>
      <c r="D34" s="41" t="s">
        <v>15</v>
      </c>
      <c r="E34" s="41" t="s">
        <v>16</v>
      </c>
      <c r="F34" s="41" t="s">
        <v>17</v>
      </c>
      <c r="G34" s="41" t="s">
        <v>31</v>
      </c>
      <c r="H34" s="42">
        <v>44956.0</v>
      </c>
      <c r="I34" s="41">
        <v>90.0</v>
      </c>
      <c r="J34" s="43">
        <v>169.5</v>
      </c>
      <c r="K34" s="43">
        <v>373.23</v>
      </c>
      <c r="L34" s="43">
        <v>15255.0</v>
      </c>
    </row>
    <row r="35" ht="14.25" customHeight="1">
      <c r="B35" s="41" t="s">
        <v>63</v>
      </c>
      <c r="C35" s="41" t="s">
        <v>39</v>
      </c>
      <c r="D35" s="41" t="s">
        <v>21</v>
      </c>
      <c r="E35" s="41" t="s">
        <v>16</v>
      </c>
      <c r="F35" s="41" t="s">
        <v>17</v>
      </c>
      <c r="G35" s="41" t="s">
        <v>23</v>
      </c>
      <c r="H35" s="42">
        <v>44957.0</v>
      </c>
      <c r="I35" s="41">
        <v>123.0</v>
      </c>
      <c r="J35" s="43">
        <v>273.53</v>
      </c>
      <c r="K35" s="43">
        <v>230.92</v>
      </c>
      <c r="L35" s="43">
        <v>33644.189999999995</v>
      </c>
    </row>
    <row r="36" ht="14.25" customHeight="1">
      <c r="B36" s="41" t="s">
        <v>64</v>
      </c>
      <c r="C36" s="41" t="s">
        <v>25</v>
      </c>
      <c r="D36" s="41" t="s">
        <v>15</v>
      </c>
      <c r="E36" s="41" t="s">
        <v>16</v>
      </c>
      <c r="F36" s="41" t="s">
        <v>17</v>
      </c>
      <c r="G36" s="41" t="s">
        <v>18</v>
      </c>
      <c r="H36" s="42">
        <v>44958.0</v>
      </c>
      <c r="I36" s="41">
        <v>49.0</v>
      </c>
      <c r="J36" s="43">
        <v>249.17</v>
      </c>
      <c r="K36" s="43">
        <v>192.78</v>
      </c>
      <c r="L36" s="43">
        <v>12209.33</v>
      </c>
    </row>
    <row r="37" ht="14.25" customHeight="1">
      <c r="B37" s="41" t="s">
        <v>65</v>
      </c>
      <c r="C37" s="41" t="s">
        <v>20</v>
      </c>
      <c r="D37" s="41" t="s">
        <v>34</v>
      </c>
      <c r="E37" s="41" t="s">
        <v>16</v>
      </c>
      <c r="F37" s="41" t="s">
        <v>17</v>
      </c>
      <c r="G37" s="41" t="s">
        <v>31</v>
      </c>
      <c r="H37" s="42">
        <v>44959.0</v>
      </c>
      <c r="I37" s="41">
        <v>310.0</v>
      </c>
      <c r="J37" s="43">
        <v>45.36</v>
      </c>
      <c r="K37" s="43">
        <v>126.86</v>
      </c>
      <c r="L37" s="43">
        <v>14061.6</v>
      </c>
    </row>
    <row r="38" ht="14.25" customHeight="1">
      <c r="B38" s="41" t="s">
        <v>66</v>
      </c>
      <c r="C38" s="41" t="s">
        <v>52</v>
      </c>
      <c r="D38" s="41" t="s">
        <v>21</v>
      </c>
      <c r="E38" s="41" t="s">
        <v>26</v>
      </c>
      <c r="F38" s="41" t="s">
        <v>17</v>
      </c>
      <c r="G38" s="41" t="s">
        <v>23</v>
      </c>
      <c r="H38" s="42">
        <v>44960.0</v>
      </c>
      <c r="I38" s="41">
        <v>233.0</v>
      </c>
      <c r="J38" s="43">
        <v>204.61</v>
      </c>
      <c r="K38" s="43">
        <v>243.34</v>
      </c>
      <c r="L38" s="43">
        <v>47674.130000000005</v>
      </c>
    </row>
    <row r="39" ht="14.25" customHeight="1">
      <c r="B39" s="41" t="s">
        <v>67</v>
      </c>
      <c r="C39" s="41" t="s">
        <v>52</v>
      </c>
      <c r="D39" s="41" t="s">
        <v>15</v>
      </c>
      <c r="E39" s="41" t="s">
        <v>22</v>
      </c>
      <c r="F39" s="41" t="s">
        <v>17</v>
      </c>
      <c r="G39" s="41" t="s">
        <v>18</v>
      </c>
      <c r="H39" s="42">
        <v>44961.0</v>
      </c>
      <c r="I39" s="41">
        <v>327.0</v>
      </c>
      <c r="J39" s="43">
        <v>114.18</v>
      </c>
      <c r="K39" s="43">
        <v>57.4</v>
      </c>
      <c r="L39" s="43">
        <v>37336.86</v>
      </c>
    </row>
    <row r="40" ht="14.25" customHeight="1">
      <c r="B40" s="41" t="s">
        <v>68</v>
      </c>
      <c r="C40" s="41" t="s">
        <v>25</v>
      </c>
      <c r="D40" s="41" t="s">
        <v>15</v>
      </c>
      <c r="E40" s="41" t="s">
        <v>16</v>
      </c>
      <c r="F40" s="41" t="s">
        <v>17</v>
      </c>
      <c r="G40" s="41" t="s">
        <v>31</v>
      </c>
      <c r="H40" s="42">
        <v>44962.0</v>
      </c>
      <c r="I40" s="41">
        <v>358.0</v>
      </c>
      <c r="J40" s="43">
        <v>212.11</v>
      </c>
      <c r="K40" s="43">
        <v>359.51</v>
      </c>
      <c r="L40" s="43">
        <v>75935.38</v>
      </c>
    </row>
    <row r="41" ht="14.25" customHeight="1">
      <c r="B41" s="41" t="s">
        <v>69</v>
      </c>
      <c r="C41" s="41" t="s">
        <v>20</v>
      </c>
      <c r="D41" s="41" t="s">
        <v>34</v>
      </c>
      <c r="E41" s="41" t="s">
        <v>22</v>
      </c>
      <c r="F41" s="41" t="s">
        <v>17</v>
      </c>
      <c r="G41" s="41" t="s">
        <v>18</v>
      </c>
      <c r="H41" s="42">
        <v>44963.0</v>
      </c>
      <c r="I41" s="41">
        <v>124.0</v>
      </c>
      <c r="J41" s="43">
        <v>249.64520588235297</v>
      </c>
      <c r="K41" s="43">
        <v>332.07</v>
      </c>
      <c r="L41" s="43">
        <v>30956.005529411766</v>
      </c>
    </row>
    <row r="42" ht="14.25" customHeight="1">
      <c r="B42" s="41" t="s">
        <v>70</v>
      </c>
      <c r="C42" s="41" t="s">
        <v>25</v>
      </c>
      <c r="D42" s="41" t="s">
        <v>21</v>
      </c>
      <c r="E42" s="41" t="s">
        <v>26</v>
      </c>
      <c r="F42" s="41" t="s">
        <v>17</v>
      </c>
      <c r="G42" s="41" t="s">
        <v>31</v>
      </c>
      <c r="H42" s="42">
        <v>44964.0</v>
      </c>
      <c r="I42" s="41">
        <v>195.0</v>
      </c>
      <c r="J42" s="43">
        <v>421.02</v>
      </c>
      <c r="K42" s="43">
        <v>128.38</v>
      </c>
      <c r="L42" s="43">
        <v>82098.9</v>
      </c>
    </row>
    <row r="43" ht="14.25" customHeight="1">
      <c r="B43" s="41" t="s">
        <v>71</v>
      </c>
      <c r="C43" s="41" t="s">
        <v>25</v>
      </c>
      <c r="D43" s="41" t="s">
        <v>34</v>
      </c>
      <c r="E43" s="41" t="s">
        <v>26</v>
      </c>
      <c r="F43" s="41" t="s">
        <v>17</v>
      </c>
      <c r="G43" s="41" t="s">
        <v>18</v>
      </c>
      <c r="H43" s="42">
        <v>44965.0</v>
      </c>
      <c r="I43" s="45">
        <v>255.9029411764706</v>
      </c>
      <c r="J43" s="43">
        <v>91.23</v>
      </c>
      <c r="K43" s="43">
        <v>381.21</v>
      </c>
      <c r="L43" s="43">
        <v>23346.02532352941</v>
      </c>
    </row>
    <row r="44" ht="14.25" customHeight="1">
      <c r="B44" s="41" t="s">
        <v>72</v>
      </c>
      <c r="C44" s="41" t="s">
        <v>14</v>
      </c>
      <c r="D44" s="41" t="s">
        <v>21</v>
      </c>
      <c r="E44" s="41" t="s">
        <v>22</v>
      </c>
      <c r="F44" s="41" t="s">
        <v>27</v>
      </c>
      <c r="G44" s="41" t="s">
        <v>18</v>
      </c>
      <c r="H44" s="42">
        <v>44966.0</v>
      </c>
      <c r="I44" s="41">
        <v>65.0</v>
      </c>
      <c r="J44" s="43">
        <v>480.59</v>
      </c>
      <c r="K44" s="43">
        <v>330.43</v>
      </c>
      <c r="L44" s="43">
        <v>31238.35</v>
      </c>
    </row>
    <row r="45" ht="14.25" customHeight="1">
      <c r="B45" s="41" t="s">
        <v>73</v>
      </c>
      <c r="C45" s="41" t="s">
        <v>14</v>
      </c>
      <c r="D45" s="41" t="s">
        <v>54</v>
      </c>
      <c r="E45" s="41" t="s">
        <v>46</v>
      </c>
      <c r="F45" s="41" t="s">
        <v>27</v>
      </c>
      <c r="G45" s="41" t="s">
        <v>23</v>
      </c>
      <c r="H45" s="42">
        <v>44967.0</v>
      </c>
      <c r="I45" s="41">
        <v>49.0</v>
      </c>
      <c r="J45" s="43">
        <v>210.87</v>
      </c>
      <c r="K45" s="43">
        <v>267.19</v>
      </c>
      <c r="L45" s="43">
        <v>10332.630000000001</v>
      </c>
    </row>
    <row r="46" ht="14.25" customHeight="1">
      <c r="B46" s="41" t="s">
        <v>74</v>
      </c>
      <c r="C46" s="41" t="s">
        <v>14</v>
      </c>
      <c r="D46" s="41" t="s">
        <v>29</v>
      </c>
      <c r="E46" s="41" t="s">
        <v>30</v>
      </c>
      <c r="F46" s="41" t="s">
        <v>17</v>
      </c>
      <c r="G46" s="41" t="s">
        <v>18</v>
      </c>
      <c r="H46" s="42">
        <v>44968.0</v>
      </c>
      <c r="I46" s="41">
        <v>363.0</v>
      </c>
      <c r="J46" s="43">
        <v>423.89</v>
      </c>
      <c r="K46" s="43">
        <v>50.46</v>
      </c>
      <c r="L46" s="43">
        <v>153872.07</v>
      </c>
    </row>
    <row r="47" ht="14.25" customHeight="1">
      <c r="B47" s="41" t="s">
        <v>75</v>
      </c>
      <c r="C47" s="41" t="s">
        <v>52</v>
      </c>
      <c r="D47" s="41" t="s">
        <v>29</v>
      </c>
      <c r="E47" s="41" t="s">
        <v>46</v>
      </c>
      <c r="F47" s="41" t="s">
        <v>27</v>
      </c>
      <c r="G47" s="41" t="s">
        <v>31</v>
      </c>
      <c r="H47" s="42">
        <v>44969.0</v>
      </c>
      <c r="I47" s="41">
        <v>49.0</v>
      </c>
      <c r="J47" s="43">
        <v>316.24</v>
      </c>
      <c r="K47" s="43">
        <v>192.34</v>
      </c>
      <c r="L47" s="43">
        <v>15495.76</v>
      </c>
    </row>
    <row r="48" ht="14.25" customHeight="1">
      <c r="B48" s="41" t="s">
        <v>76</v>
      </c>
      <c r="C48" s="41" t="s">
        <v>20</v>
      </c>
      <c r="D48" s="41" t="s">
        <v>29</v>
      </c>
      <c r="E48" s="41" t="s">
        <v>46</v>
      </c>
      <c r="F48" s="41" t="s">
        <v>27</v>
      </c>
      <c r="G48" s="41" t="s">
        <v>31</v>
      </c>
      <c r="H48" s="42">
        <v>44970.0</v>
      </c>
      <c r="I48" s="41">
        <v>356.0</v>
      </c>
      <c r="J48" s="43">
        <v>369.0</v>
      </c>
      <c r="K48" s="43">
        <v>203.43</v>
      </c>
      <c r="L48" s="43">
        <v>131364.0</v>
      </c>
    </row>
    <row r="49" ht="14.25" customHeight="1">
      <c r="B49" s="41" t="s">
        <v>77</v>
      </c>
      <c r="C49" s="41" t="s">
        <v>20</v>
      </c>
      <c r="D49" s="41" t="s">
        <v>34</v>
      </c>
      <c r="E49" s="41" t="s">
        <v>46</v>
      </c>
      <c r="F49" s="41" t="s">
        <v>17</v>
      </c>
      <c r="G49" s="41" t="s">
        <v>23</v>
      </c>
      <c r="H49" s="42">
        <v>44971.0</v>
      </c>
      <c r="I49" s="41">
        <v>470.0</v>
      </c>
      <c r="J49" s="43">
        <v>249.64520588235297</v>
      </c>
      <c r="K49" s="43">
        <v>94.56</v>
      </c>
      <c r="L49" s="43">
        <v>117333.2467647059</v>
      </c>
    </row>
    <row r="50" ht="14.25" customHeight="1">
      <c r="B50" s="41" t="s">
        <v>78</v>
      </c>
      <c r="C50" s="41" t="s">
        <v>20</v>
      </c>
      <c r="D50" s="41" t="s">
        <v>54</v>
      </c>
      <c r="E50" s="41" t="s">
        <v>16</v>
      </c>
      <c r="F50" s="41" t="s">
        <v>17</v>
      </c>
      <c r="G50" s="41" t="s">
        <v>31</v>
      </c>
      <c r="H50" s="42">
        <v>44972.0</v>
      </c>
      <c r="I50" s="41">
        <v>246.0</v>
      </c>
      <c r="J50" s="43">
        <v>254.9</v>
      </c>
      <c r="K50" s="43">
        <v>33.83</v>
      </c>
      <c r="L50" s="43">
        <v>62705.4</v>
      </c>
    </row>
    <row r="51" ht="14.25" customHeight="1">
      <c r="B51" s="41" t="s">
        <v>79</v>
      </c>
      <c r="C51" s="41" t="s">
        <v>20</v>
      </c>
      <c r="D51" s="41" t="s">
        <v>21</v>
      </c>
      <c r="E51" s="41" t="s">
        <v>26</v>
      </c>
      <c r="F51" s="41" t="s">
        <v>17</v>
      </c>
      <c r="G51" s="41" t="s">
        <v>31</v>
      </c>
      <c r="H51" s="42">
        <v>44973.0</v>
      </c>
      <c r="I51" s="41">
        <v>298.0</v>
      </c>
      <c r="J51" s="43">
        <v>273.93</v>
      </c>
      <c r="K51" s="43">
        <v>311.14</v>
      </c>
      <c r="L51" s="43">
        <v>81631.14</v>
      </c>
    </row>
    <row r="52" ht="14.25" customHeight="1">
      <c r="B52" s="41" t="s">
        <v>80</v>
      </c>
      <c r="C52" s="41" t="s">
        <v>14</v>
      </c>
      <c r="D52" s="41" t="s">
        <v>15</v>
      </c>
      <c r="E52" s="41" t="s">
        <v>46</v>
      </c>
      <c r="F52" s="41" t="s">
        <v>27</v>
      </c>
      <c r="G52" s="41" t="s">
        <v>31</v>
      </c>
      <c r="H52" s="42">
        <v>44974.0</v>
      </c>
      <c r="I52" s="41">
        <v>271.0</v>
      </c>
      <c r="J52" s="43">
        <v>259.43</v>
      </c>
      <c r="K52" s="43">
        <v>50.57</v>
      </c>
      <c r="L52" s="43">
        <v>70305.53</v>
      </c>
    </row>
    <row r="53" ht="14.25" customHeight="1">
      <c r="B53" s="41" t="s">
        <v>81</v>
      </c>
      <c r="C53" s="41" t="s">
        <v>52</v>
      </c>
      <c r="D53" s="41" t="s">
        <v>21</v>
      </c>
      <c r="E53" s="41" t="s">
        <v>26</v>
      </c>
      <c r="F53" s="41" t="s">
        <v>27</v>
      </c>
      <c r="G53" s="41" t="s">
        <v>18</v>
      </c>
      <c r="H53" s="42">
        <v>44975.0</v>
      </c>
      <c r="I53" s="41">
        <v>225.0</v>
      </c>
      <c r="J53" s="43">
        <v>296.09</v>
      </c>
      <c r="K53" s="43">
        <v>238.53</v>
      </c>
      <c r="L53" s="43">
        <v>66620.25</v>
      </c>
    </row>
    <row r="54" ht="14.25" customHeight="1">
      <c r="B54" s="41" t="s">
        <v>82</v>
      </c>
      <c r="C54" s="41" t="s">
        <v>39</v>
      </c>
      <c r="D54" s="41" t="s">
        <v>15</v>
      </c>
      <c r="E54" s="41" t="s">
        <v>22</v>
      </c>
      <c r="F54" s="41" t="s">
        <v>17</v>
      </c>
      <c r="G54" s="41" t="s">
        <v>18</v>
      </c>
      <c r="H54" s="42">
        <v>44976.0</v>
      </c>
      <c r="I54" s="41">
        <v>156.0</v>
      </c>
      <c r="J54" s="43">
        <v>19.55</v>
      </c>
      <c r="K54" s="43">
        <v>374.71</v>
      </c>
      <c r="L54" s="43">
        <v>3049.8</v>
      </c>
    </row>
    <row r="55" ht="14.25" customHeight="1">
      <c r="B55" s="41" t="s">
        <v>83</v>
      </c>
      <c r="C55" s="41" t="s">
        <v>14</v>
      </c>
      <c r="D55" s="41" t="s">
        <v>21</v>
      </c>
      <c r="E55" s="41" t="s">
        <v>30</v>
      </c>
      <c r="F55" s="41" t="s">
        <v>17</v>
      </c>
      <c r="G55" s="41" t="s">
        <v>31</v>
      </c>
      <c r="H55" s="42">
        <v>44977.0</v>
      </c>
      <c r="I55" s="41">
        <v>345.0</v>
      </c>
      <c r="J55" s="43">
        <v>200.78</v>
      </c>
      <c r="K55" s="43">
        <v>350.69</v>
      </c>
      <c r="L55" s="43">
        <v>69269.1</v>
      </c>
    </row>
    <row r="56" ht="14.25" customHeight="1">
      <c r="B56" s="41" t="s">
        <v>84</v>
      </c>
      <c r="C56" s="41" t="s">
        <v>52</v>
      </c>
      <c r="D56" s="41" t="s">
        <v>54</v>
      </c>
      <c r="E56" s="41" t="s">
        <v>22</v>
      </c>
      <c r="F56" s="41" t="s">
        <v>17</v>
      </c>
      <c r="G56" s="41" t="s">
        <v>23</v>
      </c>
      <c r="H56" s="42">
        <v>44978.0</v>
      </c>
      <c r="I56" s="41">
        <v>177.0</v>
      </c>
      <c r="J56" s="43">
        <v>305.06</v>
      </c>
      <c r="K56" s="43">
        <v>112.55</v>
      </c>
      <c r="L56" s="43">
        <v>53995.62</v>
      </c>
    </row>
    <row r="57" ht="14.25" customHeight="1">
      <c r="B57" s="41" t="s">
        <v>85</v>
      </c>
      <c r="C57" s="41" t="s">
        <v>14</v>
      </c>
      <c r="D57" s="41" t="s">
        <v>15</v>
      </c>
      <c r="E57" s="41" t="s">
        <v>22</v>
      </c>
      <c r="F57" s="41" t="s">
        <v>27</v>
      </c>
      <c r="G57" s="41" t="s">
        <v>18</v>
      </c>
      <c r="H57" s="42">
        <v>44979.0</v>
      </c>
      <c r="I57" s="41">
        <v>101.0</v>
      </c>
      <c r="J57" s="43">
        <v>300.87</v>
      </c>
      <c r="K57" s="43">
        <v>340.88</v>
      </c>
      <c r="L57" s="43">
        <v>30387.87</v>
      </c>
    </row>
    <row r="58" ht="14.25" customHeight="1">
      <c r="B58" s="41" t="s">
        <v>86</v>
      </c>
      <c r="C58" s="41" t="s">
        <v>20</v>
      </c>
      <c r="D58" s="41" t="s">
        <v>34</v>
      </c>
      <c r="E58" s="41" t="s">
        <v>16</v>
      </c>
      <c r="F58" s="41" t="s">
        <v>27</v>
      </c>
      <c r="G58" s="41" t="s">
        <v>23</v>
      </c>
      <c r="H58" s="42">
        <v>44980.0</v>
      </c>
      <c r="I58" s="41">
        <v>362.0</v>
      </c>
      <c r="J58" s="43">
        <v>397.51</v>
      </c>
      <c r="K58" s="43">
        <v>2.13</v>
      </c>
      <c r="L58" s="43">
        <v>143898.62</v>
      </c>
    </row>
    <row r="59" ht="14.25" customHeight="1">
      <c r="B59" s="41" t="s">
        <v>87</v>
      </c>
      <c r="C59" s="41" t="s">
        <v>14</v>
      </c>
      <c r="D59" s="41" t="s">
        <v>21</v>
      </c>
      <c r="E59" s="41" t="s">
        <v>30</v>
      </c>
      <c r="F59" s="41" t="s">
        <v>27</v>
      </c>
      <c r="G59" s="41" t="s">
        <v>31</v>
      </c>
      <c r="H59" s="42">
        <v>44981.0</v>
      </c>
      <c r="I59" s="41">
        <v>68.0</v>
      </c>
      <c r="J59" s="43">
        <v>329.23</v>
      </c>
      <c r="K59" s="43">
        <v>9.04</v>
      </c>
      <c r="L59" s="43">
        <v>22387.64</v>
      </c>
    </row>
    <row r="60" ht="14.25" customHeight="1">
      <c r="B60" s="41" t="s">
        <v>88</v>
      </c>
      <c r="C60" s="41" t="s">
        <v>20</v>
      </c>
      <c r="D60" s="41" t="s">
        <v>21</v>
      </c>
      <c r="E60" s="41" t="s">
        <v>22</v>
      </c>
      <c r="F60" s="41" t="s">
        <v>27</v>
      </c>
      <c r="G60" s="41" t="s">
        <v>31</v>
      </c>
      <c r="H60" s="42">
        <v>44982.0</v>
      </c>
      <c r="I60" s="41">
        <v>68.0</v>
      </c>
      <c r="J60" s="43">
        <v>496.11</v>
      </c>
      <c r="K60" s="43">
        <v>241.82</v>
      </c>
      <c r="L60" s="43">
        <v>33735.48</v>
      </c>
    </row>
    <row r="61" ht="14.25" customHeight="1">
      <c r="B61" s="41" t="s">
        <v>89</v>
      </c>
      <c r="C61" s="41" t="s">
        <v>20</v>
      </c>
      <c r="D61" s="41" t="s">
        <v>15</v>
      </c>
      <c r="E61" s="41" t="s">
        <v>22</v>
      </c>
      <c r="F61" s="41" t="s">
        <v>17</v>
      </c>
      <c r="G61" s="41" t="s">
        <v>18</v>
      </c>
      <c r="H61" s="42">
        <v>44983.0</v>
      </c>
      <c r="I61" s="41">
        <v>313.0</v>
      </c>
      <c r="J61" s="43">
        <v>145.51</v>
      </c>
      <c r="K61" s="43">
        <v>147.19</v>
      </c>
      <c r="L61" s="43">
        <v>45544.63</v>
      </c>
    </row>
    <row r="62" ht="14.25" customHeight="1">
      <c r="B62" s="41" t="s">
        <v>90</v>
      </c>
      <c r="C62" s="41" t="s">
        <v>25</v>
      </c>
      <c r="D62" s="41" t="s">
        <v>34</v>
      </c>
      <c r="E62" s="41" t="s">
        <v>30</v>
      </c>
      <c r="F62" s="41" t="s">
        <v>17</v>
      </c>
      <c r="G62" s="41" t="s">
        <v>31</v>
      </c>
      <c r="H62" s="42">
        <v>44984.0</v>
      </c>
      <c r="I62" s="41">
        <v>178.0</v>
      </c>
      <c r="J62" s="43">
        <v>182.78</v>
      </c>
      <c r="K62" s="43">
        <v>155.81</v>
      </c>
      <c r="L62" s="43">
        <v>32534.84</v>
      </c>
    </row>
    <row r="63" ht="14.25" customHeight="1">
      <c r="B63" s="41" t="s">
        <v>91</v>
      </c>
      <c r="C63" s="41" t="s">
        <v>14</v>
      </c>
      <c r="D63" s="41" t="s">
        <v>34</v>
      </c>
      <c r="E63" s="41" t="s">
        <v>30</v>
      </c>
      <c r="F63" s="41" t="s">
        <v>17</v>
      </c>
      <c r="G63" s="41" t="s">
        <v>18</v>
      </c>
      <c r="H63" s="42">
        <v>44985.0</v>
      </c>
      <c r="I63" s="41">
        <v>278.0</v>
      </c>
      <c r="J63" s="43">
        <v>195.0</v>
      </c>
      <c r="K63" s="43">
        <v>226.65</v>
      </c>
      <c r="L63" s="43">
        <v>54210.0</v>
      </c>
    </row>
    <row r="64" ht="14.25" customHeight="1">
      <c r="B64" s="41" t="s">
        <v>92</v>
      </c>
      <c r="C64" s="41" t="s">
        <v>25</v>
      </c>
      <c r="D64" s="41" t="s">
        <v>54</v>
      </c>
      <c r="E64" s="41" t="s">
        <v>22</v>
      </c>
      <c r="F64" s="41" t="s">
        <v>17</v>
      </c>
      <c r="G64" s="41" t="s">
        <v>31</v>
      </c>
      <c r="H64" s="42">
        <v>44986.0</v>
      </c>
      <c r="I64" s="41">
        <v>372.0</v>
      </c>
      <c r="J64" s="43">
        <v>235.58</v>
      </c>
      <c r="K64" s="43">
        <v>78.33</v>
      </c>
      <c r="L64" s="43">
        <v>87635.76000000001</v>
      </c>
    </row>
    <row r="65" ht="14.25" customHeight="1">
      <c r="B65" s="41" t="s">
        <v>93</v>
      </c>
      <c r="C65" s="41" t="s">
        <v>14</v>
      </c>
      <c r="D65" s="41" t="s">
        <v>34</v>
      </c>
      <c r="E65" s="41" t="s">
        <v>30</v>
      </c>
      <c r="F65" s="41" t="s">
        <v>27</v>
      </c>
      <c r="G65" s="41" t="s">
        <v>31</v>
      </c>
      <c r="H65" s="42">
        <v>44987.0</v>
      </c>
      <c r="I65" s="41">
        <v>54.0</v>
      </c>
      <c r="J65" s="43">
        <v>418.82</v>
      </c>
      <c r="K65" s="43">
        <v>86.28</v>
      </c>
      <c r="L65" s="43">
        <v>22616.28</v>
      </c>
    </row>
    <row r="66" ht="14.25" customHeight="1">
      <c r="B66" s="41" t="s">
        <v>94</v>
      </c>
      <c r="C66" s="41" t="s">
        <v>14</v>
      </c>
      <c r="D66" s="41" t="s">
        <v>34</v>
      </c>
      <c r="E66" s="41" t="s">
        <v>22</v>
      </c>
      <c r="F66" s="41" t="s">
        <v>27</v>
      </c>
      <c r="G66" s="41" t="s">
        <v>18</v>
      </c>
      <c r="H66" s="42">
        <v>44988.0</v>
      </c>
      <c r="I66" s="41">
        <v>354.0</v>
      </c>
      <c r="J66" s="43">
        <v>121.72</v>
      </c>
      <c r="K66" s="43">
        <v>194.87</v>
      </c>
      <c r="L66" s="43">
        <v>43088.88</v>
      </c>
    </row>
    <row r="67" ht="14.25" customHeight="1">
      <c r="B67" s="41" t="s">
        <v>95</v>
      </c>
      <c r="C67" s="41" t="s">
        <v>25</v>
      </c>
      <c r="D67" s="41" t="s">
        <v>34</v>
      </c>
      <c r="E67" s="41" t="s">
        <v>22</v>
      </c>
      <c r="F67" s="41" t="s">
        <v>17</v>
      </c>
      <c r="G67" s="41" t="s">
        <v>18</v>
      </c>
      <c r="H67" s="42">
        <v>44989.0</v>
      </c>
      <c r="I67" s="41">
        <v>190.0</v>
      </c>
      <c r="J67" s="43">
        <v>389.12</v>
      </c>
      <c r="K67" s="43">
        <v>302.19</v>
      </c>
      <c r="L67" s="43">
        <v>73932.8</v>
      </c>
    </row>
    <row r="68" ht="14.25" customHeight="1">
      <c r="B68" s="41" t="s">
        <v>96</v>
      </c>
      <c r="C68" s="41" t="s">
        <v>39</v>
      </c>
      <c r="D68" s="41" t="s">
        <v>29</v>
      </c>
      <c r="E68" s="41" t="s">
        <v>16</v>
      </c>
      <c r="F68" s="41" t="s">
        <v>17</v>
      </c>
      <c r="G68" s="41" t="s">
        <v>18</v>
      </c>
      <c r="H68" s="42">
        <v>44990.0</v>
      </c>
      <c r="I68" s="41">
        <v>179.0</v>
      </c>
      <c r="J68" s="43">
        <v>205.63</v>
      </c>
      <c r="K68" s="43">
        <v>248.56</v>
      </c>
      <c r="L68" s="43">
        <v>36807.77</v>
      </c>
    </row>
    <row r="69" ht="14.25" customHeight="1">
      <c r="B69" s="41" t="s">
        <v>97</v>
      </c>
      <c r="C69" s="41" t="s">
        <v>14</v>
      </c>
      <c r="D69" s="41" t="s">
        <v>54</v>
      </c>
      <c r="E69" s="41" t="s">
        <v>46</v>
      </c>
      <c r="F69" s="41" t="s">
        <v>27</v>
      </c>
      <c r="G69" s="41" t="s">
        <v>31</v>
      </c>
      <c r="H69" s="42">
        <v>44991.0</v>
      </c>
      <c r="I69" s="41">
        <v>365.0</v>
      </c>
      <c r="J69" s="43">
        <v>302.92</v>
      </c>
      <c r="K69" s="43">
        <v>120.35</v>
      </c>
      <c r="L69" s="43">
        <v>110565.8</v>
      </c>
    </row>
    <row r="70" ht="14.25" customHeight="1">
      <c r="B70" s="41" t="s">
        <v>98</v>
      </c>
      <c r="C70" s="41" t="s">
        <v>52</v>
      </c>
      <c r="D70" s="41" t="s">
        <v>21</v>
      </c>
      <c r="E70" s="41" t="s">
        <v>22</v>
      </c>
      <c r="F70" s="41" t="s">
        <v>17</v>
      </c>
      <c r="G70" s="41" t="s">
        <v>31</v>
      </c>
      <c r="H70" s="42">
        <v>44992.0</v>
      </c>
      <c r="I70" s="41">
        <v>200.0</v>
      </c>
      <c r="J70" s="43">
        <v>318.11</v>
      </c>
      <c r="K70" s="43">
        <v>173.27</v>
      </c>
      <c r="L70" s="43">
        <v>63622.0</v>
      </c>
    </row>
    <row r="71" ht="14.25" customHeight="1">
      <c r="B71" s="41" t="s">
        <v>99</v>
      </c>
      <c r="C71" s="41" t="s">
        <v>20</v>
      </c>
      <c r="D71" s="41" t="s">
        <v>15</v>
      </c>
      <c r="E71" s="41" t="s">
        <v>26</v>
      </c>
      <c r="F71" s="41" t="s">
        <v>27</v>
      </c>
      <c r="G71" s="41" t="s">
        <v>23</v>
      </c>
      <c r="H71" s="42">
        <v>44993.0</v>
      </c>
      <c r="I71" s="41">
        <v>164.0</v>
      </c>
      <c r="J71" s="43">
        <v>189.56</v>
      </c>
      <c r="K71" s="43">
        <v>69.92</v>
      </c>
      <c r="L71" s="43">
        <v>31087.84</v>
      </c>
    </row>
    <row r="72" ht="14.25" customHeight="1">
      <c r="B72" s="41" t="s">
        <v>100</v>
      </c>
      <c r="C72" s="41" t="s">
        <v>25</v>
      </c>
      <c r="D72" s="41" t="s">
        <v>21</v>
      </c>
      <c r="E72" s="41" t="s">
        <v>46</v>
      </c>
      <c r="F72" s="41" t="s">
        <v>17</v>
      </c>
      <c r="G72" s="41" t="s">
        <v>18</v>
      </c>
      <c r="H72" s="42">
        <v>44994.0</v>
      </c>
      <c r="I72" s="41">
        <v>431.0</v>
      </c>
      <c r="J72" s="43">
        <v>258.74</v>
      </c>
      <c r="K72" s="43">
        <v>31.7</v>
      </c>
      <c r="L72" s="43">
        <v>111516.94</v>
      </c>
    </row>
    <row r="73" ht="14.25" customHeight="1">
      <c r="B73" s="41" t="s">
        <v>101</v>
      </c>
      <c r="C73" s="41" t="s">
        <v>20</v>
      </c>
      <c r="D73" s="41" t="s">
        <v>54</v>
      </c>
      <c r="E73" s="41" t="s">
        <v>46</v>
      </c>
      <c r="F73" s="41" t="s">
        <v>17</v>
      </c>
      <c r="G73" s="41" t="s">
        <v>31</v>
      </c>
      <c r="H73" s="42">
        <v>44995.0</v>
      </c>
      <c r="I73" s="41">
        <v>197.0</v>
      </c>
      <c r="J73" s="43">
        <v>209.45</v>
      </c>
      <c r="K73" s="43">
        <v>313.51</v>
      </c>
      <c r="L73" s="43">
        <v>41261.649999999994</v>
      </c>
    </row>
    <row r="74" ht="14.25" customHeight="1">
      <c r="B74" s="41" t="s">
        <v>102</v>
      </c>
      <c r="C74" s="41" t="s">
        <v>52</v>
      </c>
      <c r="D74" s="41" t="s">
        <v>15</v>
      </c>
      <c r="E74" s="41" t="s">
        <v>46</v>
      </c>
      <c r="F74" s="41" t="s">
        <v>17</v>
      </c>
      <c r="G74" s="41" t="s">
        <v>31</v>
      </c>
      <c r="H74" s="42">
        <v>44996.0</v>
      </c>
      <c r="I74" s="41">
        <v>16.0</v>
      </c>
      <c r="J74" s="43">
        <v>39.22</v>
      </c>
      <c r="K74" s="43">
        <v>107.62</v>
      </c>
      <c r="L74" s="43">
        <v>627.52</v>
      </c>
    </row>
    <row r="75" ht="14.25" customHeight="1">
      <c r="B75" s="41" t="s">
        <v>103</v>
      </c>
      <c r="C75" s="41" t="s">
        <v>52</v>
      </c>
      <c r="D75" s="41" t="s">
        <v>54</v>
      </c>
      <c r="E75" s="41" t="s">
        <v>16</v>
      </c>
      <c r="F75" s="41" t="s">
        <v>17</v>
      </c>
      <c r="G75" s="41" t="s">
        <v>18</v>
      </c>
      <c r="H75" s="42">
        <v>44997.0</v>
      </c>
      <c r="I75" s="41">
        <v>142.0</v>
      </c>
      <c r="J75" s="43">
        <v>221.4</v>
      </c>
      <c r="K75" s="43">
        <v>72.75</v>
      </c>
      <c r="L75" s="43">
        <v>31438.8</v>
      </c>
    </row>
    <row r="76" ht="14.25" customHeight="1">
      <c r="B76" s="41" t="s">
        <v>104</v>
      </c>
      <c r="C76" s="41" t="s">
        <v>52</v>
      </c>
      <c r="D76" s="41" t="s">
        <v>34</v>
      </c>
      <c r="E76" s="41" t="s">
        <v>22</v>
      </c>
      <c r="F76" s="41" t="s">
        <v>17</v>
      </c>
      <c r="G76" s="41" t="s">
        <v>23</v>
      </c>
      <c r="H76" s="42">
        <v>44998.0</v>
      </c>
      <c r="I76" s="41">
        <v>244.0</v>
      </c>
      <c r="J76" s="43">
        <v>53.21</v>
      </c>
      <c r="K76" s="43">
        <v>277.26</v>
      </c>
      <c r="L76" s="43">
        <v>12983.24</v>
      </c>
    </row>
    <row r="77" ht="14.25" customHeight="1">
      <c r="B77" s="41" t="s">
        <v>105</v>
      </c>
      <c r="C77" s="41" t="s">
        <v>25</v>
      </c>
      <c r="D77" s="41" t="s">
        <v>15</v>
      </c>
      <c r="E77" s="41" t="s">
        <v>16</v>
      </c>
      <c r="F77" s="41" t="s">
        <v>17</v>
      </c>
      <c r="G77" s="41" t="s">
        <v>18</v>
      </c>
      <c r="H77" s="42">
        <v>44999.0</v>
      </c>
      <c r="I77" s="41">
        <v>54.0</v>
      </c>
      <c r="J77" s="43">
        <v>205.49</v>
      </c>
      <c r="K77" s="43">
        <v>247.98</v>
      </c>
      <c r="L77" s="43">
        <v>11096.460000000001</v>
      </c>
    </row>
    <row r="78" ht="14.25" customHeight="1">
      <c r="B78" s="41" t="s">
        <v>106</v>
      </c>
      <c r="C78" s="41" t="s">
        <v>52</v>
      </c>
      <c r="D78" s="41" t="s">
        <v>34</v>
      </c>
      <c r="E78" s="41" t="s">
        <v>22</v>
      </c>
      <c r="F78" s="41" t="s">
        <v>17</v>
      </c>
      <c r="G78" s="41" t="s">
        <v>23</v>
      </c>
      <c r="H78" s="42">
        <v>45000.0</v>
      </c>
      <c r="I78" s="41">
        <v>323.0</v>
      </c>
      <c r="J78" s="43">
        <v>298.49</v>
      </c>
      <c r="K78" s="43">
        <v>254.01</v>
      </c>
      <c r="L78" s="43">
        <v>96412.27</v>
      </c>
    </row>
    <row r="79" ht="14.25" customHeight="1">
      <c r="B79" s="41" t="s">
        <v>107</v>
      </c>
      <c r="C79" s="41" t="s">
        <v>25</v>
      </c>
      <c r="D79" s="41" t="s">
        <v>21</v>
      </c>
      <c r="E79" s="41" t="s">
        <v>16</v>
      </c>
      <c r="F79" s="41" t="s">
        <v>27</v>
      </c>
      <c r="G79" s="41" t="s">
        <v>31</v>
      </c>
      <c r="H79" s="42">
        <v>45001.0</v>
      </c>
      <c r="I79" s="41">
        <v>258.0</v>
      </c>
      <c r="J79" s="43">
        <v>291.81</v>
      </c>
      <c r="K79" s="43">
        <v>93.1</v>
      </c>
      <c r="L79" s="43">
        <v>75286.98</v>
      </c>
    </row>
    <row r="80" ht="14.25" customHeight="1">
      <c r="B80" s="41" t="s">
        <v>108</v>
      </c>
      <c r="C80" s="41" t="s">
        <v>52</v>
      </c>
      <c r="D80" s="41" t="s">
        <v>21</v>
      </c>
      <c r="E80" s="41" t="s">
        <v>16</v>
      </c>
      <c r="F80" s="41" t="s">
        <v>27</v>
      </c>
      <c r="G80" s="41" t="s">
        <v>23</v>
      </c>
      <c r="H80" s="42">
        <v>45002.0</v>
      </c>
      <c r="I80" s="41">
        <v>40.0</v>
      </c>
      <c r="J80" s="43">
        <v>333.0</v>
      </c>
      <c r="K80" s="43">
        <v>94.59</v>
      </c>
      <c r="L80" s="43">
        <v>13320.0</v>
      </c>
    </row>
    <row r="81" ht="14.25" customHeight="1">
      <c r="B81" s="41" t="s">
        <v>109</v>
      </c>
      <c r="C81" s="41" t="s">
        <v>20</v>
      </c>
      <c r="D81" s="41" t="s">
        <v>15</v>
      </c>
      <c r="E81" s="41" t="s">
        <v>26</v>
      </c>
      <c r="F81" s="41" t="s">
        <v>27</v>
      </c>
      <c r="G81" s="41" t="s">
        <v>31</v>
      </c>
      <c r="H81" s="42">
        <v>45003.0</v>
      </c>
      <c r="I81" s="41">
        <v>32.0</v>
      </c>
      <c r="J81" s="43">
        <v>52.15</v>
      </c>
      <c r="K81" s="43">
        <v>89.88</v>
      </c>
      <c r="L81" s="43">
        <v>1668.8</v>
      </c>
    </row>
    <row r="82" ht="14.25" customHeight="1">
      <c r="B82" s="41" t="s">
        <v>110</v>
      </c>
      <c r="C82" s="41" t="s">
        <v>20</v>
      </c>
      <c r="D82" s="41" t="s">
        <v>15</v>
      </c>
      <c r="E82" s="41" t="s">
        <v>16</v>
      </c>
      <c r="F82" s="41" t="s">
        <v>27</v>
      </c>
      <c r="G82" s="41" t="s">
        <v>18</v>
      </c>
      <c r="H82" s="42">
        <v>45004.0</v>
      </c>
      <c r="I82" s="41">
        <v>435.0</v>
      </c>
      <c r="J82" s="43">
        <v>327.8</v>
      </c>
      <c r="K82" s="43">
        <v>71.15</v>
      </c>
      <c r="L82" s="43">
        <v>142593.0</v>
      </c>
    </row>
    <row r="83" ht="14.25" customHeight="1">
      <c r="B83" s="41" t="s">
        <v>111</v>
      </c>
      <c r="C83" s="41" t="s">
        <v>14</v>
      </c>
      <c r="D83" s="41" t="s">
        <v>54</v>
      </c>
      <c r="E83" s="41" t="s">
        <v>30</v>
      </c>
      <c r="F83" s="41" t="s">
        <v>27</v>
      </c>
      <c r="G83" s="41" t="s">
        <v>18</v>
      </c>
      <c r="H83" s="42">
        <v>45005.0</v>
      </c>
      <c r="I83" s="41">
        <v>403.0</v>
      </c>
      <c r="J83" s="43">
        <v>159.51</v>
      </c>
      <c r="K83" s="43">
        <v>262.98</v>
      </c>
      <c r="L83" s="43">
        <v>64282.53</v>
      </c>
    </row>
    <row r="84" ht="14.25" customHeight="1">
      <c r="B84" s="41" t="s">
        <v>112</v>
      </c>
      <c r="C84" s="41" t="s">
        <v>20</v>
      </c>
      <c r="D84" s="41" t="s">
        <v>54</v>
      </c>
      <c r="E84" s="41" t="s">
        <v>26</v>
      </c>
      <c r="F84" s="41" t="s">
        <v>17</v>
      </c>
      <c r="G84" s="41" t="s">
        <v>18</v>
      </c>
      <c r="H84" s="42">
        <v>45006.0</v>
      </c>
      <c r="I84" s="41">
        <v>169.0</v>
      </c>
      <c r="J84" s="43">
        <v>249.64520588235297</v>
      </c>
      <c r="K84" s="43">
        <v>339.51</v>
      </c>
      <c r="L84" s="43">
        <v>42190.03979411765</v>
      </c>
    </row>
    <row r="85" ht="14.25" customHeight="1">
      <c r="B85" s="41" t="s">
        <v>113</v>
      </c>
      <c r="C85" s="41" t="s">
        <v>14</v>
      </c>
      <c r="D85" s="41" t="s">
        <v>34</v>
      </c>
      <c r="E85" s="41" t="s">
        <v>16</v>
      </c>
      <c r="F85" s="41" t="s">
        <v>17</v>
      </c>
      <c r="G85" s="41" t="s">
        <v>23</v>
      </c>
      <c r="H85" s="42">
        <v>45007.0</v>
      </c>
      <c r="I85" s="41">
        <v>372.0</v>
      </c>
      <c r="J85" s="43">
        <v>429.7</v>
      </c>
      <c r="K85" s="43">
        <v>290.28</v>
      </c>
      <c r="L85" s="43">
        <v>159848.4</v>
      </c>
    </row>
    <row r="86" ht="14.25" customHeight="1">
      <c r="B86" s="41" t="s">
        <v>114</v>
      </c>
      <c r="C86" s="41" t="s">
        <v>20</v>
      </c>
      <c r="D86" s="41" t="s">
        <v>15</v>
      </c>
      <c r="E86" s="41" t="s">
        <v>46</v>
      </c>
      <c r="F86" s="41" t="s">
        <v>27</v>
      </c>
      <c r="G86" s="41" t="s">
        <v>31</v>
      </c>
      <c r="H86" s="42">
        <v>45008.0</v>
      </c>
      <c r="I86" s="41">
        <v>446.0</v>
      </c>
      <c r="J86" s="43">
        <v>9.47</v>
      </c>
      <c r="K86" s="43">
        <v>317.25</v>
      </c>
      <c r="L86" s="43">
        <v>4223.62</v>
      </c>
    </row>
    <row r="87" ht="14.25" customHeight="1">
      <c r="B87" s="41" t="s">
        <v>115</v>
      </c>
      <c r="C87" s="41" t="s">
        <v>25</v>
      </c>
      <c r="D87" s="41" t="s">
        <v>21</v>
      </c>
      <c r="E87" s="41" t="s">
        <v>30</v>
      </c>
      <c r="F87" s="41" t="s">
        <v>17</v>
      </c>
      <c r="G87" s="41" t="s">
        <v>18</v>
      </c>
      <c r="H87" s="42">
        <v>45009.0</v>
      </c>
      <c r="I87" s="41">
        <v>167.0</v>
      </c>
      <c r="J87" s="43">
        <v>296.26</v>
      </c>
      <c r="K87" s="43">
        <v>163.11</v>
      </c>
      <c r="L87" s="43">
        <v>49475.42</v>
      </c>
    </row>
    <row r="88" ht="14.25" customHeight="1">
      <c r="B88" s="41" t="s">
        <v>116</v>
      </c>
      <c r="C88" s="41" t="s">
        <v>20</v>
      </c>
      <c r="D88" s="41" t="s">
        <v>54</v>
      </c>
      <c r="E88" s="41" t="s">
        <v>30</v>
      </c>
      <c r="F88" s="41" t="s">
        <v>27</v>
      </c>
      <c r="G88" s="41" t="s">
        <v>18</v>
      </c>
      <c r="H88" s="42">
        <v>45010.0</v>
      </c>
      <c r="I88" s="41">
        <v>48.0</v>
      </c>
      <c r="J88" s="43">
        <v>301.36</v>
      </c>
      <c r="K88" s="43">
        <v>262.32</v>
      </c>
      <c r="L88" s="43">
        <v>14465.28</v>
      </c>
    </row>
    <row r="89" ht="14.25" customHeight="1">
      <c r="B89" s="41" t="s">
        <v>117</v>
      </c>
      <c r="C89" s="41" t="s">
        <v>14</v>
      </c>
      <c r="D89" s="41" t="s">
        <v>54</v>
      </c>
      <c r="E89" s="41" t="s">
        <v>30</v>
      </c>
      <c r="F89" s="41" t="s">
        <v>27</v>
      </c>
      <c r="G89" s="41" t="s">
        <v>31</v>
      </c>
      <c r="H89" s="42">
        <v>45011.0</v>
      </c>
      <c r="I89" s="41">
        <v>424.0</v>
      </c>
      <c r="J89" s="43">
        <v>201.35</v>
      </c>
      <c r="K89" s="43">
        <v>142.99</v>
      </c>
      <c r="L89" s="43">
        <v>85372.4</v>
      </c>
    </row>
    <row r="90" ht="14.25" customHeight="1">
      <c r="B90" s="41" t="s">
        <v>118</v>
      </c>
      <c r="C90" s="41" t="s">
        <v>14</v>
      </c>
      <c r="D90" s="41" t="s">
        <v>21</v>
      </c>
      <c r="E90" s="41" t="s">
        <v>26</v>
      </c>
      <c r="F90" s="41" t="s">
        <v>17</v>
      </c>
      <c r="G90" s="41" t="s">
        <v>18</v>
      </c>
      <c r="H90" s="42">
        <v>45012.0</v>
      </c>
      <c r="I90" s="41">
        <v>91.0</v>
      </c>
      <c r="J90" s="43">
        <v>122.33</v>
      </c>
      <c r="K90" s="43">
        <v>211.15</v>
      </c>
      <c r="L90" s="43">
        <v>11132.03</v>
      </c>
    </row>
    <row r="91" ht="14.25" customHeight="1">
      <c r="B91" s="41" t="s">
        <v>119</v>
      </c>
      <c r="C91" s="41" t="s">
        <v>52</v>
      </c>
      <c r="D91" s="41" t="s">
        <v>54</v>
      </c>
      <c r="E91" s="41" t="s">
        <v>16</v>
      </c>
      <c r="F91" s="41" t="s">
        <v>17</v>
      </c>
      <c r="G91" s="41" t="s">
        <v>31</v>
      </c>
      <c r="H91" s="42">
        <v>45013.0</v>
      </c>
      <c r="I91" s="41">
        <v>365.0</v>
      </c>
      <c r="J91" s="43">
        <v>121.16</v>
      </c>
      <c r="K91" s="43">
        <v>193.69</v>
      </c>
      <c r="L91" s="43">
        <v>44223.4</v>
      </c>
    </row>
    <row r="92" ht="14.25" customHeight="1">
      <c r="B92" s="41" t="s">
        <v>120</v>
      </c>
      <c r="C92" s="41" t="s">
        <v>25</v>
      </c>
      <c r="D92" s="41" t="s">
        <v>34</v>
      </c>
      <c r="E92" s="41" t="s">
        <v>16</v>
      </c>
      <c r="F92" s="41" t="s">
        <v>17</v>
      </c>
      <c r="G92" s="41" t="s">
        <v>31</v>
      </c>
      <c r="H92" s="42">
        <v>45014.0</v>
      </c>
      <c r="I92" s="41">
        <v>267.0</v>
      </c>
      <c r="J92" s="43">
        <v>442.44</v>
      </c>
      <c r="K92" s="43">
        <v>72.4</v>
      </c>
      <c r="L92" s="43">
        <v>118131.48</v>
      </c>
    </row>
    <row r="93" ht="14.25" customHeight="1">
      <c r="B93" s="41" t="s">
        <v>121</v>
      </c>
      <c r="C93" s="41" t="s">
        <v>20</v>
      </c>
      <c r="D93" s="41" t="s">
        <v>15</v>
      </c>
      <c r="E93" s="41" t="s">
        <v>46</v>
      </c>
      <c r="F93" s="41" t="s">
        <v>27</v>
      </c>
      <c r="G93" s="41" t="s">
        <v>31</v>
      </c>
      <c r="H93" s="42">
        <v>45015.0</v>
      </c>
      <c r="I93" s="41">
        <v>215.0</v>
      </c>
      <c r="J93" s="43">
        <v>223.8</v>
      </c>
      <c r="K93" s="43">
        <v>156.06</v>
      </c>
      <c r="L93" s="43">
        <v>48117.0</v>
      </c>
    </row>
    <row r="94" ht="14.25" customHeight="1">
      <c r="B94" s="41" t="s">
        <v>122</v>
      </c>
      <c r="C94" s="41" t="s">
        <v>52</v>
      </c>
      <c r="D94" s="41" t="s">
        <v>21</v>
      </c>
      <c r="E94" s="41" t="s">
        <v>46</v>
      </c>
      <c r="F94" s="41" t="s">
        <v>17</v>
      </c>
      <c r="G94" s="41" t="s">
        <v>31</v>
      </c>
      <c r="H94" s="42">
        <v>45016.0</v>
      </c>
      <c r="I94" s="41">
        <v>86.0</v>
      </c>
      <c r="J94" s="43">
        <v>168.79</v>
      </c>
      <c r="K94" s="43">
        <v>385.6</v>
      </c>
      <c r="L94" s="43">
        <v>14515.939999999999</v>
      </c>
    </row>
    <row r="95" ht="14.25" customHeight="1">
      <c r="B95" s="41" t="s">
        <v>123</v>
      </c>
      <c r="C95" s="41" t="s">
        <v>20</v>
      </c>
      <c r="D95" s="41" t="s">
        <v>15</v>
      </c>
      <c r="E95" s="41" t="s">
        <v>30</v>
      </c>
      <c r="F95" s="41" t="s">
        <v>27</v>
      </c>
      <c r="G95" s="41" t="s">
        <v>31</v>
      </c>
      <c r="H95" s="42">
        <v>45017.0</v>
      </c>
      <c r="I95" s="41">
        <v>486.0</v>
      </c>
      <c r="J95" s="43">
        <v>227.14</v>
      </c>
      <c r="K95" s="43">
        <v>100.93</v>
      </c>
      <c r="L95" s="43">
        <v>110390.04</v>
      </c>
    </row>
    <row r="96" ht="14.25" customHeight="1">
      <c r="B96" s="41" t="s">
        <v>124</v>
      </c>
      <c r="C96" s="41" t="s">
        <v>20</v>
      </c>
      <c r="D96" s="41" t="s">
        <v>54</v>
      </c>
      <c r="E96" s="41" t="s">
        <v>46</v>
      </c>
      <c r="F96" s="41" t="s">
        <v>27</v>
      </c>
      <c r="G96" s="41" t="s">
        <v>23</v>
      </c>
      <c r="H96" s="42">
        <v>45018.0</v>
      </c>
      <c r="I96" s="41">
        <v>21.0</v>
      </c>
      <c r="J96" s="43">
        <v>249.64520588235297</v>
      </c>
      <c r="K96" s="43">
        <v>55.25</v>
      </c>
      <c r="L96" s="43">
        <v>5242.5493235294125</v>
      </c>
    </row>
    <row r="97" ht="14.25" customHeight="1">
      <c r="B97" s="41" t="s">
        <v>125</v>
      </c>
      <c r="C97" s="41" t="s">
        <v>52</v>
      </c>
      <c r="D97" s="41" t="s">
        <v>54</v>
      </c>
      <c r="E97" s="41" t="s">
        <v>26</v>
      </c>
      <c r="F97" s="41" t="s">
        <v>27</v>
      </c>
      <c r="G97" s="41" t="s">
        <v>18</v>
      </c>
      <c r="H97" s="42">
        <v>45019.0</v>
      </c>
      <c r="I97" s="41">
        <v>304.0</v>
      </c>
      <c r="J97" s="43">
        <v>77.15</v>
      </c>
      <c r="K97" s="43">
        <v>168.6</v>
      </c>
      <c r="L97" s="43">
        <v>23453.600000000002</v>
      </c>
    </row>
    <row r="98" ht="14.25" customHeight="1">
      <c r="B98" s="41" t="s">
        <v>126</v>
      </c>
      <c r="C98" s="41" t="s">
        <v>52</v>
      </c>
      <c r="D98" s="41" t="s">
        <v>21</v>
      </c>
      <c r="E98" s="41" t="s">
        <v>16</v>
      </c>
      <c r="F98" s="41" t="s">
        <v>17</v>
      </c>
      <c r="G98" s="41" t="s">
        <v>23</v>
      </c>
      <c r="H98" s="42">
        <v>45020.0</v>
      </c>
      <c r="I98" s="41">
        <v>459.0</v>
      </c>
      <c r="J98" s="43">
        <v>227.47</v>
      </c>
      <c r="K98" s="43">
        <v>316.55</v>
      </c>
      <c r="L98" s="43">
        <v>104408.73</v>
      </c>
    </row>
    <row r="99" ht="14.25" customHeight="1">
      <c r="B99" s="41" t="s">
        <v>127</v>
      </c>
      <c r="C99" s="41" t="s">
        <v>52</v>
      </c>
      <c r="D99" s="41" t="s">
        <v>34</v>
      </c>
      <c r="E99" s="41" t="s">
        <v>30</v>
      </c>
      <c r="F99" s="41" t="s">
        <v>17</v>
      </c>
      <c r="G99" s="41" t="s">
        <v>18</v>
      </c>
      <c r="H99" s="42">
        <v>45021.0</v>
      </c>
      <c r="I99" s="41">
        <v>233.0</v>
      </c>
      <c r="J99" s="43">
        <v>296.0</v>
      </c>
      <c r="K99" s="43">
        <v>233.69</v>
      </c>
      <c r="L99" s="43">
        <v>68968.0</v>
      </c>
    </row>
    <row r="100" ht="14.25" customHeight="1">
      <c r="B100" s="41" t="s">
        <v>128</v>
      </c>
      <c r="C100" s="41" t="s">
        <v>52</v>
      </c>
      <c r="D100" s="41" t="s">
        <v>29</v>
      </c>
      <c r="E100" s="41" t="s">
        <v>46</v>
      </c>
      <c r="F100" s="41" t="s">
        <v>27</v>
      </c>
      <c r="G100" s="41" t="s">
        <v>23</v>
      </c>
      <c r="H100" s="42">
        <v>45022.0</v>
      </c>
      <c r="I100" s="41">
        <v>22.0</v>
      </c>
      <c r="J100" s="43">
        <v>474.55</v>
      </c>
      <c r="K100" s="43">
        <v>273.03</v>
      </c>
      <c r="L100" s="43">
        <v>10440.1</v>
      </c>
    </row>
    <row r="101" ht="14.25" customHeight="1">
      <c r="B101" s="41" t="s">
        <v>129</v>
      </c>
      <c r="C101" s="41" t="s">
        <v>52</v>
      </c>
      <c r="D101" s="41" t="s">
        <v>21</v>
      </c>
      <c r="E101" s="41" t="s">
        <v>26</v>
      </c>
      <c r="F101" s="41" t="s">
        <v>17</v>
      </c>
      <c r="G101" s="41" t="s">
        <v>31</v>
      </c>
      <c r="H101" s="42">
        <v>45023.0</v>
      </c>
      <c r="I101" s="41">
        <v>55.0</v>
      </c>
      <c r="J101" s="43">
        <v>130.0</v>
      </c>
      <c r="K101" s="43">
        <v>77.5</v>
      </c>
      <c r="L101" s="43">
        <v>7150.0</v>
      </c>
    </row>
    <row r="102" ht="14.25" customHeight="1">
      <c r="B102" s="41" t="s">
        <v>130</v>
      </c>
      <c r="C102" s="41" t="s">
        <v>20</v>
      </c>
      <c r="D102" s="41" t="s">
        <v>29</v>
      </c>
      <c r="E102" s="41" t="s">
        <v>26</v>
      </c>
      <c r="F102" s="41" t="s">
        <v>17</v>
      </c>
      <c r="G102" s="41" t="s">
        <v>18</v>
      </c>
      <c r="H102" s="42">
        <v>45024.0</v>
      </c>
      <c r="I102" s="41">
        <v>164.0</v>
      </c>
      <c r="J102" s="43">
        <v>182.83</v>
      </c>
      <c r="K102" s="43">
        <v>248.34</v>
      </c>
      <c r="L102" s="43">
        <v>29984.120000000003</v>
      </c>
    </row>
    <row r="103" ht="14.25" customHeight="1">
      <c r="B103" s="41" t="s">
        <v>131</v>
      </c>
      <c r="C103" s="41" t="s">
        <v>52</v>
      </c>
      <c r="D103" s="41" t="s">
        <v>29</v>
      </c>
      <c r="E103" s="41" t="s">
        <v>46</v>
      </c>
      <c r="F103" s="41" t="s">
        <v>17</v>
      </c>
      <c r="G103" s="41" t="s">
        <v>18</v>
      </c>
      <c r="H103" s="42">
        <v>45025.0</v>
      </c>
      <c r="I103" s="41">
        <v>122.0</v>
      </c>
      <c r="J103" s="43">
        <v>192.78</v>
      </c>
      <c r="K103" s="43">
        <v>130.75</v>
      </c>
      <c r="L103" s="43">
        <v>23519.16</v>
      </c>
    </row>
    <row r="104" ht="14.25" customHeight="1">
      <c r="B104" s="41" t="s">
        <v>132</v>
      </c>
      <c r="C104" s="41" t="s">
        <v>25</v>
      </c>
      <c r="D104" s="41" t="s">
        <v>34</v>
      </c>
      <c r="E104" s="41" t="s">
        <v>16</v>
      </c>
      <c r="F104" s="41" t="s">
        <v>27</v>
      </c>
      <c r="G104" s="41" t="s">
        <v>23</v>
      </c>
      <c r="H104" s="42">
        <v>45026.0</v>
      </c>
      <c r="I104" s="41">
        <v>242.0</v>
      </c>
      <c r="J104" s="43">
        <v>304.74</v>
      </c>
      <c r="K104" s="43">
        <v>334.05</v>
      </c>
      <c r="L104" s="43">
        <v>73747.08</v>
      </c>
    </row>
    <row r="105" ht="14.25" customHeight="1">
      <c r="B105" s="41" t="s">
        <v>133</v>
      </c>
      <c r="C105" s="41" t="s">
        <v>14</v>
      </c>
      <c r="D105" s="41" t="s">
        <v>29</v>
      </c>
      <c r="E105" s="41" t="s">
        <v>46</v>
      </c>
      <c r="F105" s="41" t="s">
        <v>27</v>
      </c>
      <c r="G105" s="41" t="s">
        <v>23</v>
      </c>
      <c r="H105" s="42">
        <v>45027.0</v>
      </c>
      <c r="I105" s="41">
        <v>26.0</v>
      </c>
      <c r="J105" s="43">
        <v>181.58</v>
      </c>
      <c r="K105" s="43">
        <v>252.46</v>
      </c>
      <c r="L105" s="43">
        <v>4721.08</v>
      </c>
    </row>
    <row r="106" ht="14.25" customHeight="1">
      <c r="B106" s="41" t="s">
        <v>134</v>
      </c>
      <c r="C106" s="41" t="s">
        <v>52</v>
      </c>
      <c r="D106" s="41" t="s">
        <v>29</v>
      </c>
      <c r="E106" s="41" t="s">
        <v>30</v>
      </c>
      <c r="F106" s="41" t="s">
        <v>17</v>
      </c>
      <c r="G106" s="41" t="s">
        <v>18</v>
      </c>
      <c r="H106" s="42">
        <v>45028.0</v>
      </c>
      <c r="I106" s="41">
        <v>369.0</v>
      </c>
      <c r="J106" s="43">
        <v>269.09</v>
      </c>
      <c r="K106" s="43">
        <v>81.14</v>
      </c>
      <c r="L106" s="43">
        <v>99294.20999999999</v>
      </c>
    </row>
    <row r="107" ht="14.25" customHeight="1">
      <c r="B107" s="41" t="s">
        <v>135</v>
      </c>
      <c r="C107" s="41" t="s">
        <v>52</v>
      </c>
      <c r="D107" s="41" t="s">
        <v>34</v>
      </c>
      <c r="E107" s="41" t="s">
        <v>46</v>
      </c>
      <c r="F107" s="41" t="s">
        <v>27</v>
      </c>
      <c r="G107" s="41" t="s">
        <v>23</v>
      </c>
      <c r="H107" s="42">
        <v>45029.0</v>
      </c>
      <c r="I107" s="41">
        <v>232.0</v>
      </c>
      <c r="J107" s="43">
        <v>391.99</v>
      </c>
      <c r="K107" s="43">
        <v>27.72</v>
      </c>
      <c r="L107" s="43">
        <v>90941.68000000001</v>
      </c>
    </row>
    <row r="108" ht="14.25" customHeight="1">
      <c r="B108" s="41" t="s">
        <v>136</v>
      </c>
      <c r="C108" s="41" t="s">
        <v>20</v>
      </c>
      <c r="D108" s="41" t="s">
        <v>29</v>
      </c>
      <c r="E108" s="41" t="s">
        <v>26</v>
      </c>
      <c r="F108" s="41" t="s">
        <v>17</v>
      </c>
      <c r="G108" s="41" t="s">
        <v>23</v>
      </c>
      <c r="H108" s="42">
        <v>45030.0</v>
      </c>
      <c r="I108" s="41">
        <v>363.0</v>
      </c>
      <c r="J108" s="43">
        <v>354.17</v>
      </c>
      <c r="K108" s="43">
        <v>18.97</v>
      </c>
      <c r="L108" s="43">
        <v>128563.71</v>
      </c>
    </row>
    <row r="109" ht="14.25" customHeight="1">
      <c r="B109" s="41" t="s">
        <v>137</v>
      </c>
      <c r="C109" s="41" t="s">
        <v>52</v>
      </c>
      <c r="D109" s="41" t="s">
        <v>29</v>
      </c>
      <c r="E109" s="41" t="s">
        <v>46</v>
      </c>
      <c r="F109" s="41" t="s">
        <v>17</v>
      </c>
      <c r="G109" s="41" t="s">
        <v>23</v>
      </c>
      <c r="H109" s="42">
        <v>45031.0</v>
      </c>
      <c r="I109" s="41">
        <v>197.0</v>
      </c>
      <c r="J109" s="43">
        <v>225.95</v>
      </c>
      <c r="K109" s="43">
        <v>149.82</v>
      </c>
      <c r="L109" s="43">
        <v>44512.149999999994</v>
      </c>
    </row>
    <row r="110" ht="14.25" customHeight="1">
      <c r="B110" s="41" t="s">
        <v>138</v>
      </c>
      <c r="C110" s="41" t="s">
        <v>52</v>
      </c>
      <c r="D110" s="41" t="s">
        <v>29</v>
      </c>
      <c r="E110" s="41" t="s">
        <v>16</v>
      </c>
      <c r="F110" s="41" t="s">
        <v>17</v>
      </c>
      <c r="G110" s="41" t="s">
        <v>31</v>
      </c>
      <c r="H110" s="42">
        <v>45032.0</v>
      </c>
      <c r="I110" s="41">
        <v>457.0</v>
      </c>
      <c r="J110" s="43">
        <v>432.79</v>
      </c>
      <c r="K110" s="43">
        <v>107.81</v>
      </c>
      <c r="L110" s="43">
        <v>197785.03</v>
      </c>
    </row>
    <row r="111" ht="14.25" customHeight="1">
      <c r="B111" s="41" t="s">
        <v>139</v>
      </c>
      <c r="C111" s="41" t="s">
        <v>52</v>
      </c>
      <c r="D111" s="41" t="s">
        <v>21</v>
      </c>
      <c r="E111" s="41" t="s">
        <v>22</v>
      </c>
      <c r="F111" s="41" t="s">
        <v>17</v>
      </c>
      <c r="G111" s="41" t="s">
        <v>31</v>
      </c>
      <c r="H111" s="42">
        <v>45033.0</v>
      </c>
      <c r="I111" s="41">
        <v>353.0</v>
      </c>
      <c r="J111" s="43">
        <v>281.28</v>
      </c>
      <c r="K111" s="43">
        <v>259.14</v>
      </c>
      <c r="L111" s="43">
        <v>99291.84</v>
      </c>
    </row>
    <row r="112" ht="14.25" customHeight="1">
      <c r="B112" s="41" t="s">
        <v>140</v>
      </c>
      <c r="C112" s="41" t="s">
        <v>20</v>
      </c>
      <c r="D112" s="41" t="s">
        <v>21</v>
      </c>
      <c r="E112" s="41" t="s">
        <v>46</v>
      </c>
      <c r="F112" s="41" t="s">
        <v>27</v>
      </c>
      <c r="G112" s="41" t="s">
        <v>23</v>
      </c>
      <c r="H112" s="42">
        <v>45034.0</v>
      </c>
      <c r="I112" s="41">
        <v>374.0</v>
      </c>
      <c r="J112" s="43">
        <v>272.25</v>
      </c>
      <c r="K112" s="43">
        <v>200.73</v>
      </c>
      <c r="L112" s="43">
        <v>101821.5</v>
      </c>
    </row>
    <row r="113" ht="14.25" customHeight="1">
      <c r="B113" s="41" t="s">
        <v>141</v>
      </c>
      <c r="C113" s="41" t="s">
        <v>52</v>
      </c>
      <c r="D113" s="41" t="s">
        <v>21</v>
      </c>
      <c r="E113" s="41" t="s">
        <v>16</v>
      </c>
      <c r="F113" s="41" t="s">
        <v>27</v>
      </c>
      <c r="G113" s="41" t="s">
        <v>23</v>
      </c>
      <c r="H113" s="42">
        <v>45035.0</v>
      </c>
      <c r="I113" s="41">
        <v>172.0</v>
      </c>
      <c r="J113" s="43">
        <v>21.92</v>
      </c>
      <c r="K113" s="43">
        <v>107.88</v>
      </c>
      <c r="L113" s="43">
        <v>3770.2400000000002</v>
      </c>
    </row>
    <row r="114" ht="14.25" customHeight="1">
      <c r="B114" s="41" t="s">
        <v>142</v>
      </c>
      <c r="C114" s="41" t="s">
        <v>14</v>
      </c>
      <c r="D114" s="41" t="s">
        <v>34</v>
      </c>
      <c r="E114" s="41" t="s">
        <v>16</v>
      </c>
      <c r="F114" s="41" t="s">
        <v>27</v>
      </c>
      <c r="G114" s="41" t="s">
        <v>31</v>
      </c>
      <c r="H114" s="42">
        <v>45036.0</v>
      </c>
      <c r="I114" s="41">
        <v>335.0</v>
      </c>
      <c r="J114" s="43">
        <v>493.41</v>
      </c>
      <c r="K114" s="43">
        <v>61.4</v>
      </c>
      <c r="L114" s="43">
        <v>165292.35</v>
      </c>
    </row>
    <row r="115" ht="14.25" customHeight="1">
      <c r="B115" s="41" t="s">
        <v>143</v>
      </c>
      <c r="C115" s="41" t="s">
        <v>20</v>
      </c>
      <c r="D115" s="41" t="s">
        <v>54</v>
      </c>
      <c r="E115" s="41" t="s">
        <v>26</v>
      </c>
      <c r="F115" s="41" t="s">
        <v>17</v>
      </c>
      <c r="G115" s="41" t="s">
        <v>31</v>
      </c>
      <c r="H115" s="42">
        <v>45037.0</v>
      </c>
      <c r="I115" s="41">
        <v>476.0</v>
      </c>
      <c r="J115" s="43">
        <v>65.87</v>
      </c>
      <c r="K115" s="43">
        <v>52.63</v>
      </c>
      <c r="L115" s="43">
        <v>31354.120000000003</v>
      </c>
    </row>
    <row r="116" ht="14.25" customHeight="1">
      <c r="B116" s="41" t="s">
        <v>144</v>
      </c>
      <c r="C116" s="41" t="s">
        <v>14</v>
      </c>
      <c r="D116" s="41" t="s">
        <v>29</v>
      </c>
      <c r="E116" s="41" t="s">
        <v>16</v>
      </c>
      <c r="F116" s="41" t="s">
        <v>17</v>
      </c>
      <c r="G116" s="41" t="s">
        <v>18</v>
      </c>
      <c r="H116" s="42">
        <v>45038.0</v>
      </c>
      <c r="I116" s="41">
        <v>423.0</v>
      </c>
      <c r="J116" s="43">
        <v>119.41</v>
      </c>
      <c r="K116" s="43">
        <v>346.13</v>
      </c>
      <c r="L116" s="43">
        <v>50510.43</v>
      </c>
    </row>
    <row r="117" ht="14.25" customHeight="1">
      <c r="B117" s="41" t="s">
        <v>145</v>
      </c>
      <c r="C117" s="41" t="s">
        <v>20</v>
      </c>
      <c r="D117" s="41" t="s">
        <v>29</v>
      </c>
      <c r="E117" s="41" t="s">
        <v>16</v>
      </c>
      <c r="F117" s="41" t="s">
        <v>17</v>
      </c>
      <c r="G117" s="41" t="s">
        <v>18</v>
      </c>
      <c r="H117" s="42">
        <v>45039.0</v>
      </c>
      <c r="I117" s="41">
        <v>464.0</v>
      </c>
      <c r="J117" s="43">
        <v>30.59</v>
      </c>
      <c r="K117" s="43">
        <v>98.9</v>
      </c>
      <c r="L117" s="43">
        <v>14193.76</v>
      </c>
    </row>
    <row r="118" ht="14.25" customHeight="1">
      <c r="B118" s="41" t="s">
        <v>146</v>
      </c>
      <c r="C118" s="41" t="s">
        <v>52</v>
      </c>
      <c r="D118" s="41" t="s">
        <v>34</v>
      </c>
      <c r="E118" s="41" t="s">
        <v>16</v>
      </c>
      <c r="F118" s="41" t="s">
        <v>27</v>
      </c>
      <c r="G118" s="41" t="s">
        <v>31</v>
      </c>
      <c r="H118" s="42">
        <v>45040.0</v>
      </c>
      <c r="I118" s="41">
        <v>83.0</v>
      </c>
      <c r="J118" s="43">
        <v>321.8</v>
      </c>
      <c r="K118" s="43">
        <v>261.38</v>
      </c>
      <c r="L118" s="43">
        <v>26709.4</v>
      </c>
    </row>
    <row r="119" ht="14.25" customHeight="1">
      <c r="B119" s="41" t="s">
        <v>147</v>
      </c>
      <c r="C119" s="41" t="s">
        <v>14</v>
      </c>
      <c r="D119" s="41" t="s">
        <v>29</v>
      </c>
      <c r="E119" s="41" t="s">
        <v>16</v>
      </c>
      <c r="F119" s="41" t="s">
        <v>17</v>
      </c>
      <c r="G119" s="41" t="s">
        <v>23</v>
      </c>
      <c r="H119" s="42">
        <v>45041.0</v>
      </c>
      <c r="I119" s="41">
        <v>242.0</v>
      </c>
      <c r="J119" s="43">
        <v>116.23</v>
      </c>
      <c r="K119" s="43">
        <v>324.65</v>
      </c>
      <c r="L119" s="43">
        <v>28127.66</v>
      </c>
    </row>
    <row r="120" ht="14.25" customHeight="1">
      <c r="B120" s="41" t="s">
        <v>148</v>
      </c>
      <c r="C120" s="41" t="s">
        <v>20</v>
      </c>
      <c r="D120" s="41" t="s">
        <v>21</v>
      </c>
      <c r="E120" s="41" t="s">
        <v>30</v>
      </c>
      <c r="F120" s="41" t="s">
        <v>27</v>
      </c>
      <c r="G120" s="41" t="s">
        <v>23</v>
      </c>
      <c r="H120" s="42">
        <v>45042.0</v>
      </c>
      <c r="I120" s="41">
        <v>233.0</v>
      </c>
      <c r="J120" s="43">
        <v>94.11</v>
      </c>
      <c r="K120" s="43">
        <v>246.4</v>
      </c>
      <c r="L120" s="43">
        <v>21927.63</v>
      </c>
    </row>
    <row r="121" ht="14.25" customHeight="1">
      <c r="B121" s="41" t="s">
        <v>149</v>
      </c>
      <c r="C121" s="41" t="s">
        <v>25</v>
      </c>
      <c r="D121" s="41" t="s">
        <v>54</v>
      </c>
      <c r="E121" s="41" t="s">
        <v>30</v>
      </c>
      <c r="F121" s="41" t="s">
        <v>27</v>
      </c>
      <c r="G121" s="41" t="s">
        <v>23</v>
      </c>
      <c r="H121" s="42">
        <v>45043.0</v>
      </c>
      <c r="I121" s="41">
        <v>491.0</v>
      </c>
      <c r="J121" s="43">
        <v>48.84</v>
      </c>
      <c r="K121" s="43">
        <v>344.11</v>
      </c>
      <c r="L121" s="43">
        <v>23980.440000000002</v>
      </c>
    </row>
    <row r="122" ht="14.25" customHeight="1">
      <c r="B122" s="41" t="s">
        <v>150</v>
      </c>
      <c r="C122" s="41" t="s">
        <v>39</v>
      </c>
      <c r="D122" s="41" t="s">
        <v>15</v>
      </c>
      <c r="E122" s="41" t="s">
        <v>26</v>
      </c>
      <c r="F122" s="41" t="s">
        <v>27</v>
      </c>
      <c r="G122" s="41" t="s">
        <v>23</v>
      </c>
      <c r="H122" s="42">
        <v>45044.0</v>
      </c>
      <c r="I122" s="41">
        <v>328.0</v>
      </c>
      <c r="J122" s="43">
        <v>56.14</v>
      </c>
      <c r="K122" s="43">
        <v>158.17</v>
      </c>
      <c r="L122" s="43">
        <v>18413.920000000002</v>
      </c>
    </row>
    <row r="123" ht="14.25" customHeight="1">
      <c r="B123" s="41" t="s">
        <v>151</v>
      </c>
      <c r="C123" s="41" t="s">
        <v>20</v>
      </c>
      <c r="D123" s="41" t="s">
        <v>29</v>
      </c>
      <c r="E123" s="41" t="s">
        <v>46</v>
      </c>
      <c r="F123" s="41" t="s">
        <v>27</v>
      </c>
      <c r="G123" s="41" t="s">
        <v>18</v>
      </c>
      <c r="H123" s="42">
        <v>45045.0</v>
      </c>
      <c r="I123" s="41">
        <v>421.0</v>
      </c>
      <c r="J123" s="43">
        <v>294.41</v>
      </c>
      <c r="K123" s="43">
        <v>382.58</v>
      </c>
      <c r="L123" s="43">
        <v>123946.61000000002</v>
      </c>
    </row>
    <row r="124" ht="14.25" customHeight="1">
      <c r="B124" s="41" t="s">
        <v>152</v>
      </c>
      <c r="C124" s="41" t="s">
        <v>25</v>
      </c>
      <c r="D124" s="41" t="s">
        <v>21</v>
      </c>
      <c r="E124" s="41" t="s">
        <v>16</v>
      </c>
      <c r="F124" s="41" t="s">
        <v>27</v>
      </c>
      <c r="G124" s="41" t="s">
        <v>31</v>
      </c>
      <c r="H124" s="42">
        <v>45046.0</v>
      </c>
      <c r="I124" s="41">
        <v>69.0</v>
      </c>
      <c r="J124" s="43">
        <v>345.66</v>
      </c>
      <c r="K124" s="43">
        <v>54.99</v>
      </c>
      <c r="L124" s="43">
        <v>23850.54</v>
      </c>
    </row>
    <row r="125" ht="14.25" customHeight="1">
      <c r="B125" s="41" t="s">
        <v>153</v>
      </c>
      <c r="C125" s="41" t="s">
        <v>20</v>
      </c>
      <c r="D125" s="41" t="s">
        <v>15</v>
      </c>
      <c r="E125" s="41" t="s">
        <v>46</v>
      </c>
      <c r="F125" s="41" t="s">
        <v>27</v>
      </c>
      <c r="G125" s="41" t="s">
        <v>23</v>
      </c>
      <c r="H125" s="42">
        <v>45047.0</v>
      </c>
      <c r="I125" s="41">
        <v>344.0</v>
      </c>
      <c r="J125" s="43">
        <v>201.7</v>
      </c>
      <c r="K125" s="43">
        <v>42.66</v>
      </c>
      <c r="L125" s="43">
        <v>69384.8</v>
      </c>
    </row>
    <row r="126" ht="14.25" customHeight="1">
      <c r="B126" s="41" t="s">
        <v>154</v>
      </c>
      <c r="C126" s="41" t="s">
        <v>39</v>
      </c>
      <c r="D126" s="41" t="s">
        <v>54</v>
      </c>
      <c r="E126" s="41" t="s">
        <v>46</v>
      </c>
      <c r="F126" s="41" t="s">
        <v>17</v>
      </c>
      <c r="G126" s="41" t="s">
        <v>18</v>
      </c>
      <c r="H126" s="42">
        <v>45048.0</v>
      </c>
      <c r="I126" s="41">
        <v>231.0</v>
      </c>
      <c r="J126" s="43">
        <v>242.55</v>
      </c>
      <c r="K126" s="43">
        <v>264.16</v>
      </c>
      <c r="L126" s="43">
        <v>56029.05</v>
      </c>
    </row>
    <row r="127" ht="14.25" customHeight="1">
      <c r="B127" s="41" t="s">
        <v>155</v>
      </c>
      <c r="C127" s="41" t="s">
        <v>52</v>
      </c>
      <c r="D127" s="41" t="s">
        <v>15</v>
      </c>
      <c r="E127" s="41" t="s">
        <v>26</v>
      </c>
      <c r="F127" s="41" t="s">
        <v>17</v>
      </c>
      <c r="G127" s="41" t="s">
        <v>23</v>
      </c>
      <c r="H127" s="42">
        <v>45049.0</v>
      </c>
      <c r="I127" s="41">
        <v>46.0</v>
      </c>
      <c r="J127" s="43">
        <v>344.55</v>
      </c>
      <c r="K127" s="43">
        <v>377.25</v>
      </c>
      <c r="L127" s="43">
        <v>15849.300000000001</v>
      </c>
    </row>
    <row r="128" ht="14.25" customHeight="1">
      <c r="B128" s="41" t="s">
        <v>156</v>
      </c>
      <c r="C128" s="41" t="s">
        <v>14</v>
      </c>
      <c r="D128" s="41" t="s">
        <v>21</v>
      </c>
      <c r="E128" s="41" t="s">
        <v>16</v>
      </c>
      <c r="F128" s="41" t="s">
        <v>27</v>
      </c>
      <c r="G128" s="41" t="s">
        <v>31</v>
      </c>
      <c r="H128" s="42">
        <v>45050.0</v>
      </c>
      <c r="I128" s="41">
        <v>486.0</v>
      </c>
      <c r="J128" s="43">
        <v>13.6</v>
      </c>
      <c r="K128" s="43">
        <v>323.94</v>
      </c>
      <c r="L128" s="43">
        <v>6609.599999999999</v>
      </c>
    </row>
    <row r="129" ht="14.25" customHeight="1">
      <c r="B129" s="41" t="s">
        <v>157</v>
      </c>
      <c r="C129" s="41" t="s">
        <v>25</v>
      </c>
      <c r="D129" s="41" t="s">
        <v>15</v>
      </c>
      <c r="E129" s="41" t="s">
        <v>16</v>
      </c>
      <c r="F129" s="41" t="s">
        <v>27</v>
      </c>
      <c r="G129" s="41" t="s">
        <v>18</v>
      </c>
      <c r="H129" s="42">
        <v>45051.0</v>
      </c>
      <c r="I129" s="41">
        <v>287.0</v>
      </c>
      <c r="J129" s="43">
        <v>164.95</v>
      </c>
      <c r="K129" s="43">
        <v>32.41</v>
      </c>
      <c r="L129" s="43">
        <v>47340.649999999994</v>
      </c>
    </row>
    <row r="130" ht="14.25" customHeight="1">
      <c r="B130" s="41" t="s">
        <v>158</v>
      </c>
      <c r="C130" s="41" t="s">
        <v>20</v>
      </c>
      <c r="D130" s="41" t="s">
        <v>34</v>
      </c>
      <c r="E130" s="41" t="s">
        <v>22</v>
      </c>
      <c r="F130" s="41" t="s">
        <v>17</v>
      </c>
      <c r="G130" s="41" t="s">
        <v>31</v>
      </c>
      <c r="H130" s="42">
        <v>45052.0</v>
      </c>
      <c r="I130" s="41">
        <v>205.0</v>
      </c>
      <c r="J130" s="43">
        <v>486.68</v>
      </c>
      <c r="K130" s="43">
        <v>113.19</v>
      </c>
      <c r="L130" s="43">
        <v>99769.4</v>
      </c>
    </row>
    <row r="131" ht="14.25" customHeight="1">
      <c r="B131" s="41" t="s">
        <v>159</v>
      </c>
      <c r="C131" s="41" t="s">
        <v>52</v>
      </c>
      <c r="D131" s="41" t="s">
        <v>15</v>
      </c>
      <c r="E131" s="41" t="s">
        <v>46</v>
      </c>
      <c r="F131" s="41" t="s">
        <v>27</v>
      </c>
      <c r="G131" s="41" t="s">
        <v>31</v>
      </c>
      <c r="H131" s="42">
        <v>45053.0</v>
      </c>
      <c r="I131" s="41">
        <v>413.0</v>
      </c>
      <c r="J131" s="43">
        <v>292.16</v>
      </c>
      <c r="K131" s="43">
        <v>372.27</v>
      </c>
      <c r="L131" s="43">
        <v>120662.08000000002</v>
      </c>
    </row>
    <row r="132" ht="14.25" customHeight="1">
      <c r="B132" s="41" t="s">
        <v>160</v>
      </c>
      <c r="C132" s="41" t="s">
        <v>25</v>
      </c>
      <c r="D132" s="41" t="s">
        <v>29</v>
      </c>
      <c r="E132" s="41" t="s">
        <v>46</v>
      </c>
      <c r="F132" s="41" t="s">
        <v>27</v>
      </c>
      <c r="G132" s="41" t="s">
        <v>18</v>
      </c>
      <c r="H132" s="42">
        <v>45054.0</v>
      </c>
      <c r="I132" s="41">
        <v>361.0</v>
      </c>
      <c r="J132" s="43">
        <v>130.84</v>
      </c>
      <c r="K132" s="43">
        <v>102.72</v>
      </c>
      <c r="L132" s="43">
        <v>47233.24</v>
      </c>
    </row>
    <row r="133" ht="14.25" customHeight="1">
      <c r="B133" s="41" t="s">
        <v>161</v>
      </c>
      <c r="C133" s="41" t="s">
        <v>20</v>
      </c>
      <c r="D133" s="41" t="s">
        <v>29</v>
      </c>
      <c r="E133" s="41" t="s">
        <v>30</v>
      </c>
      <c r="F133" s="41" t="s">
        <v>17</v>
      </c>
      <c r="G133" s="41" t="s">
        <v>18</v>
      </c>
      <c r="H133" s="42">
        <v>45055.0</v>
      </c>
      <c r="I133" s="41">
        <v>493.0</v>
      </c>
      <c r="J133" s="43">
        <v>263.26</v>
      </c>
      <c r="K133" s="43">
        <v>312.91</v>
      </c>
      <c r="L133" s="43">
        <v>129787.18</v>
      </c>
    </row>
    <row r="134" ht="14.25" customHeight="1">
      <c r="B134" s="41" t="s">
        <v>162</v>
      </c>
      <c r="C134" s="41" t="s">
        <v>20</v>
      </c>
      <c r="D134" s="41" t="s">
        <v>34</v>
      </c>
      <c r="E134" s="41" t="s">
        <v>22</v>
      </c>
      <c r="F134" s="41" t="s">
        <v>27</v>
      </c>
      <c r="G134" s="41" t="s">
        <v>18</v>
      </c>
      <c r="H134" s="42">
        <v>45056.0</v>
      </c>
      <c r="I134" s="41">
        <v>251.0</v>
      </c>
      <c r="J134" s="43">
        <v>174.61</v>
      </c>
      <c r="K134" s="43">
        <v>330.4</v>
      </c>
      <c r="L134" s="43">
        <v>43827.11</v>
      </c>
    </row>
    <row r="135" ht="14.25" customHeight="1">
      <c r="B135" s="41" t="s">
        <v>163</v>
      </c>
      <c r="C135" s="41" t="s">
        <v>20</v>
      </c>
      <c r="D135" s="41" t="s">
        <v>21</v>
      </c>
      <c r="E135" s="41" t="s">
        <v>30</v>
      </c>
      <c r="F135" s="41" t="s">
        <v>27</v>
      </c>
      <c r="G135" s="41" t="s">
        <v>18</v>
      </c>
      <c r="H135" s="42">
        <v>45057.0</v>
      </c>
      <c r="I135" s="45">
        <v>255.9029411764706</v>
      </c>
      <c r="J135" s="43">
        <v>268.46</v>
      </c>
      <c r="K135" s="43">
        <v>199.19</v>
      </c>
      <c r="L135" s="43">
        <v>68699.7035882353</v>
      </c>
    </row>
    <row r="136" ht="14.25" customHeight="1">
      <c r="B136" s="41" t="s">
        <v>164</v>
      </c>
      <c r="C136" s="41" t="s">
        <v>25</v>
      </c>
      <c r="D136" s="41" t="s">
        <v>29</v>
      </c>
      <c r="E136" s="41" t="s">
        <v>30</v>
      </c>
      <c r="F136" s="41" t="s">
        <v>27</v>
      </c>
      <c r="G136" s="41" t="s">
        <v>18</v>
      </c>
      <c r="H136" s="42">
        <v>45058.0</v>
      </c>
      <c r="I136" s="41">
        <v>228.0</v>
      </c>
      <c r="J136" s="43">
        <v>67.24</v>
      </c>
      <c r="K136" s="43">
        <v>155.77</v>
      </c>
      <c r="L136" s="43">
        <v>15330.72</v>
      </c>
    </row>
    <row r="137" ht="14.25" customHeight="1">
      <c r="B137" s="41" t="s">
        <v>165</v>
      </c>
      <c r="C137" s="41" t="s">
        <v>25</v>
      </c>
      <c r="D137" s="41" t="s">
        <v>54</v>
      </c>
      <c r="E137" s="41" t="s">
        <v>30</v>
      </c>
      <c r="F137" s="41" t="s">
        <v>17</v>
      </c>
      <c r="G137" s="41" t="s">
        <v>18</v>
      </c>
      <c r="H137" s="42">
        <v>45059.0</v>
      </c>
      <c r="I137" s="41">
        <v>201.0</v>
      </c>
      <c r="J137" s="43">
        <v>70.69</v>
      </c>
      <c r="K137" s="43">
        <v>181.15</v>
      </c>
      <c r="L137" s="43">
        <v>14208.689999999999</v>
      </c>
    </row>
    <row r="138" ht="14.25" customHeight="1">
      <c r="B138" s="41" t="s">
        <v>166</v>
      </c>
      <c r="C138" s="41" t="s">
        <v>25</v>
      </c>
      <c r="D138" s="41" t="s">
        <v>29</v>
      </c>
      <c r="E138" s="41" t="s">
        <v>26</v>
      </c>
      <c r="F138" s="41" t="s">
        <v>17</v>
      </c>
      <c r="G138" s="41" t="s">
        <v>18</v>
      </c>
      <c r="H138" s="42">
        <v>45060.0</v>
      </c>
      <c r="I138" s="41">
        <v>26.0</v>
      </c>
      <c r="J138" s="43">
        <v>76.05</v>
      </c>
      <c r="K138" s="43">
        <v>92.33</v>
      </c>
      <c r="L138" s="43">
        <v>1977.3</v>
      </c>
    </row>
    <row r="139" ht="14.25" customHeight="1">
      <c r="B139" s="41" t="s">
        <v>167</v>
      </c>
      <c r="C139" s="41" t="s">
        <v>14</v>
      </c>
      <c r="D139" s="41" t="s">
        <v>29</v>
      </c>
      <c r="E139" s="41" t="s">
        <v>26</v>
      </c>
      <c r="F139" s="41" t="s">
        <v>17</v>
      </c>
      <c r="G139" s="41" t="s">
        <v>23</v>
      </c>
      <c r="H139" s="42">
        <v>45061.0</v>
      </c>
      <c r="I139" s="41">
        <v>21.0</v>
      </c>
      <c r="J139" s="43">
        <v>470.21</v>
      </c>
      <c r="K139" s="43">
        <v>355.98</v>
      </c>
      <c r="L139" s="43">
        <v>9874.41</v>
      </c>
    </row>
    <row r="140" ht="14.25" customHeight="1">
      <c r="B140" s="41" t="s">
        <v>168</v>
      </c>
      <c r="C140" s="41" t="s">
        <v>25</v>
      </c>
      <c r="D140" s="41" t="s">
        <v>21</v>
      </c>
      <c r="E140" s="41" t="s">
        <v>30</v>
      </c>
      <c r="F140" s="41" t="s">
        <v>27</v>
      </c>
      <c r="G140" s="41" t="s">
        <v>31</v>
      </c>
      <c r="H140" s="42">
        <v>45062.0</v>
      </c>
      <c r="I140" s="41">
        <v>415.0</v>
      </c>
      <c r="J140" s="43">
        <v>367.78</v>
      </c>
      <c r="K140" s="43">
        <v>181.35</v>
      </c>
      <c r="L140" s="43">
        <v>152628.69999999998</v>
      </c>
    </row>
    <row r="141" ht="14.25" customHeight="1">
      <c r="B141" s="41" t="s">
        <v>169</v>
      </c>
      <c r="C141" s="41" t="s">
        <v>25</v>
      </c>
      <c r="D141" s="41" t="s">
        <v>15</v>
      </c>
      <c r="E141" s="41" t="s">
        <v>22</v>
      </c>
      <c r="F141" s="41" t="s">
        <v>27</v>
      </c>
      <c r="G141" s="41" t="s">
        <v>18</v>
      </c>
      <c r="H141" s="42">
        <v>45063.0</v>
      </c>
      <c r="I141" s="41">
        <v>410.0</v>
      </c>
      <c r="J141" s="43">
        <v>85.38</v>
      </c>
      <c r="K141" s="43">
        <v>353.22</v>
      </c>
      <c r="L141" s="43">
        <v>35005.799999999996</v>
      </c>
    </row>
    <row r="142" ht="14.25" customHeight="1">
      <c r="B142" s="41" t="s">
        <v>170</v>
      </c>
      <c r="C142" s="41" t="s">
        <v>25</v>
      </c>
      <c r="D142" s="41" t="s">
        <v>29</v>
      </c>
      <c r="E142" s="41" t="s">
        <v>46</v>
      </c>
      <c r="F142" s="41" t="s">
        <v>17</v>
      </c>
      <c r="G142" s="41" t="s">
        <v>23</v>
      </c>
      <c r="H142" s="42">
        <v>45064.0</v>
      </c>
      <c r="I142" s="41">
        <v>403.0</v>
      </c>
      <c r="J142" s="43">
        <v>98.23</v>
      </c>
      <c r="K142" s="43">
        <v>44.07</v>
      </c>
      <c r="L142" s="43">
        <v>39586.69</v>
      </c>
    </row>
    <row r="143" ht="14.25" customHeight="1">
      <c r="B143" s="41" t="s">
        <v>171</v>
      </c>
      <c r="C143" s="41" t="s">
        <v>14</v>
      </c>
      <c r="D143" s="41" t="s">
        <v>34</v>
      </c>
      <c r="E143" s="41" t="s">
        <v>22</v>
      </c>
      <c r="F143" s="41" t="s">
        <v>27</v>
      </c>
      <c r="G143" s="41" t="s">
        <v>23</v>
      </c>
      <c r="H143" s="42">
        <v>45065.0</v>
      </c>
      <c r="I143" s="41">
        <v>383.0</v>
      </c>
      <c r="J143" s="43">
        <v>366.76</v>
      </c>
      <c r="K143" s="43">
        <v>395.33</v>
      </c>
      <c r="L143" s="43">
        <v>140469.08</v>
      </c>
    </row>
    <row r="144" ht="14.25" customHeight="1">
      <c r="B144" s="41" t="s">
        <v>172</v>
      </c>
      <c r="C144" s="41" t="s">
        <v>25</v>
      </c>
      <c r="D144" s="41" t="s">
        <v>15</v>
      </c>
      <c r="E144" s="41" t="s">
        <v>16</v>
      </c>
      <c r="F144" s="41" t="s">
        <v>27</v>
      </c>
      <c r="G144" s="41" t="s">
        <v>23</v>
      </c>
      <c r="H144" s="42">
        <v>45066.0</v>
      </c>
      <c r="I144" s="41">
        <v>202.0</v>
      </c>
      <c r="J144" s="43">
        <v>82.3</v>
      </c>
      <c r="K144" s="43">
        <v>178.42</v>
      </c>
      <c r="L144" s="43">
        <v>16624.6</v>
      </c>
    </row>
    <row r="145" ht="14.25" customHeight="1">
      <c r="B145" s="41" t="s">
        <v>173</v>
      </c>
      <c r="C145" s="41" t="s">
        <v>20</v>
      </c>
      <c r="D145" s="41" t="s">
        <v>54</v>
      </c>
      <c r="E145" s="41" t="s">
        <v>26</v>
      </c>
      <c r="F145" s="41" t="s">
        <v>27</v>
      </c>
      <c r="G145" s="41" t="s">
        <v>31</v>
      </c>
      <c r="H145" s="42">
        <v>45067.0</v>
      </c>
      <c r="I145" s="41">
        <v>31.0</v>
      </c>
      <c r="J145" s="43">
        <v>121.11</v>
      </c>
      <c r="K145" s="43">
        <v>21.04</v>
      </c>
      <c r="L145" s="43">
        <v>3754.41</v>
      </c>
    </row>
    <row r="146" ht="14.25" customHeight="1">
      <c r="B146" s="41" t="s">
        <v>174</v>
      </c>
      <c r="C146" s="41" t="s">
        <v>25</v>
      </c>
      <c r="D146" s="41" t="s">
        <v>21</v>
      </c>
      <c r="E146" s="41" t="s">
        <v>46</v>
      </c>
      <c r="F146" s="41" t="s">
        <v>27</v>
      </c>
      <c r="G146" s="41" t="s">
        <v>18</v>
      </c>
      <c r="H146" s="42">
        <v>45068.0</v>
      </c>
      <c r="I146" s="41">
        <v>483.0</v>
      </c>
      <c r="J146" s="43">
        <v>481.86</v>
      </c>
      <c r="K146" s="43">
        <v>17.13</v>
      </c>
      <c r="L146" s="43">
        <v>232738.38</v>
      </c>
    </row>
    <row r="147" ht="14.25" customHeight="1">
      <c r="B147" s="41" t="s">
        <v>175</v>
      </c>
      <c r="C147" s="41" t="s">
        <v>20</v>
      </c>
      <c r="D147" s="41" t="s">
        <v>54</v>
      </c>
      <c r="E147" s="41" t="s">
        <v>46</v>
      </c>
      <c r="F147" s="41" t="s">
        <v>27</v>
      </c>
      <c r="G147" s="41" t="s">
        <v>23</v>
      </c>
      <c r="H147" s="42">
        <v>45069.0</v>
      </c>
      <c r="I147" s="41">
        <v>129.0</v>
      </c>
      <c r="J147" s="43">
        <v>131.38</v>
      </c>
      <c r="K147" s="43">
        <v>298.99</v>
      </c>
      <c r="L147" s="43">
        <v>16948.02</v>
      </c>
    </row>
    <row r="148" ht="14.25" customHeight="1">
      <c r="B148" s="41" t="s">
        <v>176</v>
      </c>
      <c r="C148" s="41" t="s">
        <v>20</v>
      </c>
      <c r="D148" s="41" t="s">
        <v>15</v>
      </c>
      <c r="E148" s="41" t="s">
        <v>16</v>
      </c>
      <c r="F148" s="41" t="s">
        <v>17</v>
      </c>
      <c r="G148" s="41" t="s">
        <v>31</v>
      </c>
      <c r="H148" s="42">
        <v>45070.0</v>
      </c>
      <c r="I148" s="41">
        <v>219.0</v>
      </c>
      <c r="J148" s="43">
        <v>332.51</v>
      </c>
      <c r="K148" s="43">
        <v>264.3</v>
      </c>
      <c r="L148" s="43">
        <v>72819.69</v>
      </c>
    </row>
    <row r="149" ht="14.25" customHeight="1">
      <c r="B149" s="41" t="s">
        <v>177</v>
      </c>
      <c r="C149" s="41" t="s">
        <v>20</v>
      </c>
      <c r="D149" s="41" t="s">
        <v>15</v>
      </c>
      <c r="E149" s="41" t="s">
        <v>16</v>
      </c>
      <c r="F149" s="41" t="s">
        <v>27</v>
      </c>
      <c r="G149" s="41" t="s">
        <v>31</v>
      </c>
      <c r="H149" s="42">
        <v>45071.0</v>
      </c>
      <c r="I149" s="41">
        <v>315.0</v>
      </c>
      <c r="J149" s="43">
        <v>489.42</v>
      </c>
      <c r="K149" s="43">
        <v>321.25</v>
      </c>
      <c r="L149" s="43">
        <v>154167.30000000002</v>
      </c>
    </row>
    <row r="150" ht="14.25" customHeight="1">
      <c r="B150" s="41" t="s">
        <v>178</v>
      </c>
      <c r="C150" s="41" t="s">
        <v>14</v>
      </c>
      <c r="D150" s="41" t="s">
        <v>15</v>
      </c>
      <c r="E150" s="41" t="s">
        <v>30</v>
      </c>
      <c r="F150" s="41" t="s">
        <v>17</v>
      </c>
      <c r="G150" s="41" t="s">
        <v>31</v>
      </c>
      <c r="H150" s="42">
        <v>45072.0</v>
      </c>
      <c r="I150" s="41">
        <v>279.0</v>
      </c>
      <c r="J150" s="43">
        <v>190.28</v>
      </c>
      <c r="K150" s="43">
        <v>43.94</v>
      </c>
      <c r="L150" s="43">
        <v>53088.12</v>
      </c>
    </row>
    <row r="151" ht="14.25" customHeight="1">
      <c r="B151" s="41" t="s">
        <v>179</v>
      </c>
      <c r="C151" s="41" t="s">
        <v>14</v>
      </c>
      <c r="D151" s="41" t="s">
        <v>54</v>
      </c>
      <c r="E151" s="41" t="s">
        <v>26</v>
      </c>
      <c r="F151" s="41" t="s">
        <v>27</v>
      </c>
      <c r="G151" s="41" t="s">
        <v>23</v>
      </c>
      <c r="H151" s="42">
        <v>45073.0</v>
      </c>
      <c r="I151" s="41">
        <v>201.0</v>
      </c>
      <c r="J151" s="43">
        <v>13.67</v>
      </c>
      <c r="K151" s="43">
        <v>16.16</v>
      </c>
      <c r="L151" s="43">
        <v>2747.67</v>
      </c>
    </row>
    <row r="152" ht="14.25" customHeight="1">
      <c r="B152" s="41" t="s">
        <v>180</v>
      </c>
      <c r="C152" s="41" t="s">
        <v>14</v>
      </c>
      <c r="D152" s="41" t="s">
        <v>15</v>
      </c>
      <c r="E152" s="41" t="s">
        <v>26</v>
      </c>
      <c r="F152" s="41" t="s">
        <v>17</v>
      </c>
      <c r="G152" s="41" t="s">
        <v>18</v>
      </c>
      <c r="H152" s="42">
        <v>45074.0</v>
      </c>
      <c r="I152" s="41">
        <v>184.0</v>
      </c>
      <c r="J152" s="43">
        <v>125.85</v>
      </c>
      <c r="K152" s="43">
        <v>204.41</v>
      </c>
      <c r="L152" s="43">
        <v>23156.399999999998</v>
      </c>
    </row>
    <row r="153" ht="14.25" customHeight="1">
      <c r="B153" s="41" t="s">
        <v>181</v>
      </c>
      <c r="C153" s="41" t="s">
        <v>25</v>
      </c>
      <c r="D153" s="41" t="s">
        <v>54</v>
      </c>
      <c r="E153" s="41" t="s">
        <v>22</v>
      </c>
      <c r="F153" s="41" t="s">
        <v>27</v>
      </c>
      <c r="G153" s="41" t="s">
        <v>23</v>
      </c>
      <c r="H153" s="42">
        <v>45075.0</v>
      </c>
      <c r="I153" s="41">
        <v>294.0</v>
      </c>
      <c r="J153" s="43">
        <v>416.28</v>
      </c>
      <c r="K153" s="43">
        <v>156.26</v>
      </c>
      <c r="L153" s="43">
        <v>122386.31999999999</v>
      </c>
    </row>
    <row r="154" ht="14.25" customHeight="1">
      <c r="B154" s="41" t="s">
        <v>182</v>
      </c>
      <c r="C154" s="41" t="s">
        <v>20</v>
      </c>
      <c r="D154" s="41" t="s">
        <v>15</v>
      </c>
      <c r="E154" s="41" t="s">
        <v>30</v>
      </c>
      <c r="F154" s="41" t="s">
        <v>17</v>
      </c>
      <c r="G154" s="41" t="s">
        <v>23</v>
      </c>
      <c r="H154" s="42">
        <v>45076.0</v>
      </c>
      <c r="I154" s="41">
        <v>213.0</v>
      </c>
      <c r="J154" s="43">
        <v>432.98</v>
      </c>
      <c r="K154" s="43">
        <v>185.85</v>
      </c>
      <c r="L154" s="43">
        <v>92224.74</v>
      </c>
    </row>
    <row r="155" ht="14.25" customHeight="1">
      <c r="B155" s="41" t="s">
        <v>183</v>
      </c>
      <c r="C155" s="41" t="s">
        <v>14</v>
      </c>
      <c r="D155" s="41" t="s">
        <v>34</v>
      </c>
      <c r="E155" s="41" t="s">
        <v>30</v>
      </c>
      <c r="F155" s="41" t="s">
        <v>27</v>
      </c>
      <c r="G155" s="41" t="s">
        <v>18</v>
      </c>
      <c r="H155" s="42">
        <v>45077.0</v>
      </c>
      <c r="I155" s="41">
        <v>173.0</v>
      </c>
      <c r="J155" s="43">
        <v>385.42</v>
      </c>
      <c r="K155" s="43">
        <v>396.65</v>
      </c>
      <c r="L155" s="43">
        <v>66677.66</v>
      </c>
    </row>
    <row r="156" ht="14.25" customHeight="1">
      <c r="B156" s="41" t="s">
        <v>184</v>
      </c>
      <c r="C156" s="41" t="s">
        <v>14</v>
      </c>
      <c r="D156" s="41" t="s">
        <v>15</v>
      </c>
      <c r="E156" s="41" t="s">
        <v>30</v>
      </c>
      <c r="F156" s="41" t="s">
        <v>17</v>
      </c>
      <c r="G156" s="41" t="s">
        <v>18</v>
      </c>
      <c r="H156" s="42">
        <v>45078.0</v>
      </c>
      <c r="I156" s="41">
        <v>260.0</v>
      </c>
      <c r="J156" s="43">
        <v>60.99</v>
      </c>
      <c r="K156" s="43">
        <v>388.36</v>
      </c>
      <c r="L156" s="43">
        <v>15857.4</v>
      </c>
    </row>
    <row r="157" ht="14.25" customHeight="1">
      <c r="B157" s="41" t="s">
        <v>185</v>
      </c>
      <c r="C157" s="41" t="s">
        <v>25</v>
      </c>
      <c r="D157" s="41" t="s">
        <v>54</v>
      </c>
      <c r="E157" s="41" t="s">
        <v>30</v>
      </c>
      <c r="F157" s="41" t="s">
        <v>27</v>
      </c>
      <c r="G157" s="41" t="s">
        <v>18</v>
      </c>
      <c r="H157" s="42">
        <v>45079.0</v>
      </c>
      <c r="I157" s="41">
        <v>236.0</v>
      </c>
      <c r="J157" s="43">
        <v>398.78</v>
      </c>
      <c r="K157" s="43">
        <v>377.04</v>
      </c>
      <c r="L157" s="43">
        <v>94112.07999999999</v>
      </c>
    </row>
    <row r="158" ht="14.25" customHeight="1">
      <c r="B158" s="41" t="s">
        <v>186</v>
      </c>
      <c r="C158" s="41" t="s">
        <v>14</v>
      </c>
      <c r="D158" s="41" t="s">
        <v>29</v>
      </c>
      <c r="E158" s="41" t="s">
        <v>26</v>
      </c>
      <c r="F158" s="41" t="s">
        <v>17</v>
      </c>
      <c r="G158" s="41" t="s">
        <v>31</v>
      </c>
      <c r="H158" s="42">
        <v>45080.0</v>
      </c>
      <c r="I158" s="41">
        <v>445.0</v>
      </c>
      <c r="J158" s="43">
        <v>459.75</v>
      </c>
      <c r="K158" s="43">
        <v>313.97</v>
      </c>
      <c r="L158" s="43">
        <v>204588.75</v>
      </c>
    </row>
    <row r="159" ht="14.25" customHeight="1">
      <c r="B159" s="41" t="s">
        <v>187</v>
      </c>
      <c r="C159" s="41" t="s">
        <v>25</v>
      </c>
      <c r="D159" s="41" t="s">
        <v>15</v>
      </c>
      <c r="E159" s="41" t="s">
        <v>26</v>
      </c>
      <c r="F159" s="41" t="s">
        <v>27</v>
      </c>
      <c r="G159" s="41" t="s">
        <v>18</v>
      </c>
      <c r="H159" s="42">
        <v>45081.0</v>
      </c>
      <c r="I159" s="41">
        <v>390.0</v>
      </c>
      <c r="J159" s="43">
        <v>302.3</v>
      </c>
      <c r="K159" s="43">
        <v>143.23</v>
      </c>
      <c r="L159" s="43">
        <v>117897.0</v>
      </c>
    </row>
    <row r="160" ht="14.25" customHeight="1">
      <c r="B160" s="41" t="s">
        <v>188</v>
      </c>
      <c r="C160" s="41" t="s">
        <v>52</v>
      </c>
      <c r="D160" s="41" t="s">
        <v>29</v>
      </c>
      <c r="E160" s="41" t="s">
        <v>30</v>
      </c>
      <c r="F160" s="41" t="s">
        <v>17</v>
      </c>
      <c r="G160" s="41" t="s">
        <v>23</v>
      </c>
      <c r="H160" s="42">
        <v>45082.0</v>
      </c>
      <c r="I160" s="41">
        <v>469.0</v>
      </c>
      <c r="J160" s="43">
        <v>470.73</v>
      </c>
      <c r="K160" s="43">
        <v>166.03</v>
      </c>
      <c r="L160" s="43">
        <v>220772.37</v>
      </c>
    </row>
    <row r="161" ht="14.25" customHeight="1">
      <c r="B161" s="41" t="s">
        <v>189</v>
      </c>
      <c r="C161" s="41" t="s">
        <v>14</v>
      </c>
      <c r="D161" s="41" t="s">
        <v>34</v>
      </c>
      <c r="E161" s="41" t="s">
        <v>22</v>
      </c>
      <c r="F161" s="41" t="s">
        <v>17</v>
      </c>
      <c r="G161" s="41" t="s">
        <v>18</v>
      </c>
      <c r="H161" s="42">
        <v>45083.0</v>
      </c>
      <c r="I161" s="41">
        <v>16.0</v>
      </c>
      <c r="J161" s="43">
        <v>249.64520588235297</v>
      </c>
      <c r="K161" s="43">
        <v>220.75</v>
      </c>
      <c r="L161" s="43">
        <v>3994.3232941176475</v>
      </c>
    </row>
    <row r="162" ht="14.25" customHeight="1">
      <c r="B162" s="41" t="s">
        <v>190</v>
      </c>
      <c r="C162" s="41" t="s">
        <v>52</v>
      </c>
      <c r="D162" s="41" t="s">
        <v>21</v>
      </c>
      <c r="E162" s="41" t="s">
        <v>46</v>
      </c>
      <c r="F162" s="41" t="s">
        <v>27</v>
      </c>
      <c r="G162" s="41" t="s">
        <v>23</v>
      </c>
      <c r="H162" s="42">
        <v>45084.0</v>
      </c>
      <c r="I162" s="41">
        <v>38.0</v>
      </c>
      <c r="J162" s="43">
        <v>335.15</v>
      </c>
      <c r="K162" s="43">
        <v>332.55</v>
      </c>
      <c r="L162" s="43">
        <v>12735.699999999999</v>
      </c>
    </row>
    <row r="163" ht="14.25" customHeight="1">
      <c r="B163" s="41" t="s">
        <v>191</v>
      </c>
      <c r="C163" s="41" t="s">
        <v>25</v>
      </c>
      <c r="D163" s="41" t="s">
        <v>34</v>
      </c>
      <c r="E163" s="41" t="s">
        <v>39</v>
      </c>
      <c r="F163" s="41" t="s">
        <v>27</v>
      </c>
      <c r="G163" s="41" t="s">
        <v>31</v>
      </c>
      <c r="H163" s="42">
        <v>45085.0</v>
      </c>
      <c r="I163" s="41">
        <v>404.0</v>
      </c>
      <c r="J163" s="43">
        <v>290.71</v>
      </c>
      <c r="K163" s="43">
        <v>29.35</v>
      </c>
      <c r="L163" s="43">
        <v>117446.84</v>
      </c>
    </row>
    <row r="164" ht="14.25" customHeight="1">
      <c r="B164" s="41" t="s">
        <v>192</v>
      </c>
      <c r="C164" s="41" t="s">
        <v>20</v>
      </c>
      <c r="D164" s="41" t="s">
        <v>15</v>
      </c>
      <c r="E164" s="41" t="s">
        <v>22</v>
      </c>
      <c r="F164" s="41" t="s">
        <v>17</v>
      </c>
      <c r="G164" s="41" t="s">
        <v>23</v>
      </c>
      <c r="H164" s="42">
        <v>45086.0</v>
      </c>
      <c r="I164" s="41">
        <v>42.0</v>
      </c>
      <c r="J164" s="43">
        <v>177.54</v>
      </c>
      <c r="K164" s="43">
        <v>170.87</v>
      </c>
      <c r="L164" s="43">
        <v>7456.679999999999</v>
      </c>
    </row>
    <row r="165" ht="14.25" customHeight="1">
      <c r="B165" s="41" t="s">
        <v>193</v>
      </c>
      <c r="C165" s="41" t="s">
        <v>14</v>
      </c>
      <c r="D165" s="41" t="s">
        <v>29</v>
      </c>
      <c r="E165" s="41" t="s">
        <v>30</v>
      </c>
      <c r="F165" s="41" t="s">
        <v>27</v>
      </c>
      <c r="G165" s="41" t="s">
        <v>23</v>
      </c>
      <c r="H165" s="42">
        <v>45087.0</v>
      </c>
      <c r="I165" s="41">
        <v>143.0</v>
      </c>
      <c r="J165" s="43">
        <v>83.85</v>
      </c>
      <c r="K165" s="43">
        <v>34.88</v>
      </c>
      <c r="L165" s="43">
        <v>11990.55</v>
      </c>
    </row>
    <row r="166" ht="14.25" customHeight="1">
      <c r="B166" s="41" t="s">
        <v>194</v>
      </c>
      <c r="C166" s="41" t="s">
        <v>25</v>
      </c>
      <c r="D166" s="41" t="s">
        <v>29</v>
      </c>
      <c r="E166" s="41" t="s">
        <v>26</v>
      </c>
      <c r="F166" s="41" t="s">
        <v>17</v>
      </c>
      <c r="G166" s="41" t="s">
        <v>18</v>
      </c>
      <c r="H166" s="42">
        <v>45088.0</v>
      </c>
      <c r="I166" s="41">
        <v>376.0</v>
      </c>
      <c r="J166" s="43">
        <v>304.45</v>
      </c>
      <c r="K166" s="43">
        <v>206.83</v>
      </c>
      <c r="L166" s="43">
        <v>114473.2</v>
      </c>
    </row>
    <row r="167" ht="14.25" customHeight="1">
      <c r="B167" s="41" t="s">
        <v>195</v>
      </c>
      <c r="C167" s="41" t="s">
        <v>20</v>
      </c>
      <c r="D167" s="41" t="s">
        <v>54</v>
      </c>
      <c r="E167" s="41" t="s">
        <v>46</v>
      </c>
      <c r="F167" s="41" t="s">
        <v>17</v>
      </c>
      <c r="G167" s="41" t="s">
        <v>18</v>
      </c>
      <c r="H167" s="42">
        <v>45089.0</v>
      </c>
      <c r="I167" s="41">
        <v>88.0</v>
      </c>
      <c r="J167" s="43">
        <v>162.47</v>
      </c>
      <c r="K167" s="43">
        <v>359.76</v>
      </c>
      <c r="L167" s="43">
        <v>14297.36</v>
      </c>
    </row>
    <row r="168" ht="14.25" customHeight="1">
      <c r="B168" s="41" t="s">
        <v>196</v>
      </c>
      <c r="C168" s="41" t="s">
        <v>20</v>
      </c>
      <c r="D168" s="41" t="s">
        <v>29</v>
      </c>
      <c r="E168" s="41" t="s">
        <v>16</v>
      </c>
      <c r="F168" s="41" t="s">
        <v>17</v>
      </c>
      <c r="G168" s="41" t="s">
        <v>23</v>
      </c>
      <c r="H168" s="42">
        <v>45090.0</v>
      </c>
      <c r="I168" s="41">
        <v>425.0</v>
      </c>
      <c r="J168" s="43">
        <v>433.89</v>
      </c>
      <c r="K168" s="43">
        <v>313.43</v>
      </c>
      <c r="L168" s="43">
        <v>184403.25</v>
      </c>
    </row>
    <row r="169" ht="14.25" customHeight="1">
      <c r="B169" s="41" t="s">
        <v>197</v>
      </c>
      <c r="C169" s="41" t="s">
        <v>52</v>
      </c>
      <c r="D169" s="41" t="s">
        <v>54</v>
      </c>
      <c r="E169" s="41" t="s">
        <v>16</v>
      </c>
      <c r="F169" s="41" t="s">
        <v>27</v>
      </c>
      <c r="G169" s="41" t="s">
        <v>18</v>
      </c>
      <c r="H169" s="42">
        <v>45091.0</v>
      </c>
      <c r="I169" s="41">
        <v>444.0</v>
      </c>
      <c r="J169" s="43">
        <v>496.7</v>
      </c>
      <c r="K169" s="43">
        <v>92.68</v>
      </c>
      <c r="L169" s="43">
        <v>220534.8</v>
      </c>
    </row>
    <row r="170" ht="14.25" customHeight="1">
      <c r="B170" s="41" t="s">
        <v>198</v>
      </c>
      <c r="C170" s="41" t="s">
        <v>25</v>
      </c>
      <c r="D170" s="41" t="s">
        <v>21</v>
      </c>
      <c r="E170" s="41" t="s">
        <v>22</v>
      </c>
      <c r="F170" s="41" t="s">
        <v>17</v>
      </c>
      <c r="G170" s="41" t="s">
        <v>31</v>
      </c>
      <c r="H170" s="42">
        <v>45092.0</v>
      </c>
      <c r="I170" s="41">
        <v>468.0</v>
      </c>
      <c r="J170" s="43">
        <v>377.45</v>
      </c>
      <c r="K170" s="43">
        <v>390.44</v>
      </c>
      <c r="L170" s="43">
        <v>176646.6</v>
      </c>
    </row>
    <row r="171" ht="14.25" customHeight="1">
      <c r="B171" s="41" t="s">
        <v>199</v>
      </c>
      <c r="C171" s="41" t="s">
        <v>20</v>
      </c>
      <c r="D171" s="41" t="s">
        <v>15</v>
      </c>
      <c r="E171" s="41" t="s">
        <v>30</v>
      </c>
      <c r="F171" s="41" t="s">
        <v>17</v>
      </c>
      <c r="G171" s="41" t="s">
        <v>31</v>
      </c>
      <c r="H171" s="42">
        <v>45093.0</v>
      </c>
      <c r="I171" s="41">
        <v>67.0</v>
      </c>
      <c r="J171" s="43">
        <v>49.79</v>
      </c>
      <c r="K171" s="43">
        <v>267.61</v>
      </c>
      <c r="L171" s="43">
        <v>3335.93</v>
      </c>
    </row>
    <row r="172" ht="14.25" customHeight="1">
      <c r="B172" s="41" t="s">
        <v>200</v>
      </c>
      <c r="C172" s="41" t="s">
        <v>14</v>
      </c>
      <c r="D172" s="41" t="s">
        <v>54</v>
      </c>
      <c r="E172" s="41" t="s">
        <v>46</v>
      </c>
      <c r="F172" s="41" t="s">
        <v>27</v>
      </c>
      <c r="G172" s="41" t="s">
        <v>18</v>
      </c>
      <c r="H172" s="42">
        <v>45094.0</v>
      </c>
      <c r="I172" s="41">
        <v>480.0</v>
      </c>
      <c r="J172" s="43">
        <v>147.9</v>
      </c>
      <c r="K172" s="43">
        <v>6.15</v>
      </c>
      <c r="L172" s="43">
        <v>70992.0</v>
      </c>
    </row>
    <row r="173" ht="14.25" customHeight="1">
      <c r="B173" s="41" t="s">
        <v>201</v>
      </c>
      <c r="C173" s="41" t="s">
        <v>14</v>
      </c>
      <c r="D173" s="41" t="s">
        <v>21</v>
      </c>
      <c r="E173" s="41" t="s">
        <v>30</v>
      </c>
      <c r="F173" s="41" t="s">
        <v>27</v>
      </c>
      <c r="G173" s="41" t="s">
        <v>31</v>
      </c>
      <c r="H173" s="42">
        <v>45095.0</v>
      </c>
      <c r="I173" s="41">
        <v>35.0</v>
      </c>
      <c r="J173" s="43">
        <v>59.01</v>
      </c>
      <c r="K173" s="43">
        <v>103.65</v>
      </c>
      <c r="L173" s="43">
        <v>2065.35</v>
      </c>
    </row>
    <row r="174" ht="14.25" customHeight="1">
      <c r="B174" s="41" t="s">
        <v>202</v>
      </c>
      <c r="C174" s="41" t="s">
        <v>52</v>
      </c>
      <c r="D174" s="41" t="s">
        <v>29</v>
      </c>
      <c r="E174" s="41" t="s">
        <v>46</v>
      </c>
      <c r="F174" s="41" t="s">
        <v>27</v>
      </c>
      <c r="G174" s="41" t="s">
        <v>18</v>
      </c>
      <c r="H174" s="42">
        <v>45096.0</v>
      </c>
      <c r="I174" s="41">
        <v>491.0</v>
      </c>
      <c r="J174" s="43">
        <v>327.0</v>
      </c>
      <c r="K174" s="43">
        <v>105.76</v>
      </c>
      <c r="L174" s="43">
        <v>160557.0</v>
      </c>
    </row>
    <row r="175" ht="14.25" customHeight="1">
      <c r="B175" s="41" t="s">
        <v>203</v>
      </c>
      <c r="C175" s="41" t="s">
        <v>20</v>
      </c>
      <c r="D175" s="41" t="s">
        <v>29</v>
      </c>
      <c r="E175" s="41" t="s">
        <v>22</v>
      </c>
      <c r="F175" s="41" t="s">
        <v>27</v>
      </c>
      <c r="G175" s="41" t="s">
        <v>23</v>
      </c>
      <c r="H175" s="42">
        <v>45097.0</v>
      </c>
      <c r="I175" s="41">
        <v>439.0</v>
      </c>
      <c r="J175" s="43">
        <v>383.77</v>
      </c>
      <c r="K175" s="43">
        <v>29.56</v>
      </c>
      <c r="L175" s="43">
        <v>168475.03</v>
      </c>
    </row>
    <row r="176" ht="14.25" customHeight="1">
      <c r="B176" s="41" t="s">
        <v>204</v>
      </c>
      <c r="C176" s="41" t="s">
        <v>25</v>
      </c>
      <c r="D176" s="41" t="s">
        <v>21</v>
      </c>
      <c r="E176" s="41" t="s">
        <v>22</v>
      </c>
      <c r="F176" s="41" t="s">
        <v>17</v>
      </c>
      <c r="G176" s="41" t="s">
        <v>23</v>
      </c>
      <c r="H176" s="42">
        <v>45098.0</v>
      </c>
      <c r="I176" s="41">
        <v>235.0</v>
      </c>
      <c r="J176" s="43">
        <v>463.21</v>
      </c>
      <c r="K176" s="43">
        <v>384.01</v>
      </c>
      <c r="L176" s="43">
        <v>108854.34999999999</v>
      </c>
    </row>
    <row r="177" ht="14.25" customHeight="1">
      <c r="B177" s="41" t="s">
        <v>205</v>
      </c>
      <c r="C177" s="41" t="s">
        <v>14</v>
      </c>
      <c r="D177" s="41" t="s">
        <v>29</v>
      </c>
      <c r="E177" s="41" t="s">
        <v>16</v>
      </c>
      <c r="F177" s="41" t="s">
        <v>17</v>
      </c>
      <c r="G177" s="41" t="s">
        <v>31</v>
      </c>
      <c r="H177" s="42">
        <v>45099.0</v>
      </c>
      <c r="I177" s="41">
        <v>294.0</v>
      </c>
      <c r="J177" s="43">
        <v>221.9</v>
      </c>
      <c r="K177" s="43">
        <v>192.35</v>
      </c>
      <c r="L177" s="43">
        <v>65238.6</v>
      </c>
    </row>
    <row r="178" ht="14.25" customHeight="1">
      <c r="B178" s="41" t="s">
        <v>206</v>
      </c>
      <c r="C178" s="41" t="s">
        <v>20</v>
      </c>
      <c r="D178" s="41" t="s">
        <v>21</v>
      </c>
      <c r="E178" s="41" t="s">
        <v>30</v>
      </c>
      <c r="F178" s="41" t="s">
        <v>17</v>
      </c>
      <c r="G178" s="41" t="s">
        <v>18</v>
      </c>
      <c r="H178" s="42">
        <v>45100.0</v>
      </c>
      <c r="I178" s="41">
        <v>13.0</v>
      </c>
      <c r="J178" s="43">
        <v>451.18</v>
      </c>
      <c r="K178" s="43">
        <v>358.53</v>
      </c>
      <c r="L178" s="43">
        <v>5865.34</v>
      </c>
    </row>
    <row r="179" ht="14.25" customHeight="1">
      <c r="B179" s="41" t="s">
        <v>207</v>
      </c>
      <c r="C179" s="41" t="s">
        <v>20</v>
      </c>
      <c r="D179" s="41" t="s">
        <v>54</v>
      </c>
      <c r="E179" s="41" t="s">
        <v>16</v>
      </c>
      <c r="F179" s="41" t="s">
        <v>17</v>
      </c>
      <c r="G179" s="41" t="s">
        <v>18</v>
      </c>
      <c r="H179" s="42">
        <v>45101.0</v>
      </c>
      <c r="I179" s="41">
        <v>474.0</v>
      </c>
      <c r="J179" s="43">
        <v>439.56</v>
      </c>
      <c r="K179" s="43">
        <v>130.24</v>
      </c>
      <c r="L179" s="43">
        <v>208351.44</v>
      </c>
    </row>
    <row r="180" ht="14.25" customHeight="1">
      <c r="B180" s="41" t="s">
        <v>208</v>
      </c>
      <c r="C180" s="41" t="s">
        <v>52</v>
      </c>
      <c r="D180" s="41" t="s">
        <v>54</v>
      </c>
      <c r="E180" s="41" t="s">
        <v>30</v>
      </c>
      <c r="F180" s="41" t="s">
        <v>27</v>
      </c>
      <c r="G180" s="41" t="s">
        <v>31</v>
      </c>
      <c r="H180" s="42">
        <v>45102.0</v>
      </c>
      <c r="I180" s="41">
        <v>108.0</v>
      </c>
      <c r="J180" s="43">
        <v>162.01</v>
      </c>
      <c r="K180" s="43">
        <v>51.84</v>
      </c>
      <c r="L180" s="43">
        <v>17497.079999999998</v>
      </c>
    </row>
    <row r="181" ht="14.25" customHeight="1">
      <c r="B181" s="41" t="s">
        <v>209</v>
      </c>
      <c r="C181" s="41" t="s">
        <v>14</v>
      </c>
      <c r="D181" s="41" t="s">
        <v>21</v>
      </c>
      <c r="E181" s="41" t="s">
        <v>16</v>
      </c>
      <c r="F181" s="41" t="s">
        <v>17</v>
      </c>
      <c r="G181" s="41" t="s">
        <v>23</v>
      </c>
      <c r="H181" s="42">
        <v>45103.0</v>
      </c>
      <c r="I181" s="41">
        <v>406.0</v>
      </c>
      <c r="J181" s="43">
        <v>435.11</v>
      </c>
      <c r="K181" s="43">
        <v>190.79</v>
      </c>
      <c r="L181" s="43">
        <v>176654.66</v>
      </c>
    </row>
    <row r="182" ht="14.25" customHeight="1">
      <c r="B182" s="41" t="s">
        <v>210</v>
      </c>
      <c r="C182" s="41" t="s">
        <v>14</v>
      </c>
      <c r="D182" s="41" t="s">
        <v>54</v>
      </c>
      <c r="E182" s="41" t="s">
        <v>26</v>
      </c>
      <c r="F182" s="41" t="s">
        <v>17</v>
      </c>
      <c r="G182" s="41" t="s">
        <v>31</v>
      </c>
      <c r="H182" s="42">
        <v>45104.0</v>
      </c>
      <c r="I182" s="41">
        <v>498.0</v>
      </c>
      <c r="J182" s="43">
        <v>190.96</v>
      </c>
      <c r="K182" s="43">
        <v>47.35</v>
      </c>
      <c r="L182" s="43">
        <v>95098.08</v>
      </c>
    </row>
    <row r="183" ht="14.25" customHeight="1">
      <c r="B183" s="41" t="s">
        <v>211</v>
      </c>
      <c r="C183" s="41" t="s">
        <v>25</v>
      </c>
      <c r="D183" s="41" t="s">
        <v>54</v>
      </c>
      <c r="E183" s="41" t="s">
        <v>26</v>
      </c>
      <c r="F183" s="41" t="s">
        <v>27</v>
      </c>
      <c r="G183" s="41" t="s">
        <v>23</v>
      </c>
      <c r="H183" s="42">
        <v>45105.0</v>
      </c>
      <c r="I183" s="41">
        <v>48.0</v>
      </c>
      <c r="J183" s="43">
        <v>151.95</v>
      </c>
      <c r="K183" s="43">
        <v>195.43</v>
      </c>
      <c r="L183" s="43">
        <v>7293.599999999999</v>
      </c>
    </row>
    <row r="184" ht="14.25" customHeight="1">
      <c r="B184" s="41" t="s">
        <v>212</v>
      </c>
      <c r="C184" s="41" t="s">
        <v>14</v>
      </c>
      <c r="D184" s="41" t="s">
        <v>54</v>
      </c>
      <c r="E184" s="41" t="s">
        <v>26</v>
      </c>
      <c r="F184" s="41" t="s">
        <v>17</v>
      </c>
      <c r="G184" s="41" t="s">
        <v>18</v>
      </c>
      <c r="H184" s="42">
        <v>45106.0</v>
      </c>
      <c r="I184" s="41">
        <v>280.0</v>
      </c>
      <c r="J184" s="43">
        <v>326.29</v>
      </c>
      <c r="K184" s="43">
        <v>368.28</v>
      </c>
      <c r="L184" s="43">
        <v>91361.20000000001</v>
      </c>
    </row>
    <row r="185" ht="14.25" customHeight="1">
      <c r="B185" s="41" t="s">
        <v>213</v>
      </c>
      <c r="C185" s="41" t="s">
        <v>25</v>
      </c>
      <c r="D185" s="41" t="s">
        <v>34</v>
      </c>
      <c r="E185" s="41" t="s">
        <v>26</v>
      </c>
      <c r="F185" s="41" t="s">
        <v>17</v>
      </c>
      <c r="G185" s="41" t="s">
        <v>23</v>
      </c>
      <c r="H185" s="42">
        <v>45107.0</v>
      </c>
      <c r="I185" s="41">
        <v>384.0</v>
      </c>
      <c r="J185" s="43">
        <v>167.55</v>
      </c>
      <c r="K185" s="43">
        <v>209.27</v>
      </c>
      <c r="L185" s="43">
        <v>64339.200000000004</v>
      </c>
    </row>
    <row r="186" ht="14.25" customHeight="1">
      <c r="B186" s="41" t="s">
        <v>214</v>
      </c>
      <c r="C186" s="41" t="s">
        <v>14</v>
      </c>
      <c r="D186" s="41" t="s">
        <v>15</v>
      </c>
      <c r="E186" s="41" t="s">
        <v>46</v>
      </c>
      <c r="F186" s="41" t="s">
        <v>17</v>
      </c>
      <c r="G186" s="41" t="s">
        <v>31</v>
      </c>
      <c r="H186" s="42">
        <v>45108.0</v>
      </c>
      <c r="I186" s="41">
        <v>294.0</v>
      </c>
      <c r="J186" s="43">
        <v>316.95</v>
      </c>
      <c r="K186" s="43">
        <v>247.37</v>
      </c>
      <c r="L186" s="43">
        <v>93183.3</v>
      </c>
    </row>
    <row r="187" ht="14.25" customHeight="1">
      <c r="B187" s="41" t="s">
        <v>215</v>
      </c>
      <c r="C187" s="41" t="s">
        <v>52</v>
      </c>
      <c r="D187" s="41" t="s">
        <v>29</v>
      </c>
      <c r="E187" s="41" t="s">
        <v>26</v>
      </c>
      <c r="F187" s="41" t="s">
        <v>17</v>
      </c>
      <c r="G187" s="41" t="s">
        <v>18</v>
      </c>
      <c r="H187" s="42">
        <v>45109.0</v>
      </c>
      <c r="I187" s="41">
        <v>166.0</v>
      </c>
      <c r="J187" s="43">
        <v>306.87</v>
      </c>
      <c r="K187" s="43">
        <v>64.34</v>
      </c>
      <c r="L187" s="43">
        <v>50940.42</v>
      </c>
    </row>
    <row r="188" ht="14.25" customHeight="1">
      <c r="B188" s="41" t="s">
        <v>216</v>
      </c>
      <c r="C188" s="41" t="s">
        <v>14</v>
      </c>
      <c r="D188" s="41" t="s">
        <v>34</v>
      </c>
      <c r="E188" s="41" t="s">
        <v>22</v>
      </c>
      <c r="F188" s="41" t="s">
        <v>17</v>
      </c>
      <c r="G188" s="41" t="s">
        <v>31</v>
      </c>
      <c r="H188" s="42">
        <v>45110.0</v>
      </c>
      <c r="I188" s="41">
        <v>84.0</v>
      </c>
      <c r="J188" s="43">
        <v>283.9</v>
      </c>
      <c r="K188" s="43">
        <v>19.41</v>
      </c>
      <c r="L188" s="43">
        <v>23847.6</v>
      </c>
    </row>
    <row r="189" ht="14.25" customHeight="1">
      <c r="B189" s="41" t="s">
        <v>217</v>
      </c>
      <c r="C189" s="41" t="s">
        <v>25</v>
      </c>
      <c r="D189" s="41" t="s">
        <v>54</v>
      </c>
      <c r="E189" s="41" t="s">
        <v>22</v>
      </c>
      <c r="F189" s="41" t="s">
        <v>17</v>
      </c>
      <c r="G189" s="41" t="s">
        <v>31</v>
      </c>
      <c r="H189" s="42">
        <v>45111.0</v>
      </c>
      <c r="I189" s="41">
        <v>381.0</v>
      </c>
      <c r="J189" s="43">
        <v>193.31</v>
      </c>
      <c r="K189" s="43">
        <v>46.1</v>
      </c>
      <c r="L189" s="43">
        <v>73651.11</v>
      </c>
    </row>
    <row r="190" ht="14.25" customHeight="1">
      <c r="B190" s="41" t="s">
        <v>218</v>
      </c>
      <c r="C190" s="41" t="s">
        <v>25</v>
      </c>
      <c r="D190" s="41" t="s">
        <v>21</v>
      </c>
      <c r="E190" s="41" t="s">
        <v>46</v>
      </c>
      <c r="F190" s="41" t="s">
        <v>27</v>
      </c>
      <c r="G190" s="41" t="s">
        <v>23</v>
      </c>
      <c r="H190" s="42">
        <v>45112.0</v>
      </c>
      <c r="I190" s="41">
        <v>297.0</v>
      </c>
      <c r="J190" s="43">
        <v>276.51</v>
      </c>
      <c r="K190" s="43">
        <v>240.22</v>
      </c>
      <c r="L190" s="43">
        <v>82123.47</v>
      </c>
    </row>
    <row r="191" ht="14.25" customHeight="1">
      <c r="B191" s="41" t="s">
        <v>219</v>
      </c>
      <c r="C191" s="41" t="s">
        <v>52</v>
      </c>
      <c r="D191" s="41" t="s">
        <v>54</v>
      </c>
      <c r="E191" s="41" t="s">
        <v>26</v>
      </c>
      <c r="F191" s="41" t="s">
        <v>27</v>
      </c>
      <c r="G191" s="41" t="s">
        <v>31</v>
      </c>
      <c r="H191" s="42">
        <v>45113.0</v>
      </c>
      <c r="I191" s="41">
        <v>139.0</v>
      </c>
      <c r="J191" s="43">
        <v>300.26</v>
      </c>
      <c r="K191" s="43">
        <v>39.81</v>
      </c>
      <c r="L191" s="43">
        <v>41736.14</v>
      </c>
    </row>
    <row r="192" ht="14.25" customHeight="1">
      <c r="B192" s="41" t="s">
        <v>220</v>
      </c>
      <c r="C192" s="41" t="s">
        <v>14</v>
      </c>
      <c r="D192" s="41" t="s">
        <v>15</v>
      </c>
      <c r="E192" s="41" t="s">
        <v>26</v>
      </c>
      <c r="F192" s="41" t="s">
        <v>17</v>
      </c>
      <c r="G192" s="41" t="s">
        <v>23</v>
      </c>
      <c r="H192" s="42">
        <v>45114.0</v>
      </c>
      <c r="I192" s="41">
        <v>184.0</v>
      </c>
      <c r="J192" s="43">
        <v>275.12</v>
      </c>
      <c r="K192" s="43">
        <v>151.65</v>
      </c>
      <c r="L192" s="43">
        <v>50622.08</v>
      </c>
    </row>
    <row r="193" ht="14.25" customHeight="1">
      <c r="B193" s="41" t="s">
        <v>221</v>
      </c>
      <c r="C193" s="41" t="s">
        <v>14</v>
      </c>
      <c r="D193" s="41" t="s">
        <v>54</v>
      </c>
      <c r="E193" s="41" t="s">
        <v>26</v>
      </c>
      <c r="F193" s="41" t="s">
        <v>17</v>
      </c>
      <c r="G193" s="41" t="s">
        <v>18</v>
      </c>
      <c r="H193" s="42">
        <v>45115.0</v>
      </c>
      <c r="I193" s="41">
        <v>471.0</v>
      </c>
      <c r="J193" s="43">
        <v>224.99</v>
      </c>
      <c r="K193" s="43">
        <v>220.94</v>
      </c>
      <c r="L193" s="43">
        <v>105970.29000000001</v>
      </c>
    </row>
    <row r="194" ht="14.25" customHeight="1">
      <c r="B194" s="41" t="s">
        <v>222</v>
      </c>
      <c r="C194" s="41" t="s">
        <v>52</v>
      </c>
      <c r="D194" s="41" t="s">
        <v>21</v>
      </c>
      <c r="E194" s="41" t="s">
        <v>16</v>
      </c>
      <c r="F194" s="41" t="s">
        <v>27</v>
      </c>
      <c r="G194" s="41" t="s">
        <v>23</v>
      </c>
      <c r="H194" s="42">
        <v>45116.0</v>
      </c>
      <c r="I194" s="41">
        <v>93.0</v>
      </c>
      <c r="J194" s="43">
        <v>12.26</v>
      </c>
      <c r="K194" s="43">
        <v>156.68</v>
      </c>
      <c r="L194" s="43">
        <v>1140.18</v>
      </c>
    </row>
    <row r="195" ht="14.25" customHeight="1">
      <c r="B195" s="41" t="s">
        <v>223</v>
      </c>
      <c r="C195" s="41" t="s">
        <v>14</v>
      </c>
      <c r="D195" s="41" t="s">
        <v>15</v>
      </c>
      <c r="E195" s="41" t="s">
        <v>30</v>
      </c>
      <c r="F195" s="41" t="s">
        <v>17</v>
      </c>
      <c r="G195" s="41" t="s">
        <v>18</v>
      </c>
      <c r="H195" s="42">
        <v>45117.0</v>
      </c>
      <c r="I195" s="41">
        <v>31.0</v>
      </c>
      <c r="J195" s="43">
        <v>295.6</v>
      </c>
      <c r="K195" s="43">
        <v>67.15</v>
      </c>
      <c r="L195" s="43">
        <v>9163.6</v>
      </c>
    </row>
    <row r="196" ht="14.25" customHeight="1">
      <c r="B196" s="41" t="s">
        <v>224</v>
      </c>
      <c r="C196" s="41" t="s">
        <v>14</v>
      </c>
      <c r="D196" s="41" t="s">
        <v>54</v>
      </c>
      <c r="E196" s="41" t="s">
        <v>16</v>
      </c>
      <c r="F196" s="41" t="s">
        <v>17</v>
      </c>
      <c r="G196" s="41" t="s">
        <v>23</v>
      </c>
      <c r="H196" s="42">
        <v>45118.0</v>
      </c>
      <c r="I196" s="41">
        <v>468.0</v>
      </c>
      <c r="J196" s="43">
        <v>88.38</v>
      </c>
      <c r="K196" s="43">
        <v>110.97</v>
      </c>
      <c r="L196" s="43">
        <v>41361.84</v>
      </c>
    </row>
    <row r="197" ht="14.25" customHeight="1">
      <c r="B197" s="41" t="s">
        <v>225</v>
      </c>
      <c r="C197" s="41" t="s">
        <v>25</v>
      </c>
      <c r="D197" s="41" t="s">
        <v>15</v>
      </c>
      <c r="E197" s="41" t="s">
        <v>30</v>
      </c>
      <c r="F197" s="41" t="s">
        <v>17</v>
      </c>
      <c r="G197" s="41" t="s">
        <v>31</v>
      </c>
      <c r="H197" s="42">
        <v>45119.0</v>
      </c>
      <c r="I197" s="41">
        <v>36.0</v>
      </c>
      <c r="J197" s="43">
        <v>323.08</v>
      </c>
      <c r="K197" s="43">
        <v>371.47</v>
      </c>
      <c r="L197" s="43">
        <v>11630.88</v>
      </c>
    </row>
    <row r="198" ht="14.25" customHeight="1">
      <c r="B198" s="41" t="s">
        <v>226</v>
      </c>
      <c r="C198" s="41" t="s">
        <v>14</v>
      </c>
      <c r="D198" s="41" t="s">
        <v>29</v>
      </c>
      <c r="E198" s="41" t="s">
        <v>26</v>
      </c>
      <c r="F198" s="41" t="s">
        <v>27</v>
      </c>
      <c r="G198" s="41" t="s">
        <v>23</v>
      </c>
      <c r="H198" s="42">
        <v>45120.0</v>
      </c>
      <c r="I198" s="41">
        <v>204.0</v>
      </c>
      <c r="J198" s="43">
        <v>380.88</v>
      </c>
      <c r="K198" s="43">
        <v>271.04</v>
      </c>
      <c r="L198" s="43">
        <v>77699.52</v>
      </c>
    </row>
    <row r="199" ht="14.25" customHeight="1">
      <c r="B199" s="41" t="s">
        <v>227</v>
      </c>
      <c r="C199" s="41" t="s">
        <v>14</v>
      </c>
      <c r="D199" s="41" t="s">
        <v>29</v>
      </c>
      <c r="E199" s="41" t="s">
        <v>26</v>
      </c>
      <c r="F199" s="41" t="s">
        <v>17</v>
      </c>
      <c r="G199" s="41" t="s">
        <v>23</v>
      </c>
      <c r="H199" s="42">
        <v>45121.0</v>
      </c>
      <c r="I199" s="41">
        <v>346.0</v>
      </c>
      <c r="J199" s="43">
        <v>252.72</v>
      </c>
      <c r="K199" s="43">
        <v>199.43</v>
      </c>
      <c r="L199" s="43">
        <v>87441.12</v>
      </c>
    </row>
    <row r="200" ht="14.25" customHeight="1">
      <c r="B200" s="41" t="s">
        <v>228</v>
      </c>
      <c r="C200" s="41" t="s">
        <v>52</v>
      </c>
      <c r="D200" s="41" t="s">
        <v>54</v>
      </c>
      <c r="E200" s="41" t="s">
        <v>16</v>
      </c>
      <c r="F200" s="41" t="s">
        <v>27</v>
      </c>
      <c r="G200" s="41" t="s">
        <v>18</v>
      </c>
      <c r="H200" s="42">
        <v>45122.0</v>
      </c>
      <c r="I200" s="41">
        <v>391.0</v>
      </c>
      <c r="J200" s="43">
        <v>273.47</v>
      </c>
      <c r="K200" s="43">
        <v>7.06</v>
      </c>
      <c r="L200" s="43">
        <v>106926.77</v>
      </c>
    </row>
    <row r="201" ht="14.25" customHeight="1">
      <c r="B201" s="41" t="s">
        <v>229</v>
      </c>
      <c r="C201" s="41" t="s">
        <v>52</v>
      </c>
      <c r="D201" s="41" t="s">
        <v>15</v>
      </c>
      <c r="E201" s="41" t="s">
        <v>16</v>
      </c>
      <c r="F201" s="41" t="s">
        <v>17</v>
      </c>
      <c r="G201" s="41" t="s">
        <v>31</v>
      </c>
      <c r="H201" s="42">
        <v>45123.0</v>
      </c>
      <c r="I201" s="41">
        <v>245.0</v>
      </c>
      <c r="J201" s="43">
        <v>475.98</v>
      </c>
      <c r="K201" s="43">
        <v>396.98</v>
      </c>
      <c r="L201" s="43">
        <v>116615.1</v>
      </c>
    </row>
    <row r="202" ht="14.25" customHeight="1">
      <c r="B202" s="41" t="s">
        <v>230</v>
      </c>
      <c r="C202" s="41" t="s">
        <v>20</v>
      </c>
      <c r="D202" s="41" t="s">
        <v>21</v>
      </c>
      <c r="E202" s="41" t="s">
        <v>30</v>
      </c>
      <c r="F202" s="41" t="s">
        <v>27</v>
      </c>
      <c r="G202" s="41" t="s">
        <v>23</v>
      </c>
      <c r="H202" s="42">
        <v>45124.0</v>
      </c>
      <c r="I202" s="41">
        <v>449.0</v>
      </c>
      <c r="J202" s="43">
        <v>424.35</v>
      </c>
      <c r="K202" s="43">
        <v>269.24</v>
      </c>
      <c r="L202" s="43">
        <v>190533.15000000002</v>
      </c>
    </row>
    <row r="203" ht="14.25" customHeight="1">
      <c r="B203" s="41" t="s">
        <v>231</v>
      </c>
      <c r="C203" s="41" t="s">
        <v>25</v>
      </c>
      <c r="D203" s="41" t="s">
        <v>54</v>
      </c>
      <c r="E203" s="41" t="s">
        <v>22</v>
      </c>
      <c r="F203" s="41" t="s">
        <v>27</v>
      </c>
      <c r="G203" s="41" t="s">
        <v>31</v>
      </c>
      <c r="H203" s="42">
        <v>45125.0</v>
      </c>
      <c r="I203" s="41">
        <v>101.0</v>
      </c>
      <c r="J203" s="43">
        <v>457.55</v>
      </c>
      <c r="K203" s="43">
        <v>128.14</v>
      </c>
      <c r="L203" s="43">
        <v>46212.55</v>
      </c>
    </row>
    <row r="204" ht="14.25" customHeight="1">
      <c r="B204" s="41" t="s">
        <v>232</v>
      </c>
      <c r="C204" s="41" t="s">
        <v>14</v>
      </c>
      <c r="D204" s="41" t="s">
        <v>29</v>
      </c>
      <c r="E204" s="41" t="s">
        <v>30</v>
      </c>
      <c r="F204" s="41" t="s">
        <v>17</v>
      </c>
      <c r="G204" s="41" t="s">
        <v>23</v>
      </c>
      <c r="H204" s="42">
        <v>45126.0</v>
      </c>
      <c r="I204" s="41">
        <v>255.9029411764706</v>
      </c>
      <c r="J204" s="43">
        <v>407.81</v>
      </c>
      <c r="K204" s="43">
        <v>351.95</v>
      </c>
      <c r="L204" s="43">
        <v>104359.77844117647</v>
      </c>
    </row>
    <row r="205" ht="14.25" customHeight="1">
      <c r="B205" s="41" t="s">
        <v>233</v>
      </c>
      <c r="C205" s="41" t="s">
        <v>14</v>
      </c>
      <c r="D205" s="41" t="s">
        <v>29</v>
      </c>
      <c r="E205" s="41" t="s">
        <v>16</v>
      </c>
      <c r="F205" s="41" t="s">
        <v>27</v>
      </c>
      <c r="G205" s="41" t="s">
        <v>23</v>
      </c>
      <c r="H205" s="42">
        <v>45127.0</v>
      </c>
      <c r="I205" s="41">
        <v>30.0</v>
      </c>
      <c r="J205" s="43">
        <v>58.91</v>
      </c>
      <c r="K205" s="43">
        <v>104.86</v>
      </c>
      <c r="L205" s="43">
        <v>1767.3</v>
      </c>
    </row>
    <row r="206" ht="14.25" customHeight="1">
      <c r="B206" s="41" t="s">
        <v>234</v>
      </c>
      <c r="C206" s="41" t="s">
        <v>20</v>
      </c>
      <c r="D206" s="41" t="s">
        <v>54</v>
      </c>
      <c r="E206" s="41" t="s">
        <v>16</v>
      </c>
      <c r="F206" s="41" t="s">
        <v>17</v>
      </c>
      <c r="G206" s="41" t="s">
        <v>31</v>
      </c>
      <c r="H206" s="42">
        <v>45128.0</v>
      </c>
      <c r="I206" s="41">
        <v>312.0</v>
      </c>
      <c r="J206" s="43">
        <v>78.75</v>
      </c>
      <c r="K206" s="43">
        <v>218.52</v>
      </c>
      <c r="L206" s="43">
        <v>24570.0</v>
      </c>
    </row>
    <row r="207" ht="14.25" customHeight="1">
      <c r="B207" s="41" t="s">
        <v>235</v>
      </c>
      <c r="C207" s="41" t="s">
        <v>14</v>
      </c>
      <c r="D207" s="41" t="s">
        <v>15</v>
      </c>
      <c r="E207" s="41" t="s">
        <v>46</v>
      </c>
      <c r="F207" s="41" t="s">
        <v>27</v>
      </c>
      <c r="G207" s="41" t="s">
        <v>23</v>
      </c>
      <c r="H207" s="42">
        <v>45129.0</v>
      </c>
      <c r="I207" s="41">
        <v>473.0</v>
      </c>
      <c r="J207" s="43">
        <v>265.68</v>
      </c>
      <c r="K207" s="43">
        <v>255.16</v>
      </c>
      <c r="L207" s="43">
        <v>125666.64</v>
      </c>
    </row>
    <row r="208" ht="14.25" customHeight="1">
      <c r="B208" s="41" t="s">
        <v>236</v>
      </c>
      <c r="C208" s="41" t="s">
        <v>25</v>
      </c>
      <c r="D208" s="41" t="s">
        <v>29</v>
      </c>
      <c r="E208" s="41" t="s">
        <v>16</v>
      </c>
      <c r="F208" s="41" t="s">
        <v>17</v>
      </c>
      <c r="G208" s="41" t="s">
        <v>31</v>
      </c>
      <c r="H208" s="42">
        <v>45130.0</v>
      </c>
      <c r="I208" s="41">
        <v>366.0</v>
      </c>
      <c r="J208" s="43">
        <v>126.8</v>
      </c>
      <c r="K208" s="43">
        <v>89.98</v>
      </c>
      <c r="L208" s="43">
        <v>46408.799999999996</v>
      </c>
    </row>
    <row r="209" ht="14.25" customHeight="1">
      <c r="B209" s="41" t="s">
        <v>237</v>
      </c>
      <c r="C209" s="41" t="s">
        <v>20</v>
      </c>
      <c r="D209" s="41" t="s">
        <v>15</v>
      </c>
      <c r="E209" s="41" t="s">
        <v>46</v>
      </c>
      <c r="F209" s="41" t="s">
        <v>17</v>
      </c>
      <c r="G209" s="41" t="s">
        <v>23</v>
      </c>
      <c r="H209" s="42">
        <v>45131.0</v>
      </c>
      <c r="I209" s="41">
        <v>452.0</v>
      </c>
      <c r="J209" s="43">
        <v>240.96</v>
      </c>
      <c r="K209" s="43">
        <v>391.4</v>
      </c>
      <c r="L209" s="43">
        <v>108913.92</v>
      </c>
    </row>
    <row r="210" ht="14.25" customHeight="1">
      <c r="B210" s="41" t="s">
        <v>238</v>
      </c>
      <c r="C210" s="41" t="s">
        <v>25</v>
      </c>
      <c r="D210" s="41" t="s">
        <v>29</v>
      </c>
      <c r="E210" s="41" t="s">
        <v>22</v>
      </c>
      <c r="F210" s="41" t="s">
        <v>27</v>
      </c>
      <c r="G210" s="41" t="s">
        <v>18</v>
      </c>
      <c r="H210" s="42">
        <v>45132.0</v>
      </c>
      <c r="I210" s="41">
        <v>93.0</v>
      </c>
      <c r="J210" s="43">
        <v>200.21</v>
      </c>
      <c r="K210" s="43">
        <v>299.78</v>
      </c>
      <c r="L210" s="43">
        <v>18619.530000000002</v>
      </c>
    </row>
    <row r="211" ht="14.25" customHeight="1">
      <c r="B211" s="41" t="s">
        <v>239</v>
      </c>
      <c r="C211" s="41" t="s">
        <v>20</v>
      </c>
      <c r="D211" s="41" t="s">
        <v>29</v>
      </c>
      <c r="E211" s="41" t="s">
        <v>30</v>
      </c>
      <c r="F211" s="41" t="s">
        <v>17</v>
      </c>
      <c r="G211" s="41" t="s">
        <v>31</v>
      </c>
      <c r="H211" s="42">
        <v>45133.0</v>
      </c>
      <c r="I211" s="41">
        <v>271.0</v>
      </c>
      <c r="J211" s="43">
        <v>276.96</v>
      </c>
      <c r="K211" s="43">
        <v>224.01</v>
      </c>
      <c r="L211" s="43">
        <v>75056.15999999999</v>
      </c>
    </row>
    <row r="212" ht="14.25" customHeight="1">
      <c r="B212" s="41" t="s">
        <v>240</v>
      </c>
      <c r="C212" s="41" t="s">
        <v>20</v>
      </c>
      <c r="D212" s="41" t="s">
        <v>34</v>
      </c>
      <c r="E212" s="41" t="s">
        <v>30</v>
      </c>
      <c r="F212" s="41" t="s">
        <v>17</v>
      </c>
      <c r="G212" s="41" t="s">
        <v>23</v>
      </c>
      <c r="H212" s="42">
        <v>45134.0</v>
      </c>
      <c r="I212" s="41">
        <v>156.0</v>
      </c>
      <c r="J212" s="43">
        <v>374.7</v>
      </c>
      <c r="K212" s="43">
        <v>73.88</v>
      </c>
      <c r="L212" s="43">
        <v>58453.2</v>
      </c>
    </row>
    <row r="213" ht="14.25" customHeight="1">
      <c r="B213" s="41" t="s">
        <v>241</v>
      </c>
      <c r="C213" s="41" t="s">
        <v>52</v>
      </c>
      <c r="D213" s="41" t="s">
        <v>29</v>
      </c>
      <c r="E213" s="41" t="s">
        <v>46</v>
      </c>
      <c r="F213" s="41" t="s">
        <v>27</v>
      </c>
      <c r="G213" s="41" t="s">
        <v>23</v>
      </c>
      <c r="H213" s="42">
        <v>45135.0</v>
      </c>
      <c r="I213" s="41">
        <v>450.0</v>
      </c>
      <c r="J213" s="43">
        <v>359.17</v>
      </c>
      <c r="K213" s="43">
        <v>23.44</v>
      </c>
      <c r="L213" s="43">
        <v>161626.5</v>
      </c>
    </row>
    <row r="214" ht="14.25" customHeight="1">
      <c r="B214" s="41" t="s">
        <v>242</v>
      </c>
      <c r="C214" s="41" t="s">
        <v>25</v>
      </c>
      <c r="D214" s="41" t="s">
        <v>21</v>
      </c>
      <c r="E214" s="41" t="s">
        <v>30</v>
      </c>
      <c r="F214" s="41" t="s">
        <v>17</v>
      </c>
      <c r="G214" s="41" t="s">
        <v>18</v>
      </c>
      <c r="H214" s="42">
        <v>45136.0</v>
      </c>
      <c r="I214" s="41">
        <v>462.0</v>
      </c>
      <c r="J214" s="43">
        <v>263.01</v>
      </c>
      <c r="K214" s="43">
        <v>129.38</v>
      </c>
      <c r="L214" s="43">
        <v>121510.62</v>
      </c>
    </row>
    <row r="215" ht="14.25" customHeight="1">
      <c r="B215" s="41" t="s">
        <v>243</v>
      </c>
      <c r="C215" s="41" t="s">
        <v>14</v>
      </c>
      <c r="D215" s="41" t="s">
        <v>54</v>
      </c>
      <c r="E215" s="41" t="s">
        <v>39</v>
      </c>
      <c r="F215" s="41" t="s">
        <v>17</v>
      </c>
      <c r="G215" s="41" t="s">
        <v>31</v>
      </c>
      <c r="H215" s="42">
        <v>45137.0</v>
      </c>
      <c r="I215" s="41">
        <v>396.0</v>
      </c>
      <c r="J215" s="43">
        <v>412.08</v>
      </c>
      <c r="K215" s="43">
        <v>301.77</v>
      </c>
      <c r="L215" s="43">
        <v>163183.68</v>
      </c>
    </row>
    <row r="216" ht="14.25" customHeight="1">
      <c r="B216" s="41" t="s">
        <v>244</v>
      </c>
      <c r="C216" s="41" t="s">
        <v>14</v>
      </c>
      <c r="D216" s="41" t="s">
        <v>54</v>
      </c>
      <c r="E216" s="41" t="s">
        <v>26</v>
      </c>
      <c r="F216" s="41" t="s">
        <v>27</v>
      </c>
      <c r="G216" s="41" t="s">
        <v>23</v>
      </c>
      <c r="H216" s="42">
        <v>45138.0</v>
      </c>
      <c r="I216" s="41">
        <v>266.0</v>
      </c>
      <c r="J216" s="43">
        <v>218.28</v>
      </c>
      <c r="K216" s="43">
        <v>109.19</v>
      </c>
      <c r="L216" s="43">
        <v>58062.48</v>
      </c>
    </row>
    <row r="217" ht="14.25" customHeight="1">
      <c r="B217" s="41" t="s">
        <v>245</v>
      </c>
      <c r="C217" s="41" t="s">
        <v>25</v>
      </c>
      <c r="D217" s="41" t="s">
        <v>15</v>
      </c>
      <c r="E217" s="41" t="s">
        <v>46</v>
      </c>
      <c r="F217" s="41" t="s">
        <v>27</v>
      </c>
      <c r="G217" s="41" t="s">
        <v>18</v>
      </c>
      <c r="H217" s="42">
        <v>45139.0</v>
      </c>
      <c r="I217" s="41">
        <v>67.0</v>
      </c>
      <c r="J217" s="43">
        <v>448.87</v>
      </c>
      <c r="K217" s="43">
        <v>216.74</v>
      </c>
      <c r="L217" s="43">
        <v>30074.29</v>
      </c>
    </row>
    <row r="218" ht="14.25" customHeight="1">
      <c r="B218" s="41" t="s">
        <v>246</v>
      </c>
      <c r="C218" s="41" t="s">
        <v>14</v>
      </c>
      <c r="D218" s="41" t="s">
        <v>29</v>
      </c>
      <c r="E218" s="41" t="s">
        <v>30</v>
      </c>
      <c r="F218" s="41" t="s">
        <v>17</v>
      </c>
      <c r="G218" s="41" t="s">
        <v>23</v>
      </c>
      <c r="H218" s="42">
        <v>45140.0</v>
      </c>
      <c r="I218" s="41">
        <v>389.0</v>
      </c>
      <c r="J218" s="43">
        <v>40.28</v>
      </c>
      <c r="K218" s="43">
        <v>291.72</v>
      </c>
      <c r="L218" s="43">
        <v>15668.92</v>
      </c>
    </row>
    <row r="219" ht="14.25" customHeight="1">
      <c r="B219" s="41" t="s">
        <v>247</v>
      </c>
      <c r="C219" s="41" t="s">
        <v>14</v>
      </c>
      <c r="D219" s="41" t="s">
        <v>21</v>
      </c>
      <c r="E219" s="41" t="s">
        <v>46</v>
      </c>
      <c r="F219" s="41" t="s">
        <v>17</v>
      </c>
      <c r="G219" s="41" t="s">
        <v>31</v>
      </c>
      <c r="H219" s="42">
        <v>45141.0</v>
      </c>
      <c r="I219" s="41">
        <v>431.0</v>
      </c>
      <c r="J219" s="43">
        <v>477.56</v>
      </c>
      <c r="K219" s="43">
        <v>44.96</v>
      </c>
      <c r="L219" s="43">
        <v>205828.36000000002</v>
      </c>
    </row>
    <row r="220" ht="14.25" customHeight="1">
      <c r="B220" s="41" t="s">
        <v>248</v>
      </c>
      <c r="C220" s="41" t="s">
        <v>25</v>
      </c>
      <c r="D220" s="41" t="s">
        <v>15</v>
      </c>
      <c r="E220" s="41" t="s">
        <v>46</v>
      </c>
      <c r="F220" s="41" t="s">
        <v>27</v>
      </c>
      <c r="G220" s="41" t="s">
        <v>23</v>
      </c>
      <c r="H220" s="42">
        <v>45142.0</v>
      </c>
      <c r="I220" s="41">
        <v>24.0</v>
      </c>
      <c r="J220" s="43">
        <v>329.07</v>
      </c>
      <c r="K220" s="43">
        <v>274.75</v>
      </c>
      <c r="L220" s="43">
        <v>7897.68</v>
      </c>
    </row>
    <row r="221" ht="14.25" customHeight="1">
      <c r="B221" s="41" t="s">
        <v>249</v>
      </c>
      <c r="C221" s="41" t="s">
        <v>20</v>
      </c>
      <c r="D221" s="41" t="s">
        <v>34</v>
      </c>
      <c r="E221" s="41" t="s">
        <v>26</v>
      </c>
      <c r="F221" s="41" t="s">
        <v>27</v>
      </c>
      <c r="G221" s="41" t="s">
        <v>23</v>
      </c>
      <c r="H221" s="42">
        <v>45143.0</v>
      </c>
      <c r="I221" s="41">
        <v>171.0</v>
      </c>
      <c r="J221" s="43">
        <v>193.14</v>
      </c>
      <c r="K221" s="43">
        <v>38.56</v>
      </c>
      <c r="L221" s="43">
        <v>33026.939999999995</v>
      </c>
    </row>
    <row r="222" ht="14.25" customHeight="1">
      <c r="B222" s="41" t="s">
        <v>250</v>
      </c>
      <c r="C222" s="41" t="s">
        <v>25</v>
      </c>
      <c r="D222" s="41" t="s">
        <v>15</v>
      </c>
      <c r="E222" s="41" t="s">
        <v>16</v>
      </c>
      <c r="F222" s="41" t="s">
        <v>17</v>
      </c>
      <c r="G222" s="41" t="s">
        <v>23</v>
      </c>
      <c r="H222" s="42">
        <v>45144.0</v>
      </c>
      <c r="I222" s="41">
        <v>454.0</v>
      </c>
      <c r="J222" s="43">
        <v>102.59</v>
      </c>
      <c r="K222" s="43">
        <v>386.12</v>
      </c>
      <c r="L222" s="43">
        <v>46575.86</v>
      </c>
    </row>
    <row r="223" ht="14.25" customHeight="1">
      <c r="B223" s="41" t="s">
        <v>251</v>
      </c>
      <c r="C223" s="41" t="s">
        <v>20</v>
      </c>
      <c r="D223" s="41" t="s">
        <v>15</v>
      </c>
      <c r="E223" s="41" t="s">
        <v>46</v>
      </c>
      <c r="F223" s="41" t="s">
        <v>27</v>
      </c>
      <c r="G223" s="41" t="s">
        <v>23</v>
      </c>
      <c r="H223" s="42">
        <v>45145.0</v>
      </c>
      <c r="I223" s="41">
        <v>172.0</v>
      </c>
      <c r="J223" s="43">
        <v>242.2</v>
      </c>
      <c r="K223" s="43">
        <v>196.38</v>
      </c>
      <c r="L223" s="43">
        <v>41658.4</v>
      </c>
    </row>
    <row r="224" ht="14.25" customHeight="1">
      <c r="B224" s="41" t="s">
        <v>252</v>
      </c>
      <c r="C224" s="41" t="s">
        <v>14</v>
      </c>
      <c r="D224" s="41" t="s">
        <v>29</v>
      </c>
      <c r="E224" s="41" t="s">
        <v>30</v>
      </c>
      <c r="F224" s="41" t="s">
        <v>17</v>
      </c>
      <c r="G224" s="41" t="s">
        <v>18</v>
      </c>
      <c r="H224" s="42">
        <v>45146.0</v>
      </c>
      <c r="I224" s="41">
        <v>329.0</v>
      </c>
      <c r="J224" s="43">
        <v>101.31</v>
      </c>
      <c r="K224" s="43">
        <v>61.97</v>
      </c>
      <c r="L224" s="43">
        <v>33330.99</v>
      </c>
    </row>
    <row r="225" ht="14.25" customHeight="1">
      <c r="B225" s="41" t="s">
        <v>253</v>
      </c>
      <c r="C225" s="41" t="s">
        <v>14</v>
      </c>
      <c r="D225" s="41" t="s">
        <v>34</v>
      </c>
      <c r="E225" s="41" t="s">
        <v>22</v>
      </c>
      <c r="F225" s="41" t="s">
        <v>17</v>
      </c>
      <c r="G225" s="41" t="s">
        <v>18</v>
      </c>
      <c r="H225" s="42">
        <v>45147.0</v>
      </c>
      <c r="I225" s="41">
        <v>290.0</v>
      </c>
      <c r="J225" s="43">
        <v>87.33</v>
      </c>
      <c r="K225" s="43">
        <v>138.27</v>
      </c>
      <c r="L225" s="43">
        <v>25325.7</v>
      </c>
    </row>
    <row r="226" ht="14.25" customHeight="1">
      <c r="B226" s="41" t="s">
        <v>254</v>
      </c>
      <c r="C226" s="41" t="s">
        <v>39</v>
      </c>
      <c r="D226" s="41" t="s">
        <v>15</v>
      </c>
      <c r="E226" s="41" t="s">
        <v>46</v>
      </c>
      <c r="F226" s="41" t="s">
        <v>17</v>
      </c>
      <c r="G226" s="41" t="s">
        <v>31</v>
      </c>
      <c r="H226" s="42">
        <v>45148.0</v>
      </c>
      <c r="I226" s="41">
        <v>289.0</v>
      </c>
      <c r="J226" s="43">
        <v>310.59</v>
      </c>
      <c r="K226" s="43">
        <v>166.54</v>
      </c>
      <c r="L226" s="43">
        <v>89760.51</v>
      </c>
    </row>
    <row r="227" ht="14.25" customHeight="1">
      <c r="B227" s="41" t="s">
        <v>255</v>
      </c>
      <c r="C227" s="41" t="s">
        <v>52</v>
      </c>
      <c r="D227" s="41" t="s">
        <v>21</v>
      </c>
      <c r="E227" s="41" t="s">
        <v>46</v>
      </c>
      <c r="F227" s="41" t="s">
        <v>17</v>
      </c>
      <c r="G227" s="41" t="s">
        <v>18</v>
      </c>
      <c r="H227" s="42">
        <v>45149.0</v>
      </c>
      <c r="I227" s="41">
        <v>21.0</v>
      </c>
      <c r="J227" s="43">
        <v>263.93</v>
      </c>
      <c r="K227" s="43">
        <v>303.76</v>
      </c>
      <c r="L227" s="43">
        <v>5542.53</v>
      </c>
    </row>
    <row r="228" ht="14.25" customHeight="1">
      <c r="B228" s="41" t="s">
        <v>256</v>
      </c>
      <c r="C228" s="41" t="s">
        <v>20</v>
      </c>
      <c r="D228" s="41" t="s">
        <v>21</v>
      </c>
      <c r="E228" s="41" t="s">
        <v>26</v>
      </c>
      <c r="F228" s="41" t="s">
        <v>17</v>
      </c>
      <c r="G228" s="41" t="s">
        <v>18</v>
      </c>
      <c r="H228" s="42">
        <v>45150.0</v>
      </c>
      <c r="I228" s="41">
        <v>283.0</v>
      </c>
      <c r="J228" s="43">
        <v>336.7</v>
      </c>
      <c r="K228" s="43">
        <v>297.88</v>
      </c>
      <c r="L228" s="43">
        <v>95286.09999999999</v>
      </c>
    </row>
    <row r="229" ht="14.25" customHeight="1">
      <c r="B229" s="41" t="s">
        <v>257</v>
      </c>
      <c r="C229" s="41" t="s">
        <v>52</v>
      </c>
      <c r="D229" s="41" t="s">
        <v>54</v>
      </c>
      <c r="E229" s="41" t="s">
        <v>16</v>
      </c>
      <c r="F229" s="41" t="s">
        <v>27</v>
      </c>
      <c r="G229" s="41" t="s">
        <v>31</v>
      </c>
      <c r="H229" s="42">
        <v>45151.0</v>
      </c>
      <c r="I229" s="41">
        <v>280.0</v>
      </c>
      <c r="J229" s="43">
        <v>465.15</v>
      </c>
      <c r="K229" s="43">
        <v>245.55</v>
      </c>
      <c r="L229" s="43">
        <v>130242.0</v>
      </c>
    </row>
    <row r="230" ht="14.25" customHeight="1">
      <c r="B230" s="41" t="s">
        <v>258</v>
      </c>
      <c r="C230" s="41" t="s">
        <v>52</v>
      </c>
      <c r="D230" s="41" t="s">
        <v>34</v>
      </c>
      <c r="E230" s="41" t="s">
        <v>22</v>
      </c>
      <c r="F230" s="41" t="s">
        <v>27</v>
      </c>
      <c r="G230" s="41" t="s">
        <v>18</v>
      </c>
      <c r="H230" s="42">
        <v>45152.0</v>
      </c>
      <c r="I230" s="41">
        <v>217.0</v>
      </c>
      <c r="J230" s="43">
        <v>268.47</v>
      </c>
      <c r="K230" s="43">
        <v>44.16</v>
      </c>
      <c r="L230" s="43">
        <v>58257.990000000005</v>
      </c>
    </row>
    <row r="231" ht="14.25" customHeight="1">
      <c r="B231" s="41" t="s">
        <v>259</v>
      </c>
      <c r="C231" s="41" t="s">
        <v>25</v>
      </c>
      <c r="D231" s="41" t="s">
        <v>34</v>
      </c>
      <c r="E231" s="41" t="s">
        <v>30</v>
      </c>
      <c r="F231" s="41" t="s">
        <v>27</v>
      </c>
      <c r="G231" s="41" t="s">
        <v>18</v>
      </c>
      <c r="H231" s="42">
        <v>45153.0</v>
      </c>
      <c r="I231" s="41">
        <v>36.0</v>
      </c>
      <c r="J231" s="43">
        <v>292.56</v>
      </c>
      <c r="K231" s="43">
        <v>62.32</v>
      </c>
      <c r="L231" s="43">
        <v>10532.16</v>
      </c>
    </row>
    <row r="232" ht="14.25" customHeight="1">
      <c r="B232" s="41" t="s">
        <v>260</v>
      </c>
      <c r="C232" s="41" t="s">
        <v>52</v>
      </c>
      <c r="D232" s="41" t="s">
        <v>54</v>
      </c>
      <c r="E232" s="41" t="s">
        <v>22</v>
      </c>
      <c r="F232" s="41" t="s">
        <v>27</v>
      </c>
      <c r="G232" s="41" t="s">
        <v>31</v>
      </c>
      <c r="H232" s="42">
        <v>45154.0</v>
      </c>
      <c r="I232" s="41">
        <v>255.9029411764706</v>
      </c>
      <c r="J232" s="43">
        <v>49.37</v>
      </c>
      <c r="K232" s="43">
        <v>39.32</v>
      </c>
      <c r="L232" s="43">
        <v>12633.928205882352</v>
      </c>
    </row>
    <row r="233" ht="14.25" customHeight="1">
      <c r="B233" s="41" t="s">
        <v>261</v>
      </c>
      <c r="C233" s="41" t="s">
        <v>25</v>
      </c>
      <c r="D233" s="41" t="s">
        <v>15</v>
      </c>
      <c r="E233" s="41" t="s">
        <v>30</v>
      </c>
      <c r="F233" s="41" t="s">
        <v>17</v>
      </c>
      <c r="G233" s="41" t="s">
        <v>31</v>
      </c>
      <c r="H233" s="42">
        <v>45155.0</v>
      </c>
      <c r="I233" s="41">
        <v>69.0</v>
      </c>
      <c r="J233" s="43">
        <v>360.23</v>
      </c>
      <c r="K233" s="43">
        <v>231.71</v>
      </c>
      <c r="L233" s="43">
        <v>24855.870000000003</v>
      </c>
    </row>
    <row r="234" ht="14.25" customHeight="1">
      <c r="B234" s="41" t="s">
        <v>262</v>
      </c>
      <c r="C234" s="41" t="s">
        <v>25</v>
      </c>
      <c r="D234" s="41" t="s">
        <v>34</v>
      </c>
      <c r="E234" s="41" t="s">
        <v>16</v>
      </c>
      <c r="F234" s="41" t="s">
        <v>17</v>
      </c>
      <c r="G234" s="41" t="s">
        <v>31</v>
      </c>
      <c r="H234" s="42">
        <v>45156.0</v>
      </c>
      <c r="I234" s="41">
        <v>439.0</v>
      </c>
      <c r="J234" s="43">
        <v>202.95</v>
      </c>
      <c r="K234" s="43">
        <v>351.1</v>
      </c>
      <c r="L234" s="43">
        <v>89095.04999999999</v>
      </c>
    </row>
    <row r="235" ht="14.25" customHeight="1">
      <c r="B235" s="41" t="s">
        <v>263</v>
      </c>
      <c r="C235" s="41" t="s">
        <v>52</v>
      </c>
      <c r="D235" s="41" t="s">
        <v>21</v>
      </c>
      <c r="E235" s="41" t="s">
        <v>30</v>
      </c>
      <c r="F235" s="41" t="s">
        <v>17</v>
      </c>
      <c r="G235" s="41" t="s">
        <v>23</v>
      </c>
      <c r="H235" s="42">
        <v>45157.0</v>
      </c>
      <c r="I235" s="41">
        <v>482.0</v>
      </c>
      <c r="J235" s="43">
        <v>488.48</v>
      </c>
      <c r="K235" s="43">
        <v>174.65</v>
      </c>
      <c r="L235" s="43">
        <v>235447.36000000002</v>
      </c>
    </row>
    <row r="236" ht="14.25" customHeight="1">
      <c r="B236" s="41" t="s">
        <v>264</v>
      </c>
      <c r="C236" s="41" t="s">
        <v>20</v>
      </c>
      <c r="D236" s="41" t="s">
        <v>21</v>
      </c>
      <c r="E236" s="41" t="s">
        <v>26</v>
      </c>
      <c r="F236" s="41" t="s">
        <v>17</v>
      </c>
      <c r="G236" s="41" t="s">
        <v>23</v>
      </c>
      <c r="H236" s="42">
        <v>45158.0</v>
      </c>
      <c r="I236" s="41">
        <v>154.0</v>
      </c>
      <c r="J236" s="43">
        <v>412.47</v>
      </c>
      <c r="K236" s="43">
        <v>66.02</v>
      </c>
      <c r="L236" s="43">
        <v>63520.380000000005</v>
      </c>
    </row>
    <row r="237" ht="14.25" customHeight="1">
      <c r="B237" s="41" t="s">
        <v>265</v>
      </c>
      <c r="C237" s="41" t="s">
        <v>20</v>
      </c>
      <c r="D237" s="41" t="s">
        <v>29</v>
      </c>
      <c r="E237" s="41" t="s">
        <v>26</v>
      </c>
      <c r="F237" s="41" t="s">
        <v>27</v>
      </c>
      <c r="G237" s="41" t="s">
        <v>31</v>
      </c>
      <c r="H237" s="42">
        <v>45159.0</v>
      </c>
      <c r="I237" s="41">
        <v>102.0</v>
      </c>
      <c r="J237" s="43">
        <v>263.63</v>
      </c>
      <c r="K237" s="43">
        <v>224.1</v>
      </c>
      <c r="L237" s="43">
        <v>26890.26</v>
      </c>
    </row>
    <row r="238" ht="14.25" customHeight="1">
      <c r="B238" s="41" t="s">
        <v>266</v>
      </c>
      <c r="C238" s="41" t="s">
        <v>20</v>
      </c>
      <c r="D238" s="41" t="s">
        <v>34</v>
      </c>
      <c r="E238" s="41" t="s">
        <v>26</v>
      </c>
      <c r="F238" s="41" t="s">
        <v>17</v>
      </c>
      <c r="G238" s="41" t="s">
        <v>31</v>
      </c>
      <c r="H238" s="42">
        <v>45160.0</v>
      </c>
      <c r="I238" s="41">
        <v>318.0</v>
      </c>
      <c r="J238" s="43">
        <v>66.0</v>
      </c>
      <c r="K238" s="43">
        <v>325.08</v>
      </c>
      <c r="L238" s="43">
        <v>20988.0</v>
      </c>
    </row>
    <row r="239" ht="14.25" customHeight="1">
      <c r="B239" s="41" t="s">
        <v>267</v>
      </c>
      <c r="C239" s="41" t="s">
        <v>20</v>
      </c>
      <c r="D239" s="41" t="s">
        <v>15</v>
      </c>
      <c r="E239" s="41" t="s">
        <v>26</v>
      </c>
      <c r="F239" s="41" t="s">
        <v>17</v>
      </c>
      <c r="G239" s="41" t="s">
        <v>31</v>
      </c>
      <c r="H239" s="42">
        <v>45161.0</v>
      </c>
      <c r="I239" s="41">
        <v>17.0</v>
      </c>
      <c r="J239" s="43">
        <v>430.41</v>
      </c>
      <c r="K239" s="43">
        <v>297.2</v>
      </c>
      <c r="L239" s="43">
        <v>7316.97</v>
      </c>
    </row>
    <row r="240" ht="14.25" customHeight="1">
      <c r="B240" s="41" t="s">
        <v>268</v>
      </c>
      <c r="C240" s="41" t="s">
        <v>20</v>
      </c>
      <c r="D240" s="41" t="s">
        <v>54</v>
      </c>
      <c r="E240" s="41" t="s">
        <v>22</v>
      </c>
      <c r="F240" s="41" t="s">
        <v>27</v>
      </c>
      <c r="G240" s="41" t="s">
        <v>23</v>
      </c>
      <c r="H240" s="42">
        <v>45162.0</v>
      </c>
      <c r="I240" s="41">
        <v>88.0</v>
      </c>
      <c r="J240" s="43">
        <v>400.89</v>
      </c>
      <c r="K240" s="43">
        <v>352.82</v>
      </c>
      <c r="L240" s="43">
        <v>35278.32</v>
      </c>
    </row>
    <row r="241" ht="14.25" customHeight="1">
      <c r="B241" s="41" t="s">
        <v>269</v>
      </c>
      <c r="C241" s="41" t="s">
        <v>52</v>
      </c>
      <c r="D241" s="41" t="s">
        <v>54</v>
      </c>
      <c r="E241" s="41" t="s">
        <v>16</v>
      </c>
      <c r="F241" s="41" t="s">
        <v>27</v>
      </c>
      <c r="G241" s="41" t="s">
        <v>23</v>
      </c>
      <c r="H241" s="42">
        <v>45163.0</v>
      </c>
      <c r="I241" s="41">
        <v>36.0</v>
      </c>
      <c r="J241" s="43">
        <v>96.37</v>
      </c>
      <c r="K241" s="43">
        <v>112.61</v>
      </c>
      <c r="L241" s="43">
        <v>3469.32</v>
      </c>
    </row>
    <row r="242" ht="14.25" customHeight="1">
      <c r="B242" s="41" t="s">
        <v>270</v>
      </c>
      <c r="C242" s="41" t="s">
        <v>52</v>
      </c>
      <c r="D242" s="41" t="s">
        <v>15</v>
      </c>
      <c r="E242" s="41" t="s">
        <v>30</v>
      </c>
      <c r="F242" s="41" t="s">
        <v>27</v>
      </c>
      <c r="G242" s="41" t="s">
        <v>18</v>
      </c>
      <c r="H242" s="42">
        <v>45164.0</v>
      </c>
      <c r="I242" s="41">
        <v>183.0</v>
      </c>
      <c r="J242" s="43">
        <v>151.16</v>
      </c>
      <c r="K242" s="43">
        <v>79.19</v>
      </c>
      <c r="L242" s="43">
        <v>27662.28</v>
      </c>
    </row>
    <row r="243" ht="14.25" customHeight="1">
      <c r="B243" s="41" t="s">
        <v>271</v>
      </c>
      <c r="C243" s="41" t="s">
        <v>14</v>
      </c>
      <c r="D243" s="41" t="s">
        <v>29</v>
      </c>
      <c r="E243" s="41" t="s">
        <v>30</v>
      </c>
      <c r="F243" s="41" t="s">
        <v>27</v>
      </c>
      <c r="G243" s="41" t="s">
        <v>18</v>
      </c>
      <c r="H243" s="42">
        <v>45165.0</v>
      </c>
      <c r="I243" s="41">
        <v>59.0</v>
      </c>
      <c r="J243" s="43">
        <v>397.74</v>
      </c>
      <c r="K243" s="43">
        <v>352.17</v>
      </c>
      <c r="L243" s="43">
        <v>23466.66</v>
      </c>
    </row>
    <row r="244" ht="14.25" customHeight="1">
      <c r="B244" s="41" t="s">
        <v>272</v>
      </c>
      <c r="C244" s="41" t="s">
        <v>20</v>
      </c>
      <c r="D244" s="41" t="s">
        <v>54</v>
      </c>
      <c r="E244" s="41" t="s">
        <v>26</v>
      </c>
      <c r="F244" s="41" t="s">
        <v>17</v>
      </c>
      <c r="G244" s="41" t="s">
        <v>31</v>
      </c>
      <c r="H244" s="42">
        <v>45166.0</v>
      </c>
      <c r="I244" s="41">
        <v>208.0</v>
      </c>
      <c r="J244" s="43">
        <v>96.69</v>
      </c>
      <c r="K244" s="43">
        <v>263.71</v>
      </c>
      <c r="L244" s="43">
        <v>20111.52</v>
      </c>
    </row>
    <row r="245" ht="14.25" customHeight="1">
      <c r="B245" s="41" t="s">
        <v>273</v>
      </c>
      <c r="C245" s="41" t="s">
        <v>52</v>
      </c>
      <c r="D245" s="41" t="s">
        <v>34</v>
      </c>
      <c r="E245" s="41" t="s">
        <v>26</v>
      </c>
      <c r="F245" s="41" t="s">
        <v>17</v>
      </c>
      <c r="G245" s="41" t="s">
        <v>23</v>
      </c>
      <c r="H245" s="42">
        <v>45167.0</v>
      </c>
      <c r="I245" s="41">
        <v>396.0</v>
      </c>
      <c r="J245" s="43">
        <v>459.29</v>
      </c>
      <c r="K245" s="43">
        <v>125.75</v>
      </c>
      <c r="L245" s="43">
        <v>181878.84</v>
      </c>
    </row>
    <row r="246" ht="14.25" customHeight="1">
      <c r="B246" s="41" t="s">
        <v>274</v>
      </c>
      <c r="C246" s="41" t="s">
        <v>14</v>
      </c>
      <c r="D246" s="41" t="s">
        <v>29</v>
      </c>
      <c r="E246" s="41" t="s">
        <v>46</v>
      </c>
      <c r="F246" s="41" t="s">
        <v>27</v>
      </c>
      <c r="G246" s="41" t="s">
        <v>23</v>
      </c>
      <c r="H246" s="42">
        <v>45168.0</v>
      </c>
      <c r="I246" s="41">
        <v>358.0</v>
      </c>
      <c r="J246" s="43">
        <v>215.14</v>
      </c>
      <c r="K246" s="43">
        <v>297.45</v>
      </c>
      <c r="L246" s="43">
        <v>77020.12</v>
      </c>
    </row>
    <row r="247" ht="14.25" customHeight="1">
      <c r="B247" s="41" t="s">
        <v>275</v>
      </c>
      <c r="C247" s="41" t="s">
        <v>20</v>
      </c>
      <c r="D247" s="41" t="s">
        <v>34</v>
      </c>
      <c r="E247" s="41" t="s">
        <v>16</v>
      </c>
      <c r="F247" s="41" t="s">
        <v>17</v>
      </c>
      <c r="G247" s="41" t="s">
        <v>23</v>
      </c>
      <c r="H247" s="42">
        <v>45169.0</v>
      </c>
      <c r="I247" s="41">
        <v>457.0</v>
      </c>
      <c r="J247" s="43">
        <v>48.08</v>
      </c>
      <c r="K247" s="43">
        <v>326.42</v>
      </c>
      <c r="L247" s="43">
        <v>21972.559999999998</v>
      </c>
    </row>
    <row r="248" ht="14.25" customHeight="1">
      <c r="B248" s="41" t="s">
        <v>276</v>
      </c>
      <c r="C248" s="41" t="s">
        <v>25</v>
      </c>
      <c r="D248" s="41" t="s">
        <v>21</v>
      </c>
      <c r="E248" s="41" t="s">
        <v>22</v>
      </c>
      <c r="F248" s="41" t="s">
        <v>17</v>
      </c>
      <c r="G248" s="41" t="s">
        <v>31</v>
      </c>
      <c r="H248" s="42">
        <v>45170.0</v>
      </c>
      <c r="I248" s="41">
        <v>437.0</v>
      </c>
      <c r="J248" s="43">
        <v>408.8</v>
      </c>
      <c r="K248" s="43">
        <v>246.76</v>
      </c>
      <c r="L248" s="43">
        <v>178645.6</v>
      </c>
    </row>
    <row r="249" ht="14.25" customHeight="1">
      <c r="B249" s="41" t="s">
        <v>277</v>
      </c>
      <c r="C249" s="41" t="s">
        <v>14</v>
      </c>
      <c r="D249" s="41" t="s">
        <v>29</v>
      </c>
      <c r="E249" s="41" t="s">
        <v>30</v>
      </c>
      <c r="F249" s="41" t="s">
        <v>17</v>
      </c>
      <c r="G249" s="41" t="s">
        <v>18</v>
      </c>
      <c r="H249" s="42">
        <v>45171.0</v>
      </c>
      <c r="I249" s="41">
        <v>190.0</v>
      </c>
      <c r="J249" s="43">
        <v>189.89</v>
      </c>
      <c r="K249" s="43">
        <v>275.78</v>
      </c>
      <c r="L249" s="43">
        <v>36079.1</v>
      </c>
    </row>
    <row r="250" ht="14.25" customHeight="1">
      <c r="B250" s="41" t="s">
        <v>278</v>
      </c>
      <c r="C250" s="41" t="s">
        <v>52</v>
      </c>
      <c r="D250" s="41" t="s">
        <v>54</v>
      </c>
      <c r="E250" s="41" t="s">
        <v>46</v>
      </c>
      <c r="F250" s="41" t="s">
        <v>27</v>
      </c>
      <c r="G250" s="41" t="s">
        <v>31</v>
      </c>
      <c r="H250" s="42">
        <v>45172.0</v>
      </c>
      <c r="I250" s="41">
        <v>33.0</v>
      </c>
      <c r="J250" s="43">
        <v>265.62</v>
      </c>
      <c r="K250" s="43">
        <v>151.35</v>
      </c>
      <c r="L250" s="43">
        <v>8765.460000000001</v>
      </c>
    </row>
    <row r="251" ht="14.25" customHeight="1">
      <c r="B251" s="41" t="s">
        <v>279</v>
      </c>
      <c r="C251" s="41" t="s">
        <v>25</v>
      </c>
      <c r="D251" s="41" t="s">
        <v>29</v>
      </c>
      <c r="E251" s="41" t="s">
        <v>46</v>
      </c>
      <c r="F251" s="41" t="s">
        <v>17</v>
      </c>
      <c r="G251" s="41" t="s">
        <v>18</v>
      </c>
      <c r="H251" s="42">
        <v>45173.0</v>
      </c>
      <c r="I251" s="41">
        <v>325.0</v>
      </c>
      <c r="J251" s="43">
        <v>60.59</v>
      </c>
      <c r="K251" s="43">
        <v>216.4</v>
      </c>
      <c r="L251" s="43">
        <v>19691.75</v>
      </c>
    </row>
    <row r="252" ht="14.25" customHeight="1">
      <c r="B252" s="41" t="s">
        <v>280</v>
      </c>
      <c r="C252" s="41" t="s">
        <v>25</v>
      </c>
      <c r="D252" s="41" t="s">
        <v>29</v>
      </c>
      <c r="E252" s="41" t="s">
        <v>30</v>
      </c>
      <c r="F252" s="41" t="s">
        <v>27</v>
      </c>
      <c r="G252" s="41" t="s">
        <v>18</v>
      </c>
      <c r="H252" s="42">
        <v>45174.0</v>
      </c>
      <c r="I252" s="41">
        <v>387.0</v>
      </c>
      <c r="J252" s="43">
        <v>6.28</v>
      </c>
      <c r="K252" s="43">
        <v>210.62</v>
      </c>
      <c r="L252" s="43">
        <v>2430.36</v>
      </c>
    </row>
    <row r="253" ht="14.25" customHeight="1">
      <c r="B253" s="41" t="s">
        <v>281</v>
      </c>
      <c r="C253" s="41" t="s">
        <v>25</v>
      </c>
      <c r="D253" s="41" t="s">
        <v>29</v>
      </c>
      <c r="E253" s="41" t="s">
        <v>22</v>
      </c>
      <c r="F253" s="41" t="s">
        <v>17</v>
      </c>
      <c r="G253" s="41" t="s">
        <v>31</v>
      </c>
      <c r="H253" s="42">
        <v>45175.0</v>
      </c>
      <c r="I253" s="41">
        <v>396.0</v>
      </c>
      <c r="J253" s="43">
        <v>320.8</v>
      </c>
      <c r="K253" s="43">
        <v>339.52</v>
      </c>
      <c r="L253" s="43">
        <v>127036.8</v>
      </c>
    </row>
    <row r="254" ht="14.25" customHeight="1">
      <c r="B254" s="41" t="s">
        <v>282</v>
      </c>
      <c r="C254" s="41" t="s">
        <v>14</v>
      </c>
      <c r="D254" s="41" t="s">
        <v>29</v>
      </c>
      <c r="E254" s="41" t="s">
        <v>46</v>
      </c>
      <c r="F254" s="41" t="s">
        <v>17</v>
      </c>
      <c r="G254" s="41" t="s">
        <v>18</v>
      </c>
      <c r="H254" s="42">
        <v>45176.0</v>
      </c>
      <c r="I254" s="41">
        <v>413.0</v>
      </c>
      <c r="J254" s="43">
        <v>260.01</v>
      </c>
      <c r="K254" s="43">
        <v>336.31</v>
      </c>
      <c r="L254" s="43">
        <v>107384.12999999999</v>
      </c>
    </row>
    <row r="255" ht="14.25" customHeight="1">
      <c r="B255" s="41" t="s">
        <v>283</v>
      </c>
      <c r="C255" s="41" t="s">
        <v>52</v>
      </c>
      <c r="D255" s="41" t="s">
        <v>34</v>
      </c>
      <c r="E255" s="41" t="s">
        <v>46</v>
      </c>
      <c r="F255" s="41" t="s">
        <v>17</v>
      </c>
      <c r="G255" s="41" t="s">
        <v>18</v>
      </c>
      <c r="H255" s="42">
        <v>45177.0</v>
      </c>
      <c r="I255" s="41">
        <v>255.9029411764706</v>
      </c>
      <c r="J255" s="43">
        <v>298.8</v>
      </c>
      <c r="K255" s="43">
        <v>333.41</v>
      </c>
      <c r="L255" s="43">
        <v>76463.79882352942</v>
      </c>
    </row>
    <row r="256" ht="14.25" customHeight="1">
      <c r="B256" s="41" t="s">
        <v>284</v>
      </c>
      <c r="C256" s="41" t="s">
        <v>25</v>
      </c>
      <c r="D256" s="41" t="s">
        <v>21</v>
      </c>
      <c r="E256" s="41" t="s">
        <v>16</v>
      </c>
      <c r="F256" s="41" t="s">
        <v>27</v>
      </c>
      <c r="G256" s="41" t="s">
        <v>23</v>
      </c>
      <c r="H256" s="42">
        <v>45178.0</v>
      </c>
      <c r="I256" s="41">
        <v>24.0</v>
      </c>
      <c r="J256" s="43">
        <v>397.9</v>
      </c>
      <c r="K256" s="43">
        <v>6.39</v>
      </c>
      <c r="L256" s="43">
        <v>9549.599999999999</v>
      </c>
    </row>
    <row r="257" ht="14.25" customHeight="1">
      <c r="B257" s="41" t="s">
        <v>285</v>
      </c>
      <c r="C257" s="41" t="s">
        <v>20</v>
      </c>
      <c r="D257" s="41" t="s">
        <v>15</v>
      </c>
      <c r="E257" s="41" t="s">
        <v>39</v>
      </c>
      <c r="F257" s="41" t="s">
        <v>17</v>
      </c>
      <c r="G257" s="41" t="s">
        <v>18</v>
      </c>
      <c r="H257" s="42">
        <v>45179.0</v>
      </c>
      <c r="I257" s="41">
        <v>162.0</v>
      </c>
      <c r="J257" s="43">
        <v>325.07</v>
      </c>
      <c r="K257" s="43">
        <v>300.32</v>
      </c>
      <c r="L257" s="43">
        <v>52661.34</v>
      </c>
    </row>
    <row r="258" ht="14.25" customHeight="1">
      <c r="B258" s="41" t="s">
        <v>286</v>
      </c>
      <c r="C258" s="41" t="s">
        <v>25</v>
      </c>
      <c r="D258" s="41" t="s">
        <v>29</v>
      </c>
      <c r="E258" s="41" t="s">
        <v>46</v>
      </c>
      <c r="F258" s="41" t="s">
        <v>27</v>
      </c>
      <c r="G258" s="41" t="s">
        <v>31</v>
      </c>
      <c r="H258" s="42">
        <v>45180.0</v>
      </c>
      <c r="I258" s="41">
        <v>231.0</v>
      </c>
      <c r="J258" s="43">
        <v>91.51</v>
      </c>
      <c r="K258" s="43">
        <v>303.95</v>
      </c>
      <c r="L258" s="43">
        <v>21138.81</v>
      </c>
    </row>
    <row r="259" ht="14.25" customHeight="1">
      <c r="B259" s="41" t="s">
        <v>287</v>
      </c>
      <c r="C259" s="41" t="s">
        <v>25</v>
      </c>
      <c r="D259" s="41" t="s">
        <v>54</v>
      </c>
      <c r="E259" s="41" t="s">
        <v>22</v>
      </c>
      <c r="F259" s="41" t="s">
        <v>27</v>
      </c>
      <c r="G259" s="41" t="s">
        <v>31</v>
      </c>
      <c r="H259" s="42">
        <v>45181.0</v>
      </c>
      <c r="I259" s="41">
        <v>215.0</v>
      </c>
      <c r="J259" s="43">
        <v>183.58</v>
      </c>
      <c r="K259" s="43">
        <v>271.99</v>
      </c>
      <c r="L259" s="43">
        <v>39469.700000000004</v>
      </c>
    </row>
    <row r="260" ht="14.25" customHeight="1">
      <c r="B260" s="41" t="s">
        <v>288</v>
      </c>
      <c r="C260" s="41" t="s">
        <v>14</v>
      </c>
      <c r="D260" s="41" t="s">
        <v>29</v>
      </c>
      <c r="E260" s="41" t="s">
        <v>30</v>
      </c>
      <c r="F260" s="41" t="s">
        <v>27</v>
      </c>
      <c r="G260" s="41" t="s">
        <v>18</v>
      </c>
      <c r="H260" s="42">
        <v>45182.0</v>
      </c>
      <c r="I260" s="41">
        <v>464.0</v>
      </c>
      <c r="J260" s="43">
        <v>453.42</v>
      </c>
      <c r="K260" s="43">
        <v>302.99</v>
      </c>
      <c r="L260" s="43">
        <v>210386.88</v>
      </c>
    </row>
    <row r="261" ht="14.25" customHeight="1">
      <c r="B261" s="41" t="s">
        <v>289</v>
      </c>
      <c r="C261" s="41" t="s">
        <v>14</v>
      </c>
      <c r="D261" s="41" t="s">
        <v>54</v>
      </c>
      <c r="E261" s="41" t="s">
        <v>26</v>
      </c>
      <c r="F261" s="41" t="s">
        <v>17</v>
      </c>
      <c r="G261" s="41" t="s">
        <v>23</v>
      </c>
      <c r="H261" s="42">
        <v>45183.0</v>
      </c>
      <c r="I261" s="41">
        <v>282.0</v>
      </c>
      <c r="J261" s="43">
        <v>249.64520588235297</v>
      </c>
      <c r="K261" s="43">
        <v>337.1</v>
      </c>
      <c r="L261" s="43">
        <v>70399.94805882353</v>
      </c>
    </row>
    <row r="262" ht="14.25" customHeight="1">
      <c r="B262" s="41" t="s">
        <v>290</v>
      </c>
      <c r="C262" s="41" t="s">
        <v>52</v>
      </c>
      <c r="D262" s="41" t="s">
        <v>34</v>
      </c>
      <c r="E262" s="41" t="s">
        <v>46</v>
      </c>
      <c r="F262" s="41" t="s">
        <v>17</v>
      </c>
      <c r="G262" s="41" t="s">
        <v>23</v>
      </c>
      <c r="H262" s="42">
        <v>45184.0</v>
      </c>
      <c r="I262" s="41">
        <v>391.0</v>
      </c>
      <c r="J262" s="43">
        <v>280.54</v>
      </c>
      <c r="K262" s="43">
        <v>189.19</v>
      </c>
      <c r="L262" s="43">
        <v>109691.14000000001</v>
      </c>
    </row>
    <row r="263" ht="14.25" customHeight="1">
      <c r="B263" s="41" t="s">
        <v>291</v>
      </c>
      <c r="C263" s="41" t="s">
        <v>20</v>
      </c>
      <c r="D263" s="41" t="s">
        <v>54</v>
      </c>
      <c r="E263" s="41" t="s">
        <v>16</v>
      </c>
      <c r="F263" s="41" t="s">
        <v>17</v>
      </c>
      <c r="G263" s="41" t="s">
        <v>18</v>
      </c>
      <c r="H263" s="42">
        <v>45185.0</v>
      </c>
      <c r="I263" s="41">
        <v>245.0</v>
      </c>
      <c r="J263" s="43">
        <v>131.54</v>
      </c>
      <c r="K263" s="43">
        <v>201.82</v>
      </c>
      <c r="L263" s="43">
        <v>32227.3</v>
      </c>
    </row>
    <row r="264" ht="14.25" customHeight="1">
      <c r="B264" s="41" t="s">
        <v>292</v>
      </c>
      <c r="C264" s="41" t="s">
        <v>14</v>
      </c>
      <c r="D264" s="41" t="s">
        <v>15</v>
      </c>
      <c r="E264" s="41" t="s">
        <v>30</v>
      </c>
      <c r="F264" s="41" t="s">
        <v>17</v>
      </c>
      <c r="G264" s="41" t="s">
        <v>18</v>
      </c>
      <c r="H264" s="42">
        <v>45186.0</v>
      </c>
      <c r="I264" s="41">
        <v>349.0</v>
      </c>
      <c r="J264" s="43">
        <v>154.52</v>
      </c>
      <c r="K264" s="43">
        <v>51.64</v>
      </c>
      <c r="L264" s="43">
        <v>53927.48</v>
      </c>
    </row>
    <row r="265" ht="14.25" customHeight="1">
      <c r="B265" s="41" t="s">
        <v>293</v>
      </c>
      <c r="C265" s="41" t="s">
        <v>25</v>
      </c>
      <c r="D265" s="41" t="s">
        <v>21</v>
      </c>
      <c r="E265" s="41" t="s">
        <v>22</v>
      </c>
      <c r="F265" s="41" t="s">
        <v>27</v>
      </c>
      <c r="G265" s="41" t="s">
        <v>31</v>
      </c>
      <c r="H265" s="42">
        <v>45187.0</v>
      </c>
      <c r="I265" s="41">
        <v>237.0</v>
      </c>
      <c r="J265" s="43">
        <v>249.64520588235297</v>
      </c>
      <c r="K265" s="43">
        <v>155.38</v>
      </c>
      <c r="L265" s="43">
        <v>59165.91379411765</v>
      </c>
    </row>
    <row r="266" ht="14.25" customHeight="1">
      <c r="B266" s="41" t="s">
        <v>294</v>
      </c>
      <c r="C266" s="41" t="s">
        <v>52</v>
      </c>
      <c r="D266" s="41" t="s">
        <v>54</v>
      </c>
      <c r="E266" s="41" t="s">
        <v>30</v>
      </c>
      <c r="F266" s="41" t="s">
        <v>27</v>
      </c>
      <c r="G266" s="41" t="s">
        <v>18</v>
      </c>
      <c r="H266" s="42">
        <v>45188.0</v>
      </c>
      <c r="I266" s="41">
        <v>18.0</v>
      </c>
      <c r="J266" s="43">
        <v>426.33</v>
      </c>
      <c r="K266" s="43">
        <v>258.06</v>
      </c>
      <c r="L266" s="43">
        <v>7673.94</v>
      </c>
    </row>
    <row r="267" ht="14.25" customHeight="1">
      <c r="B267" s="41" t="s">
        <v>295</v>
      </c>
      <c r="C267" s="41" t="s">
        <v>25</v>
      </c>
      <c r="D267" s="41" t="s">
        <v>54</v>
      </c>
      <c r="E267" s="41" t="s">
        <v>46</v>
      </c>
      <c r="F267" s="41" t="s">
        <v>27</v>
      </c>
      <c r="G267" s="41" t="s">
        <v>23</v>
      </c>
      <c r="H267" s="42">
        <v>45189.0</v>
      </c>
      <c r="I267" s="41">
        <v>175.0</v>
      </c>
      <c r="J267" s="43">
        <v>337.36</v>
      </c>
      <c r="K267" s="43">
        <v>312.6</v>
      </c>
      <c r="L267" s="43">
        <v>59038.0</v>
      </c>
    </row>
    <row r="268" ht="14.25" customHeight="1">
      <c r="B268" s="41" t="s">
        <v>296</v>
      </c>
      <c r="C268" s="41" t="s">
        <v>25</v>
      </c>
      <c r="D268" s="41" t="s">
        <v>21</v>
      </c>
      <c r="E268" s="41" t="s">
        <v>39</v>
      </c>
      <c r="F268" s="41" t="s">
        <v>17</v>
      </c>
      <c r="G268" s="41" t="s">
        <v>18</v>
      </c>
      <c r="H268" s="42">
        <v>45190.0</v>
      </c>
      <c r="I268" s="41">
        <v>441.0</v>
      </c>
      <c r="J268" s="43">
        <v>405.72</v>
      </c>
      <c r="K268" s="43">
        <v>88.45</v>
      </c>
      <c r="L268" s="43">
        <v>178922.52000000002</v>
      </c>
    </row>
    <row r="269" ht="14.25" customHeight="1">
      <c r="B269" s="41" t="s">
        <v>297</v>
      </c>
      <c r="C269" s="41" t="s">
        <v>14</v>
      </c>
      <c r="D269" s="41" t="s">
        <v>15</v>
      </c>
      <c r="E269" s="41" t="s">
        <v>26</v>
      </c>
      <c r="F269" s="41" t="s">
        <v>27</v>
      </c>
      <c r="G269" s="41" t="s">
        <v>31</v>
      </c>
      <c r="H269" s="42">
        <v>45191.0</v>
      </c>
      <c r="I269" s="41">
        <v>453.0</v>
      </c>
      <c r="J269" s="43">
        <v>384.49</v>
      </c>
      <c r="K269" s="43">
        <v>56.85</v>
      </c>
      <c r="L269" s="43">
        <v>174173.97</v>
      </c>
    </row>
    <row r="270" ht="14.25" customHeight="1">
      <c r="B270" s="41" t="s">
        <v>298</v>
      </c>
      <c r="C270" s="41" t="s">
        <v>52</v>
      </c>
      <c r="D270" s="41" t="s">
        <v>29</v>
      </c>
      <c r="E270" s="41" t="s">
        <v>30</v>
      </c>
      <c r="F270" s="41" t="s">
        <v>17</v>
      </c>
      <c r="G270" s="41" t="s">
        <v>31</v>
      </c>
      <c r="H270" s="42">
        <v>45192.0</v>
      </c>
      <c r="I270" s="41">
        <v>328.0</v>
      </c>
      <c r="J270" s="43">
        <v>79.1</v>
      </c>
      <c r="K270" s="43">
        <v>265.89</v>
      </c>
      <c r="L270" s="43">
        <v>25944.8</v>
      </c>
    </row>
    <row r="271" ht="14.25" customHeight="1">
      <c r="B271" s="41" t="s">
        <v>299</v>
      </c>
      <c r="C271" s="41" t="s">
        <v>20</v>
      </c>
      <c r="D271" s="41" t="s">
        <v>54</v>
      </c>
      <c r="E271" s="41" t="s">
        <v>46</v>
      </c>
      <c r="F271" s="41" t="s">
        <v>27</v>
      </c>
      <c r="G271" s="41" t="s">
        <v>31</v>
      </c>
      <c r="H271" s="42">
        <v>45193.0</v>
      </c>
      <c r="I271" s="41">
        <v>223.0</v>
      </c>
      <c r="J271" s="43">
        <v>214.85</v>
      </c>
      <c r="K271" s="43">
        <v>2.75</v>
      </c>
      <c r="L271" s="43">
        <v>47911.549999999996</v>
      </c>
    </row>
    <row r="272" ht="14.25" customHeight="1">
      <c r="B272" s="41" t="s">
        <v>300</v>
      </c>
      <c r="C272" s="41" t="s">
        <v>20</v>
      </c>
      <c r="D272" s="41" t="s">
        <v>21</v>
      </c>
      <c r="E272" s="41" t="s">
        <v>16</v>
      </c>
      <c r="F272" s="41" t="s">
        <v>17</v>
      </c>
      <c r="G272" s="41" t="s">
        <v>31</v>
      </c>
      <c r="H272" s="42">
        <v>45194.0</v>
      </c>
      <c r="I272" s="41">
        <v>126.0</v>
      </c>
      <c r="J272" s="43">
        <v>80.73</v>
      </c>
      <c r="K272" s="43">
        <v>72.99</v>
      </c>
      <c r="L272" s="43">
        <v>10171.980000000001</v>
      </c>
    </row>
    <row r="273" ht="14.25" customHeight="1">
      <c r="B273" s="41" t="s">
        <v>301</v>
      </c>
      <c r="C273" s="41" t="s">
        <v>14</v>
      </c>
      <c r="D273" s="41" t="s">
        <v>34</v>
      </c>
      <c r="E273" s="41" t="s">
        <v>22</v>
      </c>
      <c r="F273" s="41" t="s">
        <v>17</v>
      </c>
      <c r="G273" s="41" t="s">
        <v>31</v>
      </c>
      <c r="H273" s="42">
        <v>45195.0</v>
      </c>
      <c r="I273" s="41">
        <v>395.0</v>
      </c>
      <c r="J273" s="43">
        <v>121.44</v>
      </c>
      <c r="K273" s="43">
        <v>13.57</v>
      </c>
      <c r="L273" s="43">
        <v>47968.799999999996</v>
      </c>
    </row>
    <row r="274" ht="14.25" customHeight="1">
      <c r="B274" s="41" t="s">
        <v>302</v>
      </c>
      <c r="C274" s="41" t="s">
        <v>14</v>
      </c>
      <c r="D274" s="41" t="s">
        <v>21</v>
      </c>
      <c r="E274" s="41" t="s">
        <v>30</v>
      </c>
      <c r="F274" s="41" t="s">
        <v>27</v>
      </c>
      <c r="G274" s="41" t="s">
        <v>18</v>
      </c>
      <c r="H274" s="42">
        <v>45196.0</v>
      </c>
      <c r="I274" s="41">
        <v>353.0</v>
      </c>
      <c r="J274" s="43">
        <v>435.28</v>
      </c>
      <c r="K274" s="43">
        <v>68.42</v>
      </c>
      <c r="L274" s="43">
        <v>153653.84</v>
      </c>
    </row>
    <row r="275" ht="14.25" customHeight="1">
      <c r="B275" s="41" t="s">
        <v>303</v>
      </c>
      <c r="C275" s="41" t="s">
        <v>52</v>
      </c>
      <c r="D275" s="41" t="s">
        <v>34</v>
      </c>
      <c r="E275" s="41" t="s">
        <v>30</v>
      </c>
      <c r="F275" s="41" t="s">
        <v>27</v>
      </c>
      <c r="G275" s="41" t="s">
        <v>18</v>
      </c>
      <c r="H275" s="42">
        <v>45197.0</v>
      </c>
      <c r="I275" s="41">
        <v>81.0</v>
      </c>
      <c r="J275" s="43">
        <v>239.08</v>
      </c>
      <c r="K275" s="43">
        <v>74.17</v>
      </c>
      <c r="L275" s="43">
        <v>19365.48</v>
      </c>
    </row>
    <row r="276" ht="14.25" customHeight="1">
      <c r="B276" s="41" t="s">
        <v>304</v>
      </c>
      <c r="C276" s="41" t="s">
        <v>20</v>
      </c>
      <c r="D276" s="41" t="s">
        <v>15</v>
      </c>
      <c r="E276" s="41" t="s">
        <v>26</v>
      </c>
      <c r="F276" s="41" t="s">
        <v>27</v>
      </c>
      <c r="G276" s="41" t="s">
        <v>18</v>
      </c>
      <c r="H276" s="42">
        <v>45198.0</v>
      </c>
      <c r="I276" s="41">
        <v>404.0</v>
      </c>
      <c r="J276" s="43">
        <v>270.0</v>
      </c>
      <c r="K276" s="43">
        <v>156.29</v>
      </c>
      <c r="L276" s="43">
        <v>109080.0</v>
      </c>
    </row>
    <row r="277" ht="14.25" customHeight="1">
      <c r="B277" s="41" t="s">
        <v>305</v>
      </c>
      <c r="C277" s="41" t="s">
        <v>20</v>
      </c>
      <c r="D277" s="41" t="s">
        <v>29</v>
      </c>
      <c r="E277" s="41" t="s">
        <v>26</v>
      </c>
      <c r="F277" s="41" t="s">
        <v>27</v>
      </c>
      <c r="G277" s="41" t="s">
        <v>18</v>
      </c>
      <c r="H277" s="42">
        <v>45199.0</v>
      </c>
      <c r="I277" s="41">
        <v>73.0</v>
      </c>
      <c r="J277" s="43">
        <v>93.33</v>
      </c>
      <c r="K277" s="43">
        <v>162.13</v>
      </c>
      <c r="L277" s="43">
        <v>6813.09</v>
      </c>
    </row>
    <row r="278" ht="14.25" customHeight="1">
      <c r="B278" s="41" t="s">
        <v>306</v>
      </c>
      <c r="C278" s="41" t="s">
        <v>20</v>
      </c>
      <c r="D278" s="41" t="s">
        <v>21</v>
      </c>
      <c r="E278" s="41" t="s">
        <v>16</v>
      </c>
      <c r="F278" s="41" t="s">
        <v>17</v>
      </c>
      <c r="G278" s="41" t="s">
        <v>31</v>
      </c>
      <c r="H278" s="42">
        <v>45200.0</v>
      </c>
      <c r="I278" s="41">
        <v>214.0</v>
      </c>
      <c r="J278" s="43">
        <v>159.57</v>
      </c>
      <c r="K278" s="43">
        <v>349.96</v>
      </c>
      <c r="L278" s="43">
        <v>34147.979999999996</v>
      </c>
    </row>
    <row r="279" ht="14.25" customHeight="1">
      <c r="B279" s="41" t="s">
        <v>307</v>
      </c>
      <c r="C279" s="41" t="s">
        <v>25</v>
      </c>
      <c r="D279" s="41" t="s">
        <v>54</v>
      </c>
      <c r="E279" s="41" t="s">
        <v>16</v>
      </c>
      <c r="F279" s="41" t="s">
        <v>27</v>
      </c>
      <c r="G279" s="41" t="s">
        <v>23</v>
      </c>
      <c r="H279" s="42">
        <v>45201.0</v>
      </c>
      <c r="I279" s="41">
        <v>218.0</v>
      </c>
      <c r="J279" s="43">
        <v>118.97</v>
      </c>
      <c r="K279" s="43">
        <v>205.02</v>
      </c>
      <c r="L279" s="43">
        <v>25935.46</v>
      </c>
    </row>
    <row r="280" ht="14.25" customHeight="1">
      <c r="B280" s="41" t="s">
        <v>308</v>
      </c>
      <c r="C280" s="41" t="s">
        <v>20</v>
      </c>
      <c r="D280" s="41" t="s">
        <v>15</v>
      </c>
      <c r="E280" s="41" t="s">
        <v>46</v>
      </c>
      <c r="F280" s="41" t="s">
        <v>27</v>
      </c>
      <c r="G280" s="41" t="s">
        <v>18</v>
      </c>
      <c r="H280" s="42">
        <v>45202.0</v>
      </c>
      <c r="I280" s="41">
        <v>81.0</v>
      </c>
      <c r="J280" s="43">
        <v>107.06</v>
      </c>
      <c r="K280" s="43">
        <v>289.92</v>
      </c>
      <c r="L280" s="43">
        <v>8671.86</v>
      </c>
    </row>
    <row r="281" ht="14.25" customHeight="1">
      <c r="B281" s="41" t="s">
        <v>309</v>
      </c>
      <c r="C281" s="41" t="s">
        <v>25</v>
      </c>
      <c r="D281" s="41" t="s">
        <v>21</v>
      </c>
      <c r="E281" s="41" t="s">
        <v>46</v>
      </c>
      <c r="F281" s="41" t="s">
        <v>27</v>
      </c>
      <c r="G281" s="41" t="s">
        <v>23</v>
      </c>
      <c r="H281" s="42">
        <v>45203.0</v>
      </c>
      <c r="I281" s="41">
        <v>286.0</v>
      </c>
      <c r="J281" s="43">
        <v>320.79</v>
      </c>
      <c r="K281" s="43">
        <v>43.45</v>
      </c>
      <c r="L281" s="43">
        <v>91745.94</v>
      </c>
    </row>
    <row r="282" ht="14.25" customHeight="1">
      <c r="B282" s="41" t="s">
        <v>310</v>
      </c>
      <c r="C282" s="41" t="s">
        <v>52</v>
      </c>
      <c r="D282" s="41" t="s">
        <v>54</v>
      </c>
      <c r="E282" s="41" t="s">
        <v>16</v>
      </c>
      <c r="F282" s="41" t="s">
        <v>17</v>
      </c>
      <c r="G282" s="41" t="s">
        <v>18</v>
      </c>
      <c r="H282" s="42">
        <v>45204.0</v>
      </c>
      <c r="I282" s="41">
        <v>283.0</v>
      </c>
      <c r="J282" s="43">
        <v>132.16</v>
      </c>
      <c r="K282" s="43">
        <v>91.72</v>
      </c>
      <c r="L282" s="43">
        <v>37401.28</v>
      </c>
    </row>
    <row r="283" ht="14.25" customHeight="1">
      <c r="B283" s="41" t="s">
        <v>311</v>
      </c>
      <c r="C283" s="41" t="s">
        <v>25</v>
      </c>
      <c r="D283" s="41" t="s">
        <v>21</v>
      </c>
      <c r="E283" s="41" t="s">
        <v>16</v>
      </c>
      <c r="F283" s="41" t="s">
        <v>17</v>
      </c>
      <c r="G283" s="41" t="s">
        <v>18</v>
      </c>
      <c r="H283" s="42">
        <v>45205.0</v>
      </c>
      <c r="I283" s="41">
        <v>487.0</v>
      </c>
      <c r="J283" s="43">
        <v>317.85</v>
      </c>
      <c r="K283" s="43">
        <v>281.77</v>
      </c>
      <c r="L283" s="43">
        <v>154792.95</v>
      </c>
    </row>
    <row r="284" ht="14.25" customHeight="1">
      <c r="B284" s="41" t="s">
        <v>312</v>
      </c>
      <c r="C284" s="41" t="s">
        <v>52</v>
      </c>
      <c r="D284" s="41" t="s">
        <v>34</v>
      </c>
      <c r="E284" s="41" t="s">
        <v>22</v>
      </c>
      <c r="F284" s="41" t="s">
        <v>27</v>
      </c>
      <c r="G284" s="41" t="s">
        <v>23</v>
      </c>
      <c r="H284" s="42">
        <v>45206.0</v>
      </c>
      <c r="I284" s="41">
        <v>329.0</v>
      </c>
      <c r="J284" s="43">
        <v>33.94</v>
      </c>
      <c r="K284" s="43">
        <v>23.02</v>
      </c>
      <c r="L284" s="43">
        <v>11166.259999999998</v>
      </c>
    </row>
    <row r="285" ht="14.25" customHeight="1">
      <c r="B285" s="41" t="s">
        <v>313</v>
      </c>
      <c r="C285" s="41" t="s">
        <v>20</v>
      </c>
      <c r="D285" s="41" t="s">
        <v>21</v>
      </c>
      <c r="E285" s="41" t="s">
        <v>26</v>
      </c>
      <c r="F285" s="41" t="s">
        <v>17</v>
      </c>
      <c r="G285" s="41" t="s">
        <v>31</v>
      </c>
      <c r="H285" s="42">
        <v>45207.0</v>
      </c>
      <c r="I285" s="41">
        <v>347.0</v>
      </c>
      <c r="J285" s="43">
        <v>75.18</v>
      </c>
      <c r="K285" s="43">
        <v>195.67</v>
      </c>
      <c r="L285" s="43">
        <v>26087.460000000003</v>
      </c>
    </row>
    <row r="286" ht="14.25" customHeight="1">
      <c r="B286" s="41" t="s">
        <v>314</v>
      </c>
      <c r="C286" s="41" t="s">
        <v>20</v>
      </c>
      <c r="D286" s="41" t="s">
        <v>21</v>
      </c>
      <c r="E286" s="41" t="s">
        <v>46</v>
      </c>
      <c r="F286" s="41" t="s">
        <v>27</v>
      </c>
      <c r="G286" s="41" t="s">
        <v>18</v>
      </c>
      <c r="H286" s="42">
        <v>45208.0</v>
      </c>
      <c r="I286" s="41">
        <v>375.0</v>
      </c>
      <c r="J286" s="43">
        <v>140.9</v>
      </c>
      <c r="K286" s="43">
        <v>240.55</v>
      </c>
      <c r="L286" s="43">
        <v>52837.5</v>
      </c>
    </row>
    <row r="287" ht="14.25" customHeight="1">
      <c r="B287" s="41" t="s">
        <v>315</v>
      </c>
      <c r="C287" s="41" t="s">
        <v>52</v>
      </c>
      <c r="D287" s="41" t="s">
        <v>21</v>
      </c>
      <c r="E287" s="41" t="s">
        <v>26</v>
      </c>
      <c r="F287" s="41" t="s">
        <v>17</v>
      </c>
      <c r="G287" s="41" t="s">
        <v>18</v>
      </c>
      <c r="H287" s="42">
        <v>45209.0</v>
      </c>
      <c r="I287" s="41">
        <v>104.0</v>
      </c>
      <c r="J287" s="43">
        <v>300.54</v>
      </c>
      <c r="K287" s="43">
        <v>241.65</v>
      </c>
      <c r="L287" s="43">
        <v>31256.160000000003</v>
      </c>
    </row>
    <row r="288" ht="14.25" customHeight="1">
      <c r="B288" s="41" t="s">
        <v>316</v>
      </c>
      <c r="C288" s="41" t="s">
        <v>14</v>
      </c>
      <c r="D288" s="41" t="s">
        <v>15</v>
      </c>
      <c r="E288" s="41" t="s">
        <v>39</v>
      </c>
      <c r="F288" s="41" t="s">
        <v>17</v>
      </c>
      <c r="G288" s="41" t="s">
        <v>18</v>
      </c>
      <c r="H288" s="42">
        <v>45210.0</v>
      </c>
      <c r="I288" s="41">
        <v>175.0</v>
      </c>
      <c r="J288" s="43">
        <v>339.54</v>
      </c>
      <c r="K288" s="43">
        <v>11.13</v>
      </c>
      <c r="L288" s="43">
        <v>59419.5</v>
      </c>
    </row>
    <row r="289" ht="14.25" customHeight="1">
      <c r="B289" s="41" t="s">
        <v>317</v>
      </c>
      <c r="C289" s="41" t="s">
        <v>52</v>
      </c>
      <c r="D289" s="41" t="s">
        <v>21</v>
      </c>
      <c r="E289" s="41" t="s">
        <v>16</v>
      </c>
      <c r="F289" s="41" t="s">
        <v>17</v>
      </c>
      <c r="G289" s="41" t="s">
        <v>23</v>
      </c>
      <c r="H289" s="42">
        <v>45211.0</v>
      </c>
      <c r="I289" s="41">
        <v>41.0</v>
      </c>
      <c r="J289" s="43">
        <v>224.14</v>
      </c>
      <c r="K289" s="43">
        <v>130.2</v>
      </c>
      <c r="L289" s="43">
        <v>9189.74</v>
      </c>
    </row>
    <row r="290" ht="14.25" customHeight="1">
      <c r="B290" s="41" t="s">
        <v>318</v>
      </c>
      <c r="C290" s="41" t="s">
        <v>14</v>
      </c>
      <c r="D290" s="41" t="s">
        <v>54</v>
      </c>
      <c r="E290" s="41" t="s">
        <v>22</v>
      </c>
      <c r="F290" s="41" t="s">
        <v>17</v>
      </c>
      <c r="G290" s="41" t="s">
        <v>31</v>
      </c>
      <c r="H290" s="42">
        <v>45212.0</v>
      </c>
      <c r="I290" s="41">
        <v>20.0</v>
      </c>
      <c r="J290" s="43">
        <v>225.67</v>
      </c>
      <c r="K290" s="43">
        <v>255.32</v>
      </c>
      <c r="L290" s="43">
        <v>4513.4</v>
      </c>
    </row>
    <row r="291" ht="14.25" customHeight="1">
      <c r="B291" s="41" t="s">
        <v>319</v>
      </c>
      <c r="C291" s="41" t="s">
        <v>25</v>
      </c>
      <c r="D291" s="41" t="s">
        <v>34</v>
      </c>
      <c r="E291" s="41" t="s">
        <v>30</v>
      </c>
      <c r="F291" s="41" t="s">
        <v>27</v>
      </c>
      <c r="G291" s="41" t="s">
        <v>23</v>
      </c>
      <c r="H291" s="42">
        <v>45213.0</v>
      </c>
      <c r="I291" s="41">
        <v>310.0</v>
      </c>
      <c r="J291" s="43">
        <v>363.64</v>
      </c>
      <c r="K291" s="43">
        <v>61.3</v>
      </c>
      <c r="L291" s="43">
        <v>112728.4</v>
      </c>
    </row>
    <row r="292" ht="14.25" customHeight="1">
      <c r="B292" s="41" t="s">
        <v>320</v>
      </c>
      <c r="C292" s="41" t="s">
        <v>25</v>
      </c>
      <c r="D292" s="41" t="s">
        <v>34</v>
      </c>
      <c r="E292" s="41" t="s">
        <v>22</v>
      </c>
      <c r="F292" s="41" t="s">
        <v>27</v>
      </c>
      <c r="G292" s="41" t="s">
        <v>23</v>
      </c>
      <c r="H292" s="42">
        <v>45214.0</v>
      </c>
      <c r="I292" s="41">
        <v>226.0</v>
      </c>
      <c r="J292" s="43">
        <v>249.64520588235297</v>
      </c>
      <c r="K292" s="43">
        <v>278.78</v>
      </c>
      <c r="L292" s="43">
        <v>56419.81652941177</v>
      </c>
    </row>
    <row r="293" ht="14.25" customHeight="1">
      <c r="B293" s="41" t="s">
        <v>321</v>
      </c>
      <c r="C293" s="41" t="s">
        <v>25</v>
      </c>
      <c r="D293" s="41" t="s">
        <v>21</v>
      </c>
      <c r="E293" s="41" t="s">
        <v>22</v>
      </c>
      <c r="F293" s="41" t="s">
        <v>27</v>
      </c>
      <c r="G293" s="41" t="s">
        <v>31</v>
      </c>
      <c r="H293" s="42">
        <v>45215.0</v>
      </c>
      <c r="I293" s="41">
        <v>255.9029411764706</v>
      </c>
      <c r="J293" s="43">
        <v>173.84</v>
      </c>
      <c r="K293" s="43">
        <v>298.88</v>
      </c>
      <c r="L293" s="43">
        <v>44486.16729411765</v>
      </c>
    </row>
    <row r="294" ht="14.25" customHeight="1">
      <c r="B294" s="41" t="s">
        <v>322</v>
      </c>
      <c r="C294" s="41" t="s">
        <v>20</v>
      </c>
      <c r="D294" s="41" t="s">
        <v>15</v>
      </c>
      <c r="E294" s="41" t="s">
        <v>26</v>
      </c>
      <c r="F294" s="41" t="s">
        <v>17</v>
      </c>
      <c r="G294" s="41" t="s">
        <v>23</v>
      </c>
      <c r="H294" s="42">
        <v>45216.0</v>
      </c>
      <c r="I294" s="41">
        <v>111.0</v>
      </c>
      <c r="J294" s="43">
        <v>410.26</v>
      </c>
      <c r="K294" s="43">
        <v>392.82</v>
      </c>
      <c r="L294" s="43">
        <v>45538.86</v>
      </c>
    </row>
    <row r="295" ht="14.25" customHeight="1">
      <c r="B295" s="41" t="s">
        <v>323</v>
      </c>
      <c r="C295" s="41" t="s">
        <v>25</v>
      </c>
      <c r="D295" s="41" t="s">
        <v>15</v>
      </c>
      <c r="E295" s="41" t="s">
        <v>22</v>
      </c>
      <c r="F295" s="41" t="s">
        <v>27</v>
      </c>
      <c r="G295" s="41" t="s">
        <v>31</v>
      </c>
      <c r="H295" s="42">
        <v>45217.0</v>
      </c>
      <c r="I295" s="41">
        <v>434.0</v>
      </c>
      <c r="J295" s="43">
        <v>303.59</v>
      </c>
      <c r="K295" s="43">
        <v>85.52</v>
      </c>
      <c r="L295" s="43">
        <v>131758.06</v>
      </c>
    </row>
    <row r="296" ht="14.25" customHeight="1">
      <c r="B296" s="41" t="s">
        <v>324</v>
      </c>
      <c r="C296" s="41" t="s">
        <v>14</v>
      </c>
      <c r="D296" s="41" t="s">
        <v>54</v>
      </c>
      <c r="E296" s="41" t="s">
        <v>46</v>
      </c>
      <c r="F296" s="41" t="s">
        <v>27</v>
      </c>
      <c r="G296" s="41" t="s">
        <v>18</v>
      </c>
      <c r="H296" s="42">
        <v>45218.0</v>
      </c>
      <c r="I296" s="41">
        <v>401.0</v>
      </c>
      <c r="J296" s="43">
        <v>171.93</v>
      </c>
      <c r="K296" s="43">
        <v>330.4</v>
      </c>
      <c r="L296" s="43">
        <v>68943.93000000001</v>
      </c>
    </row>
    <row r="297" ht="14.25" customHeight="1">
      <c r="B297" s="41" t="s">
        <v>325</v>
      </c>
      <c r="C297" s="41" t="s">
        <v>25</v>
      </c>
      <c r="D297" s="41" t="s">
        <v>21</v>
      </c>
      <c r="E297" s="41" t="s">
        <v>26</v>
      </c>
      <c r="F297" s="41" t="s">
        <v>27</v>
      </c>
      <c r="G297" s="41" t="s">
        <v>31</v>
      </c>
      <c r="H297" s="42">
        <v>45219.0</v>
      </c>
      <c r="I297" s="41">
        <v>276.0</v>
      </c>
      <c r="J297" s="43">
        <v>453.23</v>
      </c>
      <c r="K297" s="43">
        <v>209.08</v>
      </c>
      <c r="L297" s="43">
        <v>125091.48000000001</v>
      </c>
    </row>
    <row r="298" ht="14.25" customHeight="1">
      <c r="B298" s="41" t="s">
        <v>326</v>
      </c>
      <c r="C298" s="41" t="s">
        <v>52</v>
      </c>
      <c r="D298" s="41" t="s">
        <v>34</v>
      </c>
      <c r="E298" s="41" t="s">
        <v>46</v>
      </c>
      <c r="F298" s="41" t="s">
        <v>17</v>
      </c>
      <c r="G298" s="41" t="s">
        <v>18</v>
      </c>
      <c r="H298" s="42">
        <v>45220.0</v>
      </c>
      <c r="I298" s="41">
        <v>255.9029411764706</v>
      </c>
      <c r="J298" s="43">
        <v>387.45</v>
      </c>
      <c r="K298" s="43">
        <v>150.64</v>
      </c>
      <c r="L298" s="43">
        <v>99149.59455882353</v>
      </c>
    </row>
    <row r="299" ht="14.25" customHeight="1">
      <c r="B299" s="41" t="s">
        <v>327</v>
      </c>
      <c r="C299" s="41" t="s">
        <v>52</v>
      </c>
      <c r="D299" s="41" t="s">
        <v>15</v>
      </c>
      <c r="E299" s="41" t="s">
        <v>30</v>
      </c>
      <c r="F299" s="41" t="s">
        <v>17</v>
      </c>
      <c r="G299" s="41" t="s">
        <v>23</v>
      </c>
      <c r="H299" s="42">
        <v>45221.0</v>
      </c>
      <c r="I299" s="41">
        <v>188.0</v>
      </c>
      <c r="J299" s="43">
        <v>136.12</v>
      </c>
      <c r="K299" s="43">
        <v>50.71</v>
      </c>
      <c r="L299" s="43">
        <v>25590.56</v>
      </c>
    </row>
    <row r="300" ht="14.25" customHeight="1">
      <c r="B300" s="41" t="s">
        <v>328</v>
      </c>
      <c r="C300" s="41" t="s">
        <v>20</v>
      </c>
      <c r="D300" s="41" t="s">
        <v>21</v>
      </c>
      <c r="E300" s="41" t="s">
        <v>26</v>
      </c>
      <c r="F300" s="41" t="s">
        <v>17</v>
      </c>
      <c r="G300" s="41" t="s">
        <v>23</v>
      </c>
      <c r="H300" s="42">
        <v>45222.0</v>
      </c>
      <c r="I300" s="41">
        <v>97.0</v>
      </c>
      <c r="J300" s="43">
        <v>324.42</v>
      </c>
      <c r="K300" s="43">
        <v>294.73</v>
      </c>
      <c r="L300" s="43">
        <v>31468.74</v>
      </c>
    </row>
    <row r="301" ht="14.25" customHeight="1">
      <c r="B301" s="41" t="s">
        <v>329</v>
      </c>
      <c r="C301" s="41" t="s">
        <v>52</v>
      </c>
      <c r="D301" s="41" t="s">
        <v>15</v>
      </c>
      <c r="E301" s="41" t="s">
        <v>30</v>
      </c>
      <c r="F301" s="41" t="s">
        <v>27</v>
      </c>
      <c r="G301" s="41" t="s">
        <v>18</v>
      </c>
      <c r="H301" s="42">
        <v>45223.0</v>
      </c>
      <c r="I301" s="41">
        <v>50.0</v>
      </c>
      <c r="J301" s="43">
        <v>299.9</v>
      </c>
      <c r="K301" s="43">
        <v>95.87</v>
      </c>
      <c r="L301" s="43">
        <v>14994.999999999998</v>
      </c>
    </row>
    <row r="302" ht="14.25" customHeight="1">
      <c r="B302" s="41" t="s">
        <v>330</v>
      </c>
      <c r="C302" s="41" t="s">
        <v>14</v>
      </c>
      <c r="D302" s="41" t="s">
        <v>15</v>
      </c>
      <c r="E302" s="41" t="s">
        <v>26</v>
      </c>
      <c r="F302" s="41" t="s">
        <v>27</v>
      </c>
      <c r="G302" s="41" t="s">
        <v>23</v>
      </c>
      <c r="H302" s="42">
        <v>45224.0</v>
      </c>
      <c r="I302" s="41">
        <v>410.0</v>
      </c>
      <c r="J302" s="43">
        <v>203.59</v>
      </c>
      <c r="K302" s="43">
        <v>149.83</v>
      </c>
      <c r="L302" s="43">
        <v>83471.9</v>
      </c>
    </row>
    <row r="303" ht="14.25" customHeight="1">
      <c r="B303" s="41" t="s">
        <v>331</v>
      </c>
      <c r="C303" s="41" t="s">
        <v>25</v>
      </c>
      <c r="D303" s="41" t="s">
        <v>34</v>
      </c>
      <c r="E303" s="41" t="s">
        <v>16</v>
      </c>
      <c r="F303" s="41" t="s">
        <v>27</v>
      </c>
      <c r="G303" s="41" t="s">
        <v>31</v>
      </c>
      <c r="H303" s="42">
        <v>45225.0</v>
      </c>
      <c r="I303" s="41">
        <v>85.0</v>
      </c>
      <c r="J303" s="43">
        <v>186.64</v>
      </c>
      <c r="K303" s="43">
        <v>26.89</v>
      </c>
      <c r="L303" s="43">
        <v>15864.4</v>
      </c>
    </row>
    <row r="304" ht="14.25" customHeight="1">
      <c r="B304" s="41" t="s">
        <v>332</v>
      </c>
      <c r="C304" s="41" t="s">
        <v>20</v>
      </c>
      <c r="D304" s="41" t="s">
        <v>29</v>
      </c>
      <c r="E304" s="41" t="s">
        <v>22</v>
      </c>
      <c r="F304" s="41" t="s">
        <v>17</v>
      </c>
      <c r="G304" s="41" t="s">
        <v>18</v>
      </c>
      <c r="H304" s="42">
        <v>45226.0</v>
      </c>
      <c r="I304" s="41">
        <v>386.0</v>
      </c>
      <c r="J304" s="43">
        <v>175.06</v>
      </c>
      <c r="K304" s="43">
        <v>320.94</v>
      </c>
      <c r="L304" s="43">
        <v>67573.16</v>
      </c>
    </row>
    <row r="305" ht="14.25" customHeight="1">
      <c r="B305" s="41" t="s">
        <v>333</v>
      </c>
      <c r="C305" s="41" t="s">
        <v>25</v>
      </c>
      <c r="D305" s="41" t="s">
        <v>54</v>
      </c>
      <c r="E305" s="41" t="s">
        <v>16</v>
      </c>
      <c r="F305" s="41" t="s">
        <v>17</v>
      </c>
      <c r="G305" s="41" t="s">
        <v>23</v>
      </c>
      <c r="H305" s="42">
        <v>45227.0</v>
      </c>
      <c r="I305" s="41">
        <v>55.0</v>
      </c>
      <c r="J305" s="43">
        <v>310.49</v>
      </c>
      <c r="K305" s="43">
        <v>307.1</v>
      </c>
      <c r="L305" s="43">
        <v>17076.95</v>
      </c>
    </row>
    <row r="306" ht="14.25" customHeight="1">
      <c r="B306" s="41" t="s">
        <v>334</v>
      </c>
      <c r="C306" s="41" t="s">
        <v>25</v>
      </c>
      <c r="D306" s="41" t="s">
        <v>54</v>
      </c>
      <c r="E306" s="41" t="s">
        <v>30</v>
      </c>
      <c r="F306" s="41" t="s">
        <v>27</v>
      </c>
      <c r="G306" s="41" t="s">
        <v>18</v>
      </c>
      <c r="H306" s="42">
        <v>45228.0</v>
      </c>
      <c r="I306" s="41">
        <v>169.0</v>
      </c>
      <c r="J306" s="43">
        <v>223.99</v>
      </c>
      <c r="K306" s="43">
        <v>293.98</v>
      </c>
      <c r="L306" s="43">
        <v>37854.310000000005</v>
      </c>
    </row>
    <row r="307" ht="14.25" customHeight="1">
      <c r="B307" s="41" t="s">
        <v>335</v>
      </c>
      <c r="C307" s="41" t="s">
        <v>14</v>
      </c>
      <c r="D307" s="41" t="s">
        <v>34</v>
      </c>
      <c r="E307" s="41" t="s">
        <v>22</v>
      </c>
      <c r="F307" s="41" t="s">
        <v>17</v>
      </c>
      <c r="G307" s="41" t="s">
        <v>31</v>
      </c>
      <c r="H307" s="42">
        <v>45229.0</v>
      </c>
      <c r="I307" s="41">
        <v>472.0</v>
      </c>
      <c r="J307" s="43">
        <v>416.77</v>
      </c>
      <c r="K307" s="43">
        <v>121.18</v>
      </c>
      <c r="L307" s="43">
        <v>196715.44</v>
      </c>
    </row>
    <row r="308" ht="14.25" customHeight="1">
      <c r="B308" s="41" t="s">
        <v>336</v>
      </c>
      <c r="C308" s="41" t="s">
        <v>52</v>
      </c>
      <c r="D308" s="41" t="s">
        <v>15</v>
      </c>
      <c r="E308" s="41" t="s">
        <v>26</v>
      </c>
      <c r="F308" s="41" t="s">
        <v>17</v>
      </c>
      <c r="G308" s="41" t="s">
        <v>31</v>
      </c>
      <c r="H308" s="42">
        <v>45230.0</v>
      </c>
      <c r="I308" s="41">
        <v>89.0</v>
      </c>
      <c r="J308" s="43">
        <v>336.45</v>
      </c>
      <c r="K308" s="43">
        <v>71.05</v>
      </c>
      <c r="L308" s="43">
        <v>29944.05</v>
      </c>
    </row>
    <row r="309" ht="14.25" customHeight="1">
      <c r="B309" s="41" t="s">
        <v>337</v>
      </c>
      <c r="C309" s="41" t="s">
        <v>52</v>
      </c>
      <c r="D309" s="41" t="s">
        <v>21</v>
      </c>
      <c r="E309" s="41" t="s">
        <v>22</v>
      </c>
      <c r="F309" s="41" t="s">
        <v>17</v>
      </c>
      <c r="G309" s="41" t="s">
        <v>23</v>
      </c>
      <c r="H309" s="42">
        <v>45231.0</v>
      </c>
      <c r="I309" s="41">
        <v>319.0</v>
      </c>
      <c r="J309" s="43">
        <v>39.62</v>
      </c>
      <c r="K309" s="43">
        <v>255.75</v>
      </c>
      <c r="L309" s="43">
        <v>12638.779999999999</v>
      </c>
    </row>
    <row r="310" ht="14.25" customHeight="1">
      <c r="B310" s="41" t="s">
        <v>338</v>
      </c>
      <c r="C310" s="41" t="s">
        <v>25</v>
      </c>
      <c r="D310" s="41" t="s">
        <v>15</v>
      </c>
      <c r="E310" s="41" t="s">
        <v>39</v>
      </c>
      <c r="F310" s="41" t="s">
        <v>17</v>
      </c>
      <c r="G310" s="41" t="s">
        <v>31</v>
      </c>
      <c r="H310" s="42">
        <v>45232.0</v>
      </c>
      <c r="I310" s="41">
        <v>95.0</v>
      </c>
      <c r="J310" s="43">
        <v>321.88</v>
      </c>
      <c r="K310" s="43">
        <v>199.47</v>
      </c>
      <c r="L310" s="43">
        <v>30578.6</v>
      </c>
    </row>
    <row r="311" ht="14.25" customHeight="1">
      <c r="B311" s="41" t="s">
        <v>339</v>
      </c>
      <c r="C311" s="41" t="s">
        <v>20</v>
      </c>
      <c r="D311" s="41" t="s">
        <v>34</v>
      </c>
      <c r="E311" s="41" t="s">
        <v>39</v>
      </c>
      <c r="F311" s="41" t="s">
        <v>27</v>
      </c>
      <c r="G311" s="41" t="s">
        <v>18</v>
      </c>
      <c r="H311" s="42">
        <v>45233.0</v>
      </c>
      <c r="I311" s="41">
        <v>101.0</v>
      </c>
      <c r="J311" s="43">
        <v>139.22</v>
      </c>
      <c r="K311" s="43">
        <v>72.94</v>
      </c>
      <c r="L311" s="43">
        <v>14061.22</v>
      </c>
    </row>
    <row r="312" ht="14.25" customHeight="1">
      <c r="B312" s="41" t="s">
        <v>340</v>
      </c>
      <c r="C312" s="41" t="s">
        <v>52</v>
      </c>
      <c r="D312" s="41" t="s">
        <v>54</v>
      </c>
      <c r="E312" s="41" t="s">
        <v>39</v>
      </c>
      <c r="F312" s="41" t="s">
        <v>17</v>
      </c>
      <c r="G312" s="41" t="s">
        <v>31</v>
      </c>
      <c r="H312" s="42">
        <v>45234.0</v>
      </c>
      <c r="I312" s="41">
        <v>157.0</v>
      </c>
      <c r="J312" s="43">
        <v>249.64520588235297</v>
      </c>
      <c r="K312" s="43">
        <v>274.99</v>
      </c>
      <c r="L312" s="43">
        <v>39194.29732352942</v>
      </c>
    </row>
    <row r="313" ht="14.25" customHeight="1">
      <c r="B313" s="41" t="s">
        <v>341</v>
      </c>
      <c r="C313" s="41" t="s">
        <v>20</v>
      </c>
      <c r="D313" s="41" t="s">
        <v>15</v>
      </c>
      <c r="E313" s="41" t="s">
        <v>22</v>
      </c>
      <c r="F313" s="41" t="s">
        <v>17</v>
      </c>
      <c r="G313" s="41" t="s">
        <v>18</v>
      </c>
      <c r="H313" s="42">
        <v>45235.0</v>
      </c>
      <c r="I313" s="41">
        <v>170.0</v>
      </c>
      <c r="J313" s="43">
        <v>341.67</v>
      </c>
      <c r="K313" s="43">
        <v>396.47</v>
      </c>
      <c r="L313" s="43">
        <v>58083.9</v>
      </c>
    </row>
    <row r="314" ht="14.25" customHeight="1">
      <c r="B314" s="41" t="s">
        <v>342</v>
      </c>
      <c r="C314" s="41" t="s">
        <v>52</v>
      </c>
      <c r="D314" s="41" t="s">
        <v>54</v>
      </c>
      <c r="E314" s="41" t="s">
        <v>46</v>
      </c>
      <c r="F314" s="41" t="s">
        <v>17</v>
      </c>
      <c r="G314" s="41" t="s">
        <v>18</v>
      </c>
      <c r="H314" s="42">
        <v>45236.0</v>
      </c>
      <c r="I314" s="41">
        <v>211.0</v>
      </c>
      <c r="J314" s="43">
        <v>119.26</v>
      </c>
      <c r="K314" s="43">
        <v>299.39</v>
      </c>
      <c r="L314" s="43">
        <v>25163.86</v>
      </c>
    </row>
    <row r="315" ht="14.25" customHeight="1">
      <c r="B315" s="41" t="s">
        <v>343</v>
      </c>
      <c r="C315" s="41" t="s">
        <v>20</v>
      </c>
      <c r="D315" s="41" t="s">
        <v>21</v>
      </c>
      <c r="E315" s="41" t="s">
        <v>30</v>
      </c>
      <c r="F315" s="41" t="s">
        <v>17</v>
      </c>
      <c r="G315" s="41" t="s">
        <v>31</v>
      </c>
      <c r="H315" s="42">
        <v>45237.0</v>
      </c>
      <c r="I315" s="41">
        <v>433.0</v>
      </c>
      <c r="J315" s="43">
        <v>231.15</v>
      </c>
      <c r="K315" s="43">
        <v>296.51</v>
      </c>
      <c r="L315" s="43">
        <v>100087.95</v>
      </c>
    </row>
    <row r="316" ht="14.25" customHeight="1">
      <c r="B316" s="41" t="s">
        <v>344</v>
      </c>
      <c r="C316" s="41" t="s">
        <v>14</v>
      </c>
      <c r="D316" s="41" t="s">
        <v>54</v>
      </c>
      <c r="E316" s="41" t="s">
        <v>16</v>
      </c>
      <c r="F316" s="41" t="s">
        <v>27</v>
      </c>
      <c r="G316" s="41" t="s">
        <v>23</v>
      </c>
      <c r="H316" s="42">
        <v>45238.0</v>
      </c>
      <c r="I316" s="41">
        <v>425.0</v>
      </c>
      <c r="J316" s="43">
        <v>99.21</v>
      </c>
      <c r="K316" s="43">
        <v>380.22</v>
      </c>
      <c r="L316" s="43">
        <v>42164.25</v>
      </c>
    </row>
    <row r="317" ht="14.25" customHeight="1">
      <c r="B317" s="41" t="s">
        <v>345</v>
      </c>
      <c r="C317" s="41" t="s">
        <v>20</v>
      </c>
      <c r="D317" s="41" t="s">
        <v>54</v>
      </c>
      <c r="E317" s="41" t="s">
        <v>26</v>
      </c>
      <c r="F317" s="41" t="s">
        <v>27</v>
      </c>
      <c r="G317" s="41" t="s">
        <v>31</v>
      </c>
      <c r="H317" s="42">
        <v>45239.0</v>
      </c>
      <c r="I317" s="41">
        <v>251.0</v>
      </c>
      <c r="J317" s="43">
        <v>30.91</v>
      </c>
      <c r="K317" s="43">
        <v>82.77</v>
      </c>
      <c r="L317" s="43">
        <v>7758.41</v>
      </c>
    </row>
    <row r="318" ht="14.25" customHeight="1">
      <c r="B318" s="41" t="s">
        <v>346</v>
      </c>
      <c r="C318" s="41" t="s">
        <v>14</v>
      </c>
      <c r="D318" s="41" t="s">
        <v>29</v>
      </c>
      <c r="E318" s="41" t="s">
        <v>22</v>
      </c>
      <c r="F318" s="41" t="s">
        <v>17</v>
      </c>
      <c r="G318" s="41" t="s">
        <v>18</v>
      </c>
      <c r="H318" s="42">
        <v>45240.0</v>
      </c>
      <c r="I318" s="41">
        <v>255.9029411764706</v>
      </c>
      <c r="J318" s="43">
        <v>192.35</v>
      </c>
      <c r="K318" s="43">
        <v>227.09</v>
      </c>
      <c r="L318" s="43">
        <v>49222.93073529412</v>
      </c>
    </row>
    <row r="319" ht="14.25" customHeight="1">
      <c r="B319" s="41" t="s">
        <v>347</v>
      </c>
      <c r="C319" s="41" t="s">
        <v>14</v>
      </c>
      <c r="D319" s="41" t="s">
        <v>29</v>
      </c>
      <c r="E319" s="41" t="s">
        <v>16</v>
      </c>
      <c r="F319" s="41" t="s">
        <v>17</v>
      </c>
      <c r="G319" s="41" t="s">
        <v>18</v>
      </c>
      <c r="H319" s="42">
        <v>45241.0</v>
      </c>
      <c r="I319" s="41">
        <v>11.0</v>
      </c>
      <c r="J319" s="43">
        <v>184.66</v>
      </c>
      <c r="K319" s="43">
        <v>391.9</v>
      </c>
      <c r="L319" s="43">
        <v>2031.26</v>
      </c>
    </row>
    <row r="320" ht="14.25" customHeight="1">
      <c r="B320" s="41" t="s">
        <v>348</v>
      </c>
      <c r="C320" s="41" t="s">
        <v>20</v>
      </c>
      <c r="D320" s="41" t="s">
        <v>29</v>
      </c>
      <c r="E320" s="41" t="s">
        <v>26</v>
      </c>
      <c r="F320" s="41" t="s">
        <v>17</v>
      </c>
      <c r="G320" s="41" t="s">
        <v>31</v>
      </c>
      <c r="H320" s="42">
        <v>45242.0</v>
      </c>
      <c r="I320" s="41">
        <v>234.0</v>
      </c>
      <c r="J320" s="43">
        <v>497.76</v>
      </c>
      <c r="K320" s="43">
        <v>67.79</v>
      </c>
      <c r="L320" s="43">
        <v>116475.84</v>
      </c>
    </row>
    <row r="321" ht="14.25" customHeight="1">
      <c r="B321" s="41" t="s">
        <v>349</v>
      </c>
      <c r="C321" s="41" t="s">
        <v>14</v>
      </c>
      <c r="D321" s="41" t="s">
        <v>54</v>
      </c>
      <c r="E321" s="41" t="s">
        <v>26</v>
      </c>
      <c r="F321" s="41" t="s">
        <v>17</v>
      </c>
      <c r="G321" s="41" t="s">
        <v>23</v>
      </c>
      <c r="H321" s="42">
        <v>45243.0</v>
      </c>
      <c r="I321" s="41">
        <v>255.9029411764706</v>
      </c>
      <c r="J321" s="43">
        <v>225.94</v>
      </c>
      <c r="K321" s="43">
        <v>280.7</v>
      </c>
      <c r="L321" s="43">
        <v>57818.710529411765</v>
      </c>
    </row>
    <row r="322" ht="14.25" customHeight="1">
      <c r="B322" s="41" t="s">
        <v>350</v>
      </c>
      <c r="C322" s="41" t="s">
        <v>25</v>
      </c>
      <c r="D322" s="41" t="s">
        <v>34</v>
      </c>
      <c r="E322" s="41" t="s">
        <v>46</v>
      </c>
      <c r="F322" s="41" t="s">
        <v>17</v>
      </c>
      <c r="G322" s="41" t="s">
        <v>23</v>
      </c>
      <c r="H322" s="42">
        <v>45244.0</v>
      </c>
      <c r="I322" s="41">
        <v>242.0</v>
      </c>
      <c r="J322" s="43">
        <v>170.12</v>
      </c>
      <c r="K322" s="43">
        <v>235.15</v>
      </c>
      <c r="L322" s="43">
        <v>41169.04</v>
      </c>
    </row>
    <row r="323" ht="14.25" customHeight="1">
      <c r="B323" s="41" t="s">
        <v>351</v>
      </c>
      <c r="C323" s="41" t="s">
        <v>14</v>
      </c>
      <c r="D323" s="41" t="s">
        <v>54</v>
      </c>
      <c r="E323" s="41" t="s">
        <v>30</v>
      </c>
      <c r="F323" s="41" t="s">
        <v>17</v>
      </c>
      <c r="G323" s="41" t="s">
        <v>18</v>
      </c>
      <c r="H323" s="42">
        <v>45245.0</v>
      </c>
      <c r="I323" s="41">
        <v>470.0</v>
      </c>
      <c r="J323" s="43">
        <v>292.34</v>
      </c>
      <c r="K323" s="43">
        <v>235.42</v>
      </c>
      <c r="L323" s="43">
        <v>137399.8</v>
      </c>
    </row>
    <row r="324" ht="14.25" customHeight="1">
      <c r="B324" s="41" t="s">
        <v>352</v>
      </c>
      <c r="C324" s="41" t="s">
        <v>52</v>
      </c>
      <c r="D324" s="41" t="s">
        <v>34</v>
      </c>
      <c r="E324" s="41" t="s">
        <v>30</v>
      </c>
      <c r="F324" s="41" t="s">
        <v>27</v>
      </c>
      <c r="G324" s="41" t="s">
        <v>18</v>
      </c>
      <c r="H324" s="42">
        <v>45246.0</v>
      </c>
      <c r="I324" s="41">
        <v>423.0</v>
      </c>
      <c r="J324" s="43">
        <v>48.94</v>
      </c>
      <c r="K324" s="43">
        <v>279.67</v>
      </c>
      <c r="L324" s="43">
        <v>20701.62</v>
      </c>
    </row>
    <row r="325" ht="14.25" customHeight="1">
      <c r="B325" s="41" t="s">
        <v>353</v>
      </c>
      <c r="C325" s="41" t="s">
        <v>20</v>
      </c>
      <c r="D325" s="41" t="s">
        <v>34</v>
      </c>
      <c r="E325" s="41" t="s">
        <v>16</v>
      </c>
      <c r="F325" s="41" t="s">
        <v>17</v>
      </c>
      <c r="G325" s="41" t="s">
        <v>23</v>
      </c>
      <c r="H325" s="42">
        <v>45247.0</v>
      </c>
      <c r="I325" s="41">
        <v>426.0</v>
      </c>
      <c r="J325" s="43">
        <v>481.02</v>
      </c>
      <c r="K325" s="43">
        <v>371.99</v>
      </c>
      <c r="L325" s="43">
        <v>204914.52</v>
      </c>
    </row>
    <row r="326" ht="14.25" customHeight="1">
      <c r="B326" s="41" t="s">
        <v>354</v>
      </c>
      <c r="C326" s="41" t="s">
        <v>25</v>
      </c>
      <c r="D326" s="41" t="s">
        <v>29</v>
      </c>
      <c r="E326" s="41" t="s">
        <v>30</v>
      </c>
      <c r="F326" s="41" t="s">
        <v>27</v>
      </c>
      <c r="G326" s="41" t="s">
        <v>31</v>
      </c>
      <c r="H326" s="42">
        <v>45248.0</v>
      </c>
      <c r="I326" s="41">
        <v>86.0</v>
      </c>
      <c r="J326" s="43">
        <v>319.31</v>
      </c>
      <c r="K326" s="43">
        <v>313.47</v>
      </c>
      <c r="L326" s="43">
        <v>27460.66</v>
      </c>
    </row>
    <row r="327" ht="14.25" customHeight="1">
      <c r="B327" s="41" t="s">
        <v>355</v>
      </c>
      <c r="C327" s="41" t="s">
        <v>20</v>
      </c>
      <c r="D327" s="41" t="s">
        <v>15</v>
      </c>
      <c r="E327" s="41" t="s">
        <v>22</v>
      </c>
      <c r="F327" s="41" t="s">
        <v>27</v>
      </c>
      <c r="G327" s="41" t="s">
        <v>18</v>
      </c>
      <c r="H327" s="42">
        <v>45249.0</v>
      </c>
      <c r="I327" s="41">
        <v>125.0</v>
      </c>
      <c r="J327" s="43">
        <v>378.64</v>
      </c>
      <c r="K327" s="43">
        <v>24.34</v>
      </c>
      <c r="L327" s="43">
        <v>47330.0</v>
      </c>
    </row>
    <row r="328" ht="14.25" customHeight="1">
      <c r="B328" s="41" t="s">
        <v>356</v>
      </c>
      <c r="C328" s="41" t="s">
        <v>52</v>
      </c>
      <c r="D328" s="41" t="s">
        <v>21</v>
      </c>
      <c r="E328" s="41" t="s">
        <v>39</v>
      </c>
      <c r="F328" s="41" t="s">
        <v>17</v>
      </c>
      <c r="G328" s="41" t="s">
        <v>18</v>
      </c>
      <c r="H328" s="42">
        <v>45250.0</v>
      </c>
      <c r="I328" s="41">
        <v>163.0</v>
      </c>
      <c r="J328" s="43">
        <v>89.39</v>
      </c>
      <c r="K328" s="43">
        <v>341.39</v>
      </c>
      <c r="L328" s="43">
        <v>14570.57</v>
      </c>
    </row>
    <row r="329" ht="14.25" customHeight="1">
      <c r="B329" s="41" t="s">
        <v>357</v>
      </c>
      <c r="C329" s="41" t="s">
        <v>52</v>
      </c>
      <c r="D329" s="41" t="s">
        <v>29</v>
      </c>
      <c r="E329" s="41" t="s">
        <v>16</v>
      </c>
      <c r="F329" s="41" t="s">
        <v>27</v>
      </c>
      <c r="G329" s="41" t="s">
        <v>23</v>
      </c>
      <c r="H329" s="42">
        <v>45251.0</v>
      </c>
      <c r="I329" s="41">
        <v>415.0</v>
      </c>
      <c r="J329" s="43">
        <v>207.69</v>
      </c>
      <c r="K329" s="43">
        <v>91.77</v>
      </c>
      <c r="L329" s="43">
        <v>86191.35</v>
      </c>
    </row>
    <row r="330" ht="14.25" customHeight="1">
      <c r="B330" s="41" t="s">
        <v>358</v>
      </c>
      <c r="C330" s="41" t="s">
        <v>52</v>
      </c>
      <c r="D330" s="41" t="s">
        <v>29</v>
      </c>
      <c r="E330" s="41" t="s">
        <v>30</v>
      </c>
      <c r="F330" s="41" t="s">
        <v>27</v>
      </c>
      <c r="G330" s="41" t="s">
        <v>31</v>
      </c>
      <c r="H330" s="42">
        <v>45252.0</v>
      </c>
      <c r="I330" s="41">
        <v>112.0</v>
      </c>
      <c r="J330" s="43">
        <v>214.23</v>
      </c>
      <c r="K330" s="43">
        <v>152.01</v>
      </c>
      <c r="L330" s="43">
        <v>23993.76</v>
      </c>
    </row>
    <row r="331" ht="14.25" customHeight="1">
      <c r="B331" s="41" t="s">
        <v>359</v>
      </c>
      <c r="C331" s="41" t="s">
        <v>14</v>
      </c>
      <c r="D331" s="41" t="s">
        <v>15</v>
      </c>
      <c r="E331" s="41" t="s">
        <v>22</v>
      </c>
      <c r="F331" s="41" t="s">
        <v>27</v>
      </c>
      <c r="G331" s="41" t="s">
        <v>23</v>
      </c>
      <c r="H331" s="42">
        <v>45253.0</v>
      </c>
      <c r="I331" s="41">
        <v>203.0</v>
      </c>
      <c r="J331" s="43">
        <v>411.79</v>
      </c>
      <c r="K331" s="43">
        <v>185.77</v>
      </c>
      <c r="L331" s="43">
        <v>83593.37000000001</v>
      </c>
    </row>
    <row r="332" ht="14.25" customHeight="1">
      <c r="B332" s="41" t="s">
        <v>360</v>
      </c>
      <c r="C332" s="41" t="s">
        <v>14</v>
      </c>
      <c r="D332" s="41" t="s">
        <v>21</v>
      </c>
      <c r="E332" s="41" t="s">
        <v>46</v>
      </c>
      <c r="F332" s="41" t="s">
        <v>27</v>
      </c>
      <c r="G332" s="41" t="s">
        <v>31</v>
      </c>
      <c r="H332" s="42">
        <v>45254.0</v>
      </c>
      <c r="I332" s="41">
        <v>255.9029411764706</v>
      </c>
      <c r="J332" s="43">
        <v>5.61</v>
      </c>
      <c r="K332" s="43">
        <v>193.4</v>
      </c>
      <c r="L332" s="43">
        <v>1435.6155</v>
      </c>
    </row>
    <row r="333" ht="14.25" customHeight="1">
      <c r="B333" s="41" t="s">
        <v>361</v>
      </c>
      <c r="C333" s="41" t="s">
        <v>20</v>
      </c>
      <c r="D333" s="41" t="s">
        <v>54</v>
      </c>
      <c r="E333" s="41" t="s">
        <v>16</v>
      </c>
      <c r="F333" s="41" t="s">
        <v>27</v>
      </c>
      <c r="G333" s="41" t="s">
        <v>31</v>
      </c>
      <c r="H333" s="42">
        <v>45255.0</v>
      </c>
      <c r="I333" s="41">
        <v>368.0</v>
      </c>
      <c r="J333" s="43">
        <v>153.92</v>
      </c>
      <c r="K333" s="43">
        <v>175.2</v>
      </c>
      <c r="L333" s="43">
        <v>56642.56</v>
      </c>
    </row>
    <row r="334" ht="14.25" customHeight="1">
      <c r="B334" s="41" t="s">
        <v>362</v>
      </c>
      <c r="C334" s="41" t="s">
        <v>20</v>
      </c>
      <c r="D334" s="41" t="s">
        <v>54</v>
      </c>
      <c r="E334" s="41" t="s">
        <v>46</v>
      </c>
      <c r="F334" s="41" t="s">
        <v>27</v>
      </c>
      <c r="G334" s="41" t="s">
        <v>31</v>
      </c>
      <c r="H334" s="42">
        <v>45256.0</v>
      </c>
      <c r="I334" s="41">
        <v>99.0</v>
      </c>
      <c r="J334" s="43">
        <v>490.71</v>
      </c>
      <c r="K334" s="43">
        <v>375.07</v>
      </c>
      <c r="L334" s="43">
        <v>48580.29</v>
      </c>
    </row>
    <row r="335" ht="14.25" customHeight="1">
      <c r="B335" s="41" t="s">
        <v>363</v>
      </c>
      <c r="C335" s="41" t="s">
        <v>25</v>
      </c>
      <c r="D335" s="41" t="s">
        <v>29</v>
      </c>
      <c r="E335" s="41" t="s">
        <v>46</v>
      </c>
      <c r="F335" s="41" t="s">
        <v>17</v>
      </c>
      <c r="G335" s="41" t="s">
        <v>18</v>
      </c>
      <c r="H335" s="42">
        <v>45257.0</v>
      </c>
      <c r="I335" s="41">
        <v>183.0</v>
      </c>
      <c r="J335" s="43">
        <v>240.07</v>
      </c>
      <c r="K335" s="43">
        <v>283.0</v>
      </c>
      <c r="L335" s="43">
        <v>43932.81</v>
      </c>
    </row>
    <row r="336" ht="14.25" customHeight="1">
      <c r="B336" s="41" t="s">
        <v>364</v>
      </c>
      <c r="C336" s="41" t="s">
        <v>39</v>
      </c>
      <c r="D336" s="41" t="s">
        <v>21</v>
      </c>
      <c r="E336" s="41" t="s">
        <v>46</v>
      </c>
      <c r="F336" s="41" t="s">
        <v>27</v>
      </c>
      <c r="G336" s="41" t="s">
        <v>23</v>
      </c>
      <c r="H336" s="42">
        <v>45258.0</v>
      </c>
      <c r="I336" s="41">
        <v>131.0</v>
      </c>
      <c r="J336" s="43">
        <v>194.35</v>
      </c>
      <c r="K336" s="43">
        <v>253.21</v>
      </c>
      <c r="L336" s="43">
        <v>25459.85</v>
      </c>
    </row>
    <row r="337" ht="14.25" customHeight="1">
      <c r="B337" s="41" t="s">
        <v>365</v>
      </c>
      <c r="C337" s="41" t="s">
        <v>20</v>
      </c>
      <c r="D337" s="41" t="s">
        <v>29</v>
      </c>
      <c r="E337" s="41" t="s">
        <v>26</v>
      </c>
      <c r="F337" s="41" t="s">
        <v>27</v>
      </c>
      <c r="G337" s="41" t="s">
        <v>23</v>
      </c>
      <c r="H337" s="42">
        <v>45259.0</v>
      </c>
      <c r="I337" s="41">
        <v>152.0</v>
      </c>
      <c r="J337" s="43">
        <v>64.32</v>
      </c>
      <c r="K337" s="43">
        <v>21.84</v>
      </c>
      <c r="L337" s="43">
        <v>9776.64</v>
      </c>
    </row>
    <row r="338" ht="14.25" customHeight="1">
      <c r="B338" s="41" t="s">
        <v>366</v>
      </c>
      <c r="C338" s="41" t="s">
        <v>14</v>
      </c>
      <c r="D338" s="41" t="s">
        <v>34</v>
      </c>
      <c r="E338" s="41" t="s">
        <v>26</v>
      </c>
      <c r="F338" s="41" t="s">
        <v>27</v>
      </c>
      <c r="G338" s="41" t="s">
        <v>31</v>
      </c>
      <c r="H338" s="42">
        <v>45260.0</v>
      </c>
      <c r="I338" s="41">
        <v>491.0</v>
      </c>
      <c r="J338" s="43">
        <v>487.21</v>
      </c>
      <c r="K338" s="43">
        <v>361.76</v>
      </c>
      <c r="L338" s="43">
        <v>239220.11</v>
      </c>
    </row>
    <row r="339" ht="14.25" customHeight="1">
      <c r="B339" s="41" t="s">
        <v>367</v>
      </c>
      <c r="C339" s="41" t="s">
        <v>52</v>
      </c>
      <c r="D339" s="41" t="s">
        <v>29</v>
      </c>
      <c r="E339" s="41" t="s">
        <v>46</v>
      </c>
      <c r="F339" s="41" t="s">
        <v>17</v>
      </c>
      <c r="G339" s="41" t="s">
        <v>18</v>
      </c>
      <c r="H339" s="42">
        <v>45261.0</v>
      </c>
      <c r="I339" s="41">
        <v>115.0</v>
      </c>
      <c r="J339" s="43">
        <v>14.91</v>
      </c>
      <c r="K339" s="43">
        <v>363.94</v>
      </c>
      <c r="L339" s="43">
        <v>1714.65</v>
      </c>
    </row>
    <row r="340" ht="14.25" customHeight="1">
      <c r="B340" s="41" t="s">
        <v>368</v>
      </c>
      <c r="C340" s="41" t="s">
        <v>20</v>
      </c>
      <c r="D340" s="41" t="s">
        <v>29</v>
      </c>
      <c r="E340" s="41" t="s">
        <v>16</v>
      </c>
      <c r="F340" s="41" t="s">
        <v>27</v>
      </c>
      <c r="G340" s="41" t="s">
        <v>18</v>
      </c>
      <c r="H340" s="42">
        <v>45262.0</v>
      </c>
      <c r="I340" s="41">
        <v>384.0</v>
      </c>
      <c r="J340" s="43">
        <v>369.9</v>
      </c>
      <c r="K340" s="43">
        <v>312.52</v>
      </c>
      <c r="L340" s="43">
        <v>142041.59999999998</v>
      </c>
    </row>
    <row r="341" ht="14.25" customHeight="1">
      <c r="B341" s="41" t="s">
        <v>369</v>
      </c>
      <c r="C341" s="41" t="s">
        <v>25</v>
      </c>
      <c r="D341" s="41" t="s">
        <v>54</v>
      </c>
      <c r="E341" s="41" t="s">
        <v>22</v>
      </c>
      <c r="F341" s="41" t="s">
        <v>17</v>
      </c>
      <c r="G341" s="41" t="s">
        <v>23</v>
      </c>
      <c r="H341" s="42">
        <v>45263.0</v>
      </c>
      <c r="I341" s="41">
        <v>437.0</v>
      </c>
      <c r="J341" s="43">
        <v>385.46</v>
      </c>
      <c r="K341" s="43">
        <v>4.8</v>
      </c>
      <c r="L341" s="43">
        <v>168446.02</v>
      </c>
    </row>
    <row r="342" ht="14.25" customHeight="1">
      <c r="B342" s="41" t="s">
        <v>370</v>
      </c>
      <c r="C342" s="41" t="s">
        <v>14</v>
      </c>
      <c r="D342" s="41" t="s">
        <v>54</v>
      </c>
      <c r="E342" s="41" t="s">
        <v>22</v>
      </c>
      <c r="F342" s="41" t="s">
        <v>27</v>
      </c>
      <c r="G342" s="41" t="s">
        <v>18</v>
      </c>
      <c r="H342" s="42">
        <v>45264.0</v>
      </c>
      <c r="I342" s="41">
        <v>314.0</v>
      </c>
      <c r="J342" s="43">
        <v>125.61</v>
      </c>
      <c r="K342" s="43">
        <v>24.8</v>
      </c>
      <c r="L342" s="43">
        <v>39441.54</v>
      </c>
    </row>
    <row r="343" ht="14.25" customHeight="1">
      <c r="B343" s="41" t="s">
        <v>371</v>
      </c>
      <c r="C343" s="41" t="s">
        <v>20</v>
      </c>
      <c r="D343" s="41" t="s">
        <v>54</v>
      </c>
      <c r="E343" s="41" t="s">
        <v>30</v>
      </c>
      <c r="F343" s="41" t="s">
        <v>17</v>
      </c>
      <c r="G343" s="41" t="s">
        <v>18</v>
      </c>
      <c r="H343" s="42">
        <v>45265.0</v>
      </c>
      <c r="I343" s="41">
        <v>369.0</v>
      </c>
      <c r="J343" s="43">
        <v>337.42</v>
      </c>
      <c r="K343" s="43">
        <v>91.64</v>
      </c>
      <c r="L343" s="43">
        <v>124507.98000000001</v>
      </c>
    </row>
    <row r="344" ht="14.25" customHeight="1">
      <c r="B344" s="41" t="s">
        <v>372</v>
      </c>
      <c r="C344" s="41" t="s">
        <v>20</v>
      </c>
      <c r="D344" s="41" t="s">
        <v>34</v>
      </c>
      <c r="E344" s="41" t="s">
        <v>16</v>
      </c>
      <c r="F344" s="41" t="s">
        <v>17</v>
      </c>
      <c r="G344" s="41" t="s">
        <v>31</v>
      </c>
      <c r="H344" s="42">
        <v>45266.0</v>
      </c>
      <c r="I344" s="41">
        <v>468.0</v>
      </c>
      <c r="J344" s="43">
        <v>51.0</v>
      </c>
      <c r="K344" s="43">
        <v>54.28</v>
      </c>
      <c r="L344" s="43">
        <v>23868.0</v>
      </c>
    </row>
    <row r="345" ht="14.25" customHeight="1">
      <c r="B345" s="41" t="s">
        <v>373</v>
      </c>
      <c r="C345" s="41" t="s">
        <v>14</v>
      </c>
      <c r="D345" s="41" t="s">
        <v>54</v>
      </c>
      <c r="E345" s="41" t="s">
        <v>26</v>
      </c>
      <c r="F345" s="41" t="s">
        <v>27</v>
      </c>
      <c r="G345" s="41" t="s">
        <v>18</v>
      </c>
      <c r="H345" s="42">
        <v>45267.0</v>
      </c>
      <c r="I345" s="41">
        <v>326.0</v>
      </c>
      <c r="J345" s="43">
        <v>132.24</v>
      </c>
      <c r="K345" s="43">
        <v>160.74</v>
      </c>
      <c r="L345" s="43">
        <v>43110.240000000005</v>
      </c>
    </row>
    <row r="346" ht="14.25" customHeight="1">
      <c r="B346" s="41" t="s">
        <v>374</v>
      </c>
      <c r="C346" s="41" t="s">
        <v>20</v>
      </c>
      <c r="D346" s="41" t="s">
        <v>21</v>
      </c>
      <c r="E346" s="41" t="s">
        <v>46</v>
      </c>
      <c r="F346" s="41" t="s">
        <v>27</v>
      </c>
      <c r="G346" s="41" t="s">
        <v>31</v>
      </c>
      <c r="H346" s="42">
        <v>45268.0</v>
      </c>
      <c r="I346" s="41">
        <v>460.0</v>
      </c>
      <c r="J346" s="43">
        <v>395.01</v>
      </c>
      <c r="K346" s="43">
        <v>369.2</v>
      </c>
      <c r="L346" s="43">
        <v>181704.6</v>
      </c>
    </row>
    <row r="347" ht="14.25" customHeight="1">
      <c r="B347" s="41" t="s">
        <v>375</v>
      </c>
      <c r="C347" s="41" t="s">
        <v>14</v>
      </c>
      <c r="D347" s="41" t="s">
        <v>15</v>
      </c>
      <c r="E347" s="41" t="s">
        <v>30</v>
      </c>
      <c r="F347" s="41" t="s">
        <v>17</v>
      </c>
      <c r="G347" s="41" t="s">
        <v>23</v>
      </c>
      <c r="H347" s="42">
        <v>45269.0</v>
      </c>
      <c r="I347" s="41">
        <v>132.0</v>
      </c>
      <c r="J347" s="43">
        <v>433.02</v>
      </c>
      <c r="K347" s="43">
        <v>189.88</v>
      </c>
      <c r="L347" s="43">
        <v>57158.64</v>
      </c>
    </row>
    <row r="348" ht="14.25" customHeight="1">
      <c r="B348" s="41" t="s">
        <v>376</v>
      </c>
      <c r="C348" s="41" t="s">
        <v>52</v>
      </c>
      <c r="D348" s="41" t="s">
        <v>21</v>
      </c>
      <c r="E348" s="41" t="s">
        <v>22</v>
      </c>
      <c r="F348" s="41" t="s">
        <v>27</v>
      </c>
      <c r="G348" s="41" t="s">
        <v>18</v>
      </c>
      <c r="H348" s="42">
        <v>45270.0</v>
      </c>
      <c r="I348" s="41">
        <v>399.0</v>
      </c>
      <c r="J348" s="43">
        <v>306.2</v>
      </c>
      <c r="K348" s="43">
        <v>7.33</v>
      </c>
      <c r="L348" s="43">
        <v>122173.79999999999</v>
      </c>
    </row>
    <row r="349" ht="14.25" customHeight="1">
      <c r="B349" s="41" t="s">
        <v>377</v>
      </c>
      <c r="C349" s="41" t="s">
        <v>14</v>
      </c>
      <c r="D349" s="41" t="s">
        <v>21</v>
      </c>
      <c r="E349" s="41" t="s">
        <v>26</v>
      </c>
      <c r="F349" s="41" t="s">
        <v>17</v>
      </c>
      <c r="G349" s="41" t="s">
        <v>23</v>
      </c>
      <c r="H349" s="42">
        <v>45271.0</v>
      </c>
      <c r="I349" s="41">
        <v>18.0</v>
      </c>
      <c r="J349" s="43">
        <v>255.89</v>
      </c>
      <c r="K349" s="43">
        <v>114.53</v>
      </c>
      <c r="L349" s="43">
        <v>4606.0199999999995</v>
      </c>
    </row>
    <row r="350" ht="14.25" customHeight="1">
      <c r="B350" s="41" t="s">
        <v>378</v>
      </c>
      <c r="C350" s="41" t="s">
        <v>14</v>
      </c>
      <c r="D350" s="41" t="s">
        <v>54</v>
      </c>
      <c r="E350" s="41" t="s">
        <v>26</v>
      </c>
      <c r="F350" s="41" t="s">
        <v>17</v>
      </c>
      <c r="G350" s="41" t="s">
        <v>23</v>
      </c>
      <c r="H350" s="42">
        <v>45272.0</v>
      </c>
      <c r="I350" s="41">
        <v>271.0</v>
      </c>
      <c r="J350" s="43">
        <v>83.86</v>
      </c>
      <c r="K350" s="43">
        <v>19.75</v>
      </c>
      <c r="L350" s="43">
        <v>22726.06</v>
      </c>
    </row>
    <row r="351" ht="14.25" customHeight="1">
      <c r="B351" s="41" t="s">
        <v>379</v>
      </c>
      <c r="C351" s="41" t="s">
        <v>39</v>
      </c>
      <c r="D351" s="41" t="s">
        <v>15</v>
      </c>
      <c r="E351" s="41" t="s">
        <v>46</v>
      </c>
      <c r="F351" s="41" t="s">
        <v>17</v>
      </c>
      <c r="G351" s="41" t="s">
        <v>18</v>
      </c>
      <c r="H351" s="42">
        <v>45273.0</v>
      </c>
      <c r="I351" s="41">
        <v>82.0</v>
      </c>
      <c r="J351" s="43">
        <v>36.24</v>
      </c>
      <c r="K351" s="43">
        <v>16.44</v>
      </c>
      <c r="L351" s="43">
        <v>2971.6800000000003</v>
      </c>
    </row>
    <row r="352" ht="14.25" customHeight="1">
      <c r="B352" s="41" t="s">
        <v>380</v>
      </c>
      <c r="C352" s="41" t="s">
        <v>20</v>
      </c>
      <c r="D352" s="41" t="s">
        <v>15</v>
      </c>
      <c r="E352" s="41" t="s">
        <v>22</v>
      </c>
      <c r="F352" s="41" t="s">
        <v>17</v>
      </c>
      <c r="G352" s="41" t="s">
        <v>18</v>
      </c>
      <c r="H352" s="42">
        <v>45274.0</v>
      </c>
      <c r="I352" s="41">
        <v>368.0</v>
      </c>
      <c r="J352" s="43">
        <v>63.24</v>
      </c>
      <c r="K352" s="43">
        <v>111.74</v>
      </c>
      <c r="L352" s="43">
        <v>23272.32</v>
      </c>
    </row>
    <row r="353" ht="14.25" customHeight="1">
      <c r="B353" s="41" t="s">
        <v>381</v>
      </c>
      <c r="C353" s="41" t="s">
        <v>20</v>
      </c>
      <c r="D353" s="41" t="s">
        <v>15</v>
      </c>
      <c r="E353" s="41" t="s">
        <v>16</v>
      </c>
      <c r="F353" s="41" t="s">
        <v>17</v>
      </c>
      <c r="G353" s="41" t="s">
        <v>23</v>
      </c>
      <c r="H353" s="42">
        <v>45275.0</v>
      </c>
      <c r="I353" s="41">
        <v>232.0</v>
      </c>
      <c r="J353" s="43">
        <v>117.54</v>
      </c>
      <c r="K353" s="43">
        <v>111.69</v>
      </c>
      <c r="L353" s="43">
        <v>27269.280000000002</v>
      </c>
    </row>
    <row r="354" ht="14.25" customHeight="1">
      <c r="B354" s="41" t="s">
        <v>382</v>
      </c>
      <c r="C354" s="41" t="s">
        <v>14</v>
      </c>
      <c r="D354" s="41" t="s">
        <v>34</v>
      </c>
      <c r="E354" s="41" t="s">
        <v>26</v>
      </c>
      <c r="F354" s="41" t="s">
        <v>27</v>
      </c>
      <c r="G354" s="41" t="s">
        <v>18</v>
      </c>
      <c r="H354" s="42">
        <v>45276.0</v>
      </c>
      <c r="I354" s="41">
        <v>425.0</v>
      </c>
      <c r="J354" s="43">
        <v>174.13</v>
      </c>
      <c r="K354" s="43">
        <v>315.28</v>
      </c>
      <c r="L354" s="43">
        <v>74005.25</v>
      </c>
    </row>
    <row r="355" ht="14.25" customHeight="1">
      <c r="L355" s="55"/>
    </row>
    <row r="356" ht="14.25" customHeight="1">
      <c r="L356" s="55"/>
    </row>
    <row r="357" ht="14.25" customHeight="1">
      <c r="L357" s="55"/>
    </row>
    <row r="358" ht="14.25" customHeight="1">
      <c r="L358" s="55"/>
    </row>
    <row r="359" ht="14.25" customHeight="1">
      <c r="L359" s="55"/>
    </row>
    <row r="360" ht="14.25" customHeight="1">
      <c r="L360" s="55"/>
    </row>
    <row r="361" ht="14.25" customHeight="1">
      <c r="L361" s="55"/>
    </row>
    <row r="362" ht="14.25" customHeight="1">
      <c r="L362" s="55"/>
    </row>
    <row r="363" ht="14.25" customHeight="1">
      <c r="L363" s="55"/>
    </row>
    <row r="364" ht="14.25" customHeight="1">
      <c r="L364" s="55"/>
    </row>
    <row r="365" ht="14.25" customHeight="1">
      <c r="L365" s="55"/>
    </row>
    <row r="366" ht="14.25" customHeight="1">
      <c r="L366" s="55"/>
    </row>
    <row r="367" ht="14.25" customHeight="1">
      <c r="L367" s="55"/>
    </row>
    <row r="368" ht="14.25" customHeight="1">
      <c r="L368" s="55"/>
    </row>
    <row r="369" ht="14.25" customHeight="1">
      <c r="L369" s="55"/>
    </row>
    <row r="370" ht="14.25" customHeight="1">
      <c r="L370" s="55"/>
    </row>
    <row r="371" ht="14.25" customHeight="1">
      <c r="L371" s="55"/>
    </row>
    <row r="372" ht="14.25" customHeight="1">
      <c r="L372" s="55"/>
    </row>
    <row r="373" ht="14.25" customHeight="1">
      <c r="L373" s="55"/>
    </row>
    <row r="374" ht="14.25" customHeight="1">
      <c r="L374" s="55"/>
    </row>
    <row r="375" ht="14.25" customHeight="1">
      <c r="L375" s="55"/>
    </row>
    <row r="376" ht="14.25" customHeight="1">
      <c r="L376" s="55"/>
    </row>
    <row r="377" ht="14.25" customHeight="1">
      <c r="L377" s="55"/>
    </row>
    <row r="378" ht="14.25" customHeight="1">
      <c r="L378" s="55"/>
    </row>
    <row r="379" ht="14.25" customHeight="1">
      <c r="L379" s="55"/>
    </row>
    <row r="380" ht="14.25" customHeight="1">
      <c r="L380" s="55"/>
    </row>
    <row r="381" ht="14.25" customHeight="1">
      <c r="L381" s="55"/>
    </row>
    <row r="382" ht="14.25" customHeight="1">
      <c r="L382" s="55"/>
    </row>
    <row r="383" ht="14.25" customHeight="1">
      <c r="L383" s="55"/>
    </row>
    <row r="384" ht="14.25" customHeight="1">
      <c r="L384" s="55"/>
    </row>
    <row r="385" ht="14.25" customHeight="1">
      <c r="L385" s="55"/>
    </row>
    <row r="386" ht="14.25" customHeight="1">
      <c r="L386" s="55"/>
    </row>
    <row r="387" ht="14.25" customHeight="1">
      <c r="L387" s="55"/>
    </row>
    <row r="388" ht="14.25" customHeight="1">
      <c r="L388" s="55"/>
    </row>
    <row r="389" ht="14.25" customHeight="1">
      <c r="L389" s="55"/>
    </row>
    <row r="390" ht="14.25" customHeight="1">
      <c r="L390" s="55"/>
    </row>
    <row r="391" ht="14.25" customHeight="1">
      <c r="L391" s="55"/>
    </row>
    <row r="392" ht="14.25" customHeight="1">
      <c r="L392" s="55"/>
    </row>
    <row r="393" ht="14.25" customHeight="1">
      <c r="L393" s="55"/>
    </row>
    <row r="394" ht="14.25" customHeight="1">
      <c r="L394" s="55"/>
    </row>
    <row r="395" ht="14.25" customHeight="1">
      <c r="L395" s="55"/>
    </row>
    <row r="396" ht="14.25" customHeight="1">
      <c r="L396" s="55"/>
    </row>
    <row r="397" ht="14.25" customHeight="1">
      <c r="L397" s="55"/>
    </row>
    <row r="398" ht="14.25" customHeight="1">
      <c r="L398" s="55"/>
    </row>
    <row r="399" ht="14.25" customHeight="1">
      <c r="L399" s="55"/>
    </row>
    <row r="400" ht="14.25" customHeight="1">
      <c r="L400" s="55"/>
    </row>
    <row r="401" ht="14.25" customHeight="1">
      <c r="L401" s="55"/>
    </row>
    <row r="402" ht="14.25" customHeight="1">
      <c r="L402" s="55"/>
    </row>
    <row r="403" ht="14.25" customHeight="1">
      <c r="L403" s="55"/>
    </row>
    <row r="404" ht="14.25" customHeight="1">
      <c r="L404" s="55"/>
    </row>
    <row r="405" ht="14.25" customHeight="1">
      <c r="L405" s="55"/>
    </row>
    <row r="406" ht="14.25" customHeight="1">
      <c r="L406" s="55"/>
    </row>
    <row r="407" ht="14.25" customHeight="1">
      <c r="L407" s="55"/>
    </row>
    <row r="408" ht="14.25" customHeight="1">
      <c r="L408" s="55"/>
    </row>
    <row r="409" ht="14.25" customHeight="1">
      <c r="L409" s="55"/>
    </row>
    <row r="410" ht="14.25" customHeight="1">
      <c r="L410" s="55"/>
    </row>
    <row r="411" ht="14.25" customHeight="1">
      <c r="L411" s="55"/>
    </row>
    <row r="412" ht="14.25" customHeight="1">
      <c r="L412" s="55"/>
    </row>
    <row r="413" ht="14.25" customHeight="1">
      <c r="L413" s="55"/>
    </row>
    <row r="414" ht="14.25" customHeight="1">
      <c r="L414" s="55"/>
    </row>
    <row r="415" ht="14.25" customHeight="1">
      <c r="L415" s="55"/>
    </row>
    <row r="416" ht="14.25" customHeight="1">
      <c r="L416" s="55"/>
    </row>
    <row r="417" ht="14.25" customHeight="1">
      <c r="L417" s="55"/>
    </row>
    <row r="418" ht="14.25" customHeight="1">
      <c r="L418" s="55"/>
    </row>
    <row r="419" ht="14.25" customHeight="1">
      <c r="L419" s="55"/>
    </row>
    <row r="420" ht="14.25" customHeight="1">
      <c r="L420" s="55"/>
    </row>
    <row r="421" ht="14.25" customHeight="1">
      <c r="L421" s="55"/>
    </row>
    <row r="422" ht="14.25" customHeight="1">
      <c r="L422" s="55"/>
    </row>
    <row r="423" ht="14.25" customHeight="1">
      <c r="L423" s="55"/>
    </row>
    <row r="424" ht="14.25" customHeight="1">
      <c r="L424" s="55"/>
    </row>
    <row r="425" ht="14.25" customHeight="1">
      <c r="L425" s="55"/>
    </row>
    <row r="426" ht="14.25" customHeight="1">
      <c r="L426" s="55"/>
    </row>
    <row r="427" ht="14.25" customHeight="1">
      <c r="L427" s="55"/>
    </row>
    <row r="428" ht="14.25" customHeight="1">
      <c r="L428" s="55"/>
    </row>
    <row r="429" ht="14.25" customHeight="1">
      <c r="L429" s="55"/>
    </row>
    <row r="430" ht="14.25" customHeight="1">
      <c r="L430" s="55"/>
    </row>
    <row r="431" ht="14.25" customHeight="1">
      <c r="L431" s="55"/>
    </row>
    <row r="432" ht="14.25" customHeight="1">
      <c r="L432" s="55"/>
    </row>
    <row r="433" ht="14.25" customHeight="1">
      <c r="L433" s="55"/>
    </row>
    <row r="434" ht="14.25" customHeight="1">
      <c r="L434" s="55"/>
    </row>
    <row r="435" ht="14.25" customHeight="1">
      <c r="L435" s="55"/>
    </row>
    <row r="436" ht="14.25" customHeight="1">
      <c r="L436" s="55"/>
    </row>
    <row r="437" ht="14.25" customHeight="1">
      <c r="L437" s="55"/>
    </row>
    <row r="438" ht="14.25" customHeight="1">
      <c r="L438" s="55"/>
    </row>
    <row r="439" ht="14.25" customHeight="1">
      <c r="L439" s="55"/>
    </row>
    <row r="440" ht="14.25" customHeight="1">
      <c r="L440" s="55"/>
    </row>
    <row r="441" ht="14.25" customHeight="1">
      <c r="L441" s="55"/>
    </row>
    <row r="442" ht="14.25" customHeight="1">
      <c r="L442" s="55"/>
    </row>
    <row r="443" ht="14.25" customHeight="1">
      <c r="L443" s="55"/>
    </row>
    <row r="444" ht="14.25" customHeight="1">
      <c r="L444" s="55"/>
    </row>
    <row r="445" ht="14.25" customHeight="1">
      <c r="L445" s="55"/>
    </row>
    <row r="446" ht="14.25" customHeight="1">
      <c r="L446" s="55"/>
    </row>
    <row r="447" ht="14.25" customHeight="1">
      <c r="L447" s="55"/>
    </row>
    <row r="448" ht="14.25" customHeight="1">
      <c r="L448" s="55"/>
    </row>
    <row r="449" ht="14.25" customHeight="1">
      <c r="L449" s="55"/>
    </row>
    <row r="450" ht="14.25" customHeight="1">
      <c r="L450" s="55"/>
    </row>
    <row r="451" ht="14.25" customHeight="1">
      <c r="L451" s="55"/>
    </row>
    <row r="452" ht="14.25" customHeight="1">
      <c r="L452" s="55"/>
    </row>
    <row r="453" ht="14.25" customHeight="1">
      <c r="L453" s="55"/>
    </row>
    <row r="454" ht="14.25" customHeight="1">
      <c r="L454" s="55"/>
    </row>
    <row r="455" ht="14.25" customHeight="1">
      <c r="L455" s="55"/>
    </row>
    <row r="456" ht="14.25" customHeight="1">
      <c r="L456" s="55"/>
    </row>
    <row r="457" ht="14.25" customHeight="1">
      <c r="L457" s="55"/>
    </row>
    <row r="458" ht="14.25" customHeight="1">
      <c r="L458" s="55"/>
    </row>
    <row r="459" ht="14.25" customHeight="1">
      <c r="L459" s="55"/>
    </row>
    <row r="460" ht="14.25" customHeight="1">
      <c r="L460" s="55"/>
    </row>
    <row r="461" ht="14.25" customHeight="1">
      <c r="L461" s="55"/>
    </row>
    <row r="462" ht="14.25" customHeight="1">
      <c r="L462" s="55"/>
    </row>
    <row r="463" ht="14.25" customHeight="1">
      <c r="L463" s="55"/>
    </row>
    <row r="464" ht="14.25" customHeight="1">
      <c r="L464" s="55"/>
    </row>
    <row r="465" ht="14.25" customHeight="1">
      <c r="L465" s="55"/>
    </row>
    <row r="466" ht="14.25" customHeight="1">
      <c r="L466" s="55"/>
    </row>
    <row r="467" ht="14.25" customHeight="1">
      <c r="L467" s="55"/>
    </row>
    <row r="468" ht="14.25" customHeight="1">
      <c r="L468" s="55"/>
    </row>
    <row r="469" ht="14.25" customHeight="1">
      <c r="L469" s="55"/>
    </row>
    <row r="470" ht="14.25" customHeight="1">
      <c r="L470" s="55"/>
    </row>
    <row r="471" ht="14.25" customHeight="1">
      <c r="L471" s="55"/>
    </row>
    <row r="472" ht="14.25" customHeight="1">
      <c r="L472" s="55"/>
    </row>
    <row r="473" ht="14.25" customHeight="1">
      <c r="L473" s="55"/>
    </row>
    <row r="474" ht="14.25" customHeight="1">
      <c r="L474" s="55"/>
    </row>
    <row r="475" ht="14.25" customHeight="1">
      <c r="L475" s="55"/>
    </row>
    <row r="476" ht="14.25" customHeight="1">
      <c r="L476" s="55"/>
    </row>
    <row r="477" ht="14.25" customHeight="1">
      <c r="L477" s="55"/>
    </row>
    <row r="478" ht="14.25" customHeight="1">
      <c r="L478" s="55"/>
    </row>
    <row r="479" ht="14.25" customHeight="1">
      <c r="L479" s="55"/>
    </row>
    <row r="480" ht="14.25" customHeight="1">
      <c r="L480" s="55"/>
    </row>
    <row r="481" ht="14.25" customHeight="1">
      <c r="L481" s="55"/>
    </row>
    <row r="482" ht="14.25" customHeight="1">
      <c r="L482" s="55"/>
    </row>
    <row r="483" ht="14.25" customHeight="1">
      <c r="L483" s="55"/>
    </row>
    <row r="484" ht="14.25" customHeight="1">
      <c r="L484" s="55"/>
    </row>
    <row r="485" ht="14.25" customHeight="1">
      <c r="L485" s="55"/>
    </row>
    <row r="486" ht="14.25" customHeight="1">
      <c r="L486" s="55"/>
    </row>
    <row r="487" ht="14.25" customHeight="1">
      <c r="L487" s="55"/>
    </row>
    <row r="488" ht="14.25" customHeight="1">
      <c r="L488" s="55"/>
    </row>
    <row r="489" ht="14.25" customHeight="1">
      <c r="L489" s="55"/>
    </row>
    <row r="490" ht="14.25" customHeight="1">
      <c r="L490" s="55"/>
    </row>
    <row r="491" ht="14.25" customHeight="1">
      <c r="L491" s="55"/>
    </row>
    <row r="492" ht="14.25" customHeight="1">
      <c r="L492" s="55"/>
    </row>
    <row r="493" ht="14.25" customHeight="1">
      <c r="L493" s="55"/>
    </row>
    <row r="494" ht="14.25" customHeight="1">
      <c r="L494" s="55"/>
    </row>
    <row r="495" ht="14.25" customHeight="1">
      <c r="L495" s="55"/>
    </row>
    <row r="496" ht="14.25" customHeight="1">
      <c r="L496" s="55"/>
    </row>
    <row r="497" ht="14.25" customHeight="1">
      <c r="L497" s="55"/>
    </row>
    <row r="498" ht="14.25" customHeight="1">
      <c r="L498" s="55"/>
    </row>
    <row r="499" ht="14.25" customHeight="1">
      <c r="L499" s="55"/>
    </row>
    <row r="500" ht="14.25" customHeight="1">
      <c r="L500" s="55"/>
    </row>
    <row r="501" ht="14.25" customHeight="1">
      <c r="L501" s="55"/>
    </row>
    <row r="502" ht="14.25" customHeight="1">
      <c r="L502" s="55"/>
    </row>
    <row r="503" ht="14.25" customHeight="1">
      <c r="L503" s="55"/>
    </row>
    <row r="504" ht="14.25" customHeight="1">
      <c r="L504" s="55"/>
    </row>
    <row r="505" ht="14.25" customHeight="1">
      <c r="L505" s="55"/>
    </row>
    <row r="506" ht="14.25" customHeight="1">
      <c r="L506" s="55"/>
    </row>
    <row r="507" ht="14.25" customHeight="1">
      <c r="L507" s="55"/>
    </row>
    <row r="508" ht="14.25" customHeight="1">
      <c r="L508" s="55"/>
    </row>
    <row r="509" ht="14.25" customHeight="1">
      <c r="L509" s="55"/>
    </row>
    <row r="510" ht="14.25" customHeight="1">
      <c r="L510" s="55"/>
    </row>
    <row r="511" ht="14.25" customHeight="1">
      <c r="L511" s="55"/>
    </row>
    <row r="512" ht="14.25" customHeight="1">
      <c r="L512" s="55"/>
    </row>
    <row r="513" ht="14.25" customHeight="1">
      <c r="L513" s="55"/>
    </row>
    <row r="514" ht="14.25" customHeight="1">
      <c r="L514" s="55"/>
    </row>
    <row r="515" ht="14.25" customHeight="1">
      <c r="L515" s="55"/>
    </row>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H2"/>
  </mergeCells>
  <dataValidations>
    <dataValidation type="list" allowBlank="1" showErrorMessage="1" sqref="B5:B354">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F5:F354">
      <formula1>"Online,Offline"</formula1>
    </dataValidation>
    <dataValidation type="list" allowBlank="1" showErrorMessage="1" sqref="C5:C354">
      <formula1>"East,West,North,Unknown,South"</formula1>
    </dataValidation>
    <dataValidation type="list" allowBlank="1" showErrorMessage="1" sqref="D5:D354">
      <formula1>"Germany,India,USA,UK,Australia"</formula1>
    </dataValidation>
    <dataValidation type="list" allowBlank="1" showErrorMessage="1" sqref="E5:E354">
      <formula1>"Beverages,Food,Clothing,Furniture,Electronics,Unknown"</formula1>
    </dataValidation>
    <dataValidation type="list" allowBlank="1" showErrorMessage="1" sqref="G5:G354">
      <formula1>"High,Low,Medium"</formula1>
    </dataValidation>
  </dataValidations>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14.63"/>
    <col customWidth="1" min="4" max="5" width="8.63"/>
    <col customWidth="1" min="6" max="6" width="11.38"/>
    <col customWidth="1" min="7" max="8" width="8.63"/>
    <col customWidth="1" min="9" max="9" width="11.75"/>
    <col customWidth="1" min="10" max="15" width="8.63"/>
    <col customWidth="1" min="16" max="16" width="12.25"/>
    <col customWidth="1" min="17" max="25" width="8.63"/>
  </cols>
  <sheetData>
    <row r="1" ht="14.25" customHeight="1"/>
    <row r="2" ht="14.25" customHeight="1"/>
    <row r="3" ht="14.25" customHeight="1">
      <c r="C3" s="37" t="s">
        <v>489</v>
      </c>
      <c r="D3" s="36"/>
      <c r="E3" s="36"/>
      <c r="F3" s="36"/>
      <c r="G3" s="36"/>
      <c r="H3" s="36"/>
      <c r="I3" s="36"/>
      <c r="U3" s="58" t="s">
        <v>490</v>
      </c>
    </row>
    <row r="4" ht="14.25" customHeight="1">
      <c r="U4" s="49"/>
    </row>
    <row r="5" ht="14.25" customHeight="1">
      <c r="C5" s="59" t="s">
        <v>491</v>
      </c>
      <c r="M5" s="60" t="s">
        <v>155</v>
      </c>
      <c r="N5" s="60" t="s">
        <v>52</v>
      </c>
      <c r="O5" s="60" t="s">
        <v>15</v>
      </c>
      <c r="P5" s="60" t="s">
        <v>26</v>
      </c>
      <c r="Q5" s="60" t="s">
        <v>17</v>
      </c>
      <c r="R5" s="60" t="s">
        <v>23</v>
      </c>
      <c r="S5" s="61">
        <v>45049.0</v>
      </c>
      <c r="T5" s="62">
        <v>46.0</v>
      </c>
      <c r="U5" s="62">
        <v>344.55</v>
      </c>
      <c r="V5" s="62">
        <v>377.25</v>
      </c>
      <c r="W5" s="63">
        <f>T5*U5</f>
        <v>15849.3</v>
      </c>
      <c r="X5" s="64"/>
    </row>
    <row r="6" ht="14.25" customHeight="1">
      <c r="C6" s="51" t="s">
        <v>492</v>
      </c>
      <c r="U6" s="49"/>
    </row>
    <row r="7" ht="14.25" customHeight="1">
      <c r="U7" s="54" t="s">
        <v>493</v>
      </c>
    </row>
    <row r="8" ht="14.25" customHeight="1">
      <c r="U8" s="54" t="s">
        <v>494</v>
      </c>
    </row>
    <row r="9" ht="14.25" customHeight="1">
      <c r="U9" s="54" t="s">
        <v>495</v>
      </c>
    </row>
    <row r="10" ht="14.25" customHeight="1">
      <c r="C10" s="38" t="s">
        <v>0</v>
      </c>
      <c r="D10" s="38" t="s">
        <v>1</v>
      </c>
      <c r="E10" s="38" t="s">
        <v>2</v>
      </c>
      <c r="F10" s="38" t="s">
        <v>3</v>
      </c>
      <c r="G10" s="38" t="s">
        <v>4</v>
      </c>
      <c r="H10" s="38" t="s">
        <v>5</v>
      </c>
      <c r="I10" s="38" t="s">
        <v>6</v>
      </c>
      <c r="J10" s="38" t="s">
        <v>7</v>
      </c>
      <c r="K10" s="39" t="s">
        <v>8</v>
      </c>
      <c r="L10" s="39" t="s">
        <v>9</v>
      </c>
      <c r="M10" s="39" t="s">
        <v>10</v>
      </c>
      <c r="N10" s="39" t="s">
        <v>11</v>
      </c>
      <c r="O10" s="39" t="s">
        <v>12</v>
      </c>
      <c r="P10" s="38" t="s">
        <v>383</v>
      </c>
      <c r="U10" s="54" t="s">
        <v>496</v>
      </c>
    </row>
    <row r="11" ht="14.25" customHeight="1">
      <c r="C11" s="40" t="s">
        <v>13</v>
      </c>
      <c r="D11" s="41" t="s">
        <v>14</v>
      </c>
      <c r="E11" s="41" t="s">
        <v>15</v>
      </c>
      <c r="F11" s="41" t="s">
        <v>16</v>
      </c>
      <c r="G11" s="41" t="s">
        <v>17</v>
      </c>
      <c r="H11" s="41" t="s">
        <v>18</v>
      </c>
      <c r="I11" s="42">
        <v>44927.0</v>
      </c>
      <c r="J11" s="41">
        <v>235.0</v>
      </c>
      <c r="K11" s="43">
        <v>152.92</v>
      </c>
      <c r="L11" s="43">
        <v>153.6</v>
      </c>
      <c r="M11" s="43">
        <v>35936.2</v>
      </c>
      <c r="N11" s="43">
        <v>36096.0</v>
      </c>
      <c r="O11" s="43">
        <v>-159.8000000000029</v>
      </c>
      <c r="P11" s="44">
        <v>-0.00444676955270738</v>
      </c>
      <c r="U11" s="54" t="s">
        <v>497</v>
      </c>
    </row>
    <row r="12" ht="14.25" customHeight="1">
      <c r="C12" s="41" t="s">
        <v>19</v>
      </c>
      <c r="D12" s="41" t="s">
        <v>20</v>
      </c>
      <c r="E12" s="41" t="s">
        <v>21</v>
      </c>
      <c r="F12" s="41" t="s">
        <v>22</v>
      </c>
      <c r="G12" s="41" t="s">
        <v>17</v>
      </c>
      <c r="H12" s="41" t="s">
        <v>23</v>
      </c>
      <c r="I12" s="42">
        <v>44928.0</v>
      </c>
      <c r="J12" s="41">
        <v>341.0</v>
      </c>
      <c r="K12" s="43">
        <v>467.92</v>
      </c>
      <c r="L12" s="43">
        <v>139.84</v>
      </c>
      <c r="M12" s="43">
        <v>159560.72</v>
      </c>
      <c r="N12" s="43">
        <v>47685.44</v>
      </c>
      <c r="O12" s="43">
        <v>111875.28</v>
      </c>
      <c r="P12" s="44">
        <v>0.7011454949564028</v>
      </c>
      <c r="U12" s="54" t="s">
        <v>498</v>
      </c>
    </row>
    <row r="13" ht="14.25" customHeight="1">
      <c r="C13" s="41" t="s">
        <v>24</v>
      </c>
      <c r="D13" s="41" t="s">
        <v>25</v>
      </c>
      <c r="E13" s="41" t="s">
        <v>21</v>
      </c>
      <c r="F13" s="41" t="s">
        <v>26</v>
      </c>
      <c r="G13" s="41" t="s">
        <v>27</v>
      </c>
      <c r="H13" s="41" t="s">
        <v>18</v>
      </c>
      <c r="I13" s="42">
        <v>44929.0</v>
      </c>
      <c r="J13" s="41">
        <v>179.0</v>
      </c>
      <c r="K13" s="43">
        <v>473.94</v>
      </c>
      <c r="L13" s="43">
        <v>97.14</v>
      </c>
      <c r="M13" s="43">
        <v>84835.26</v>
      </c>
      <c r="N13" s="43">
        <v>17388.06</v>
      </c>
      <c r="O13" s="43">
        <v>67447.2</v>
      </c>
      <c r="P13" s="44">
        <v>0.7950373464995569</v>
      </c>
      <c r="U13" s="54" t="s">
        <v>499</v>
      </c>
    </row>
    <row r="14" ht="14.25" customHeight="1">
      <c r="C14" s="41" t="s">
        <v>28</v>
      </c>
      <c r="D14" s="41" t="s">
        <v>14</v>
      </c>
      <c r="E14" s="41" t="s">
        <v>29</v>
      </c>
      <c r="F14" s="41" t="s">
        <v>30</v>
      </c>
      <c r="G14" s="41" t="s">
        <v>27</v>
      </c>
      <c r="H14" s="41" t="s">
        <v>31</v>
      </c>
      <c r="I14" s="42">
        <v>44930.0</v>
      </c>
      <c r="J14" s="41">
        <v>18.0</v>
      </c>
      <c r="K14" s="43">
        <v>314.53</v>
      </c>
      <c r="L14" s="43">
        <v>204.87</v>
      </c>
      <c r="M14" s="43">
        <v>5661.539999999999</v>
      </c>
      <c r="N14" s="43">
        <v>3687.66</v>
      </c>
      <c r="O14" s="43">
        <v>1973.8799999999992</v>
      </c>
      <c r="P14" s="44">
        <v>0.3486471878676119</v>
      </c>
      <c r="U14" s="54" t="s">
        <v>500</v>
      </c>
    </row>
    <row r="15" ht="14.25" customHeight="1">
      <c r="C15" s="41" t="s">
        <v>32</v>
      </c>
      <c r="D15" s="41" t="s">
        <v>14</v>
      </c>
      <c r="E15" s="41" t="s">
        <v>21</v>
      </c>
      <c r="F15" s="41" t="s">
        <v>30</v>
      </c>
      <c r="G15" s="41" t="s">
        <v>27</v>
      </c>
      <c r="H15" s="41" t="s">
        <v>31</v>
      </c>
      <c r="I15" s="42">
        <v>44931.0</v>
      </c>
      <c r="J15" s="41">
        <v>472.0</v>
      </c>
      <c r="K15" s="43">
        <v>392.79</v>
      </c>
      <c r="L15" s="43">
        <v>330.46</v>
      </c>
      <c r="M15" s="43">
        <v>185396.88</v>
      </c>
      <c r="N15" s="43">
        <v>155977.12</v>
      </c>
      <c r="O15" s="43">
        <v>29419.76000000001</v>
      </c>
      <c r="P15" s="44">
        <v>0.15868530257898628</v>
      </c>
      <c r="U15" s="54" t="s">
        <v>501</v>
      </c>
    </row>
    <row r="16" ht="14.25" customHeight="1">
      <c r="C16" s="41" t="s">
        <v>33</v>
      </c>
      <c r="D16" s="41" t="s">
        <v>20</v>
      </c>
      <c r="E16" s="41" t="s">
        <v>34</v>
      </c>
      <c r="F16" s="41" t="s">
        <v>26</v>
      </c>
      <c r="G16" s="41" t="s">
        <v>17</v>
      </c>
      <c r="H16" s="41" t="s">
        <v>18</v>
      </c>
      <c r="I16" s="42">
        <v>44932.0</v>
      </c>
      <c r="J16" s="41">
        <v>49.0</v>
      </c>
      <c r="K16" s="43">
        <v>308.07</v>
      </c>
      <c r="L16" s="43">
        <v>113.32</v>
      </c>
      <c r="M16" s="43">
        <v>15095.43</v>
      </c>
      <c r="N16" s="43">
        <v>5552.679999999999</v>
      </c>
      <c r="O16" s="43">
        <v>9542.75</v>
      </c>
      <c r="P16" s="44">
        <v>0.6321615217320739</v>
      </c>
      <c r="U16" s="54" t="s">
        <v>502</v>
      </c>
    </row>
    <row r="17" ht="14.25" customHeight="1">
      <c r="C17" s="41" t="s">
        <v>35</v>
      </c>
      <c r="D17" s="41" t="s">
        <v>25</v>
      </c>
      <c r="E17" s="41" t="s">
        <v>15</v>
      </c>
      <c r="F17" s="41" t="s">
        <v>26</v>
      </c>
      <c r="G17" s="41" t="s">
        <v>17</v>
      </c>
      <c r="H17" s="41" t="s">
        <v>23</v>
      </c>
      <c r="I17" s="42">
        <v>44933.0</v>
      </c>
      <c r="J17" s="41">
        <v>34.0</v>
      </c>
      <c r="K17" s="43">
        <v>244.78</v>
      </c>
      <c r="L17" s="43">
        <v>377.07</v>
      </c>
      <c r="M17" s="43">
        <v>8322.52</v>
      </c>
      <c r="N17" s="43">
        <v>12820.38</v>
      </c>
      <c r="O17" s="43">
        <v>-4497.859999999999</v>
      </c>
      <c r="P17" s="44">
        <v>-0.5404444807582317</v>
      </c>
      <c r="U17" s="65"/>
    </row>
    <row r="18" ht="14.25" customHeight="1">
      <c r="C18" s="41" t="s">
        <v>36</v>
      </c>
      <c r="D18" s="41" t="s">
        <v>25</v>
      </c>
      <c r="E18" s="41" t="s">
        <v>21</v>
      </c>
      <c r="F18" s="41" t="s">
        <v>16</v>
      </c>
      <c r="G18" s="41" t="s">
        <v>17</v>
      </c>
      <c r="H18" s="41" t="s">
        <v>18</v>
      </c>
      <c r="I18" s="42">
        <v>44934.0</v>
      </c>
      <c r="J18" s="41">
        <v>270.0</v>
      </c>
      <c r="K18" s="43">
        <v>332.11</v>
      </c>
      <c r="L18" s="43">
        <v>349.59</v>
      </c>
      <c r="M18" s="43">
        <v>89669.7</v>
      </c>
      <c r="N18" s="43">
        <v>94389.29999999999</v>
      </c>
      <c r="O18" s="43">
        <v>-4719.599999999991</v>
      </c>
      <c r="P18" s="44">
        <v>-0.05263316371081861</v>
      </c>
    </row>
    <row r="19" ht="14.25" customHeight="1">
      <c r="C19" s="41" t="s">
        <v>37</v>
      </c>
      <c r="D19" s="41" t="s">
        <v>14</v>
      </c>
      <c r="E19" s="41" t="s">
        <v>21</v>
      </c>
      <c r="F19" s="41" t="s">
        <v>16</v>
      </c>
      <c r="G19" s="41" t="s">
        <v>17</v>
      </c>
      <c r="H19" s="41" t="s">
        <v>23</v>
      </c>
      <c r="I19" s="42">
        <v>44935.0</v>
      </c>
      <c r="J19" s="41">
        <v>404.0</v>
      </c>
      <c r="K19" s="43">
        <v>278.74</v>
      </c>
      <c r="L19" s="43">
        <v>66.38</v>
      </c>
      <c r="M19" s="43">
        <v>112610.96</v>
      </c>
      <c r="N19" s="43">
        <v>26817.519999999997</v>
      </c>
      <c r="O19" s="43">
        <v>85793.44</v>
      </c>
      <c r="P19" s="44">
        <v>0.7618569276027839</v>
      </c>
    </row>
    <row r="20" ht="14.25" customHeight="1">
      <c r="C20" s="41" t="s">
        <v>38</v>
      </c>
      <c r="D20" s="41" t="s">
        <v>39</v>
      </c>
      <c r="E20" s="41" t="s">
        <v>29</v>
      </c>
      <c r="F20" s="41" t="s">
        <v>30</v>
      </c>
      <c r="G20" s="41" t="s">
        <v>17</v>
      </c>
      <c r="H20" s="41" t="s">
        <v>31</v>
      </c>
      <c r="I20" s="42">
        <v>44936.0</v>
      </c>
      <c r="J20" s="41">
        <v>452.0</v>
      </c>
      <c r="K20" s="43">
        <v>300.75</v>
      </c>
      <c r="L20" s="43">
        <v>314.94</v>
      </c>
      <c r="M20" s="43">
        <v>135939.0</v>
      </c>
      <c r="N20" s="43">
        <v>142352.88</v>
      </c>
      <c r="O20" s="43">
        <v>-6413.880000000005</v>
      </c>
      <c r="P20" s="44">
        <v>-0.047182044887780585</v>
      </c>
      <c r="U20" s="30" t="s">
        <v>503</v>
      </c>
    </row>
    <row r="21" ht="14.25" customHeight="1">
      <c r="C21" s="41" t="s">
        <v>40</v>
      </c>
      <c r="D21" s="41" t="s">
        <v>14</v>
      </c>
      <c r="E21" s="41" t="s">
        <v>29</v>
      </c>
      <c r="F21" s="41" t="s">
        <v>22</v>
      </c>
      <c r="G21" s="41" t="s">
        <v>17</v>
      </c>
      <c r="H21" s="41" t="s">
        <v>23</v>
      </c>
      <c r="I21" s="42">
        <v>44937.0</v>
      </c>
      <c r="J21" s="41">
        <v>235.0</v>
      </c>
      <c r="K21" s="43">
        <v>393.0</v>
      </c>
      <c r="L21" s="43">
        <v>230.69</v>
      </c>
      <c r="M21" s="43">
        <v>92355.0</v>
      </c>
      <c r="N21" s="43">
        <v>54212.15</v>
      </c>
      <c r="O21" s="43">
        <v>38142.85</v>
      </c>
      <c r="P21" s="44">
        <v>0.41300254452926205</v>
      </c>
      <c r="U21" s="49"/>
    </row>
    <row r="22" ht="14.25" customHeight="1">
      <c r="C22" s="41" t="s">
        <v>41</v>
      </c>
      <c r="D22" s="41" t="s">
        <v>14</v>
      </c>
      <c r="E22" s="41" t="s">
        <v>34</v>
      </c>
      <c r="F22" s="41" t="s">
        <v>30</v>
      </c>
      <c r="G22" s="41" t="s">
        <v>27</v>
      </c>
      <c r="H22" s="41" t="s">
        <v>31</v>
      </c>
      <c r="I22" s="42">
        <v>44938.0</v>
      </c>
      <c r="J22" s="41">
        <v>481.0</v>
      </c>
      <c r="K22" s="43">
        <v>243.05</v>
      </c>
      <c r="L22" s="43">
        <v>227.5</v>
      </c>
      <c r="M22" s="43">
        <v>116907.05</v>
      </c>
      <c r="N22" s="43">
        <v>109427.5</v>
      </c>
      <c r="O22" s="43">
        <v>7479.550000000003</v>
      </c>
      <c r="P22" s="44">
        <v>0.06397860522526232</v>
      </c>
      <c r="U22" s="25" t="s">
        <v>504</v>
      </c>
    </row>
    <row r="23" ht="14.25" customHeight="1">
      <c r="C23" s="41" t="s">
        <v>42</v>
      </c>
      <c r="D23" s="41" t="s">
        <v>14</v>
      </c>
      <c r="E23" s="41" t="s">
        <v>15</v>
      </c>
      <c r="F23" s="41" t="s">
        <v>22</v>
      </c>
      <c r="G23" s="41" t="s">
        <v>27</v>
      </c>
      <c r="H23" s="41" t="s">
        <v>23</v>
      </c>
      <c r="I23" s="42">
        <v>44939.0</v>
      </c>
      <c r="J23" s="41">
        <v>133.0</v>
      </c>
      <c r="K23" s="43">
        <v>25.17</v>
      </c>
      <c r="L23" s="43">
        <v>157.64</v>
      </c>
      <c r="M23" s="43">
        <v>3347.61</v>
      </c>
      <c r="N23" s="43">
        <v>20966.12</v>
      </c>
      <c r="O23" s="43">
        <v>-17618.51</v>
      </c>
      <c r="P23" s="44">
        <v>-5.263011521652761</v>
      </c>
    </row>
    <row r="24" ht="14.25" customHeight="1">
      <c r="C24" s="41" t="s">
        <v>43</v>
      </c>
      <c r="D24" s="41" t="s">
        <v>14</v>
      </c>
      <c r="E24" s="41" t="s">
        <v>29</v>
      </c>
      <c r="F24" s="41" t="s">
        <v>22</v>
      </c>
      <c r="G24" s="41" t="s">
        <v>27</v>
      </c>
      <c r="H24" s="41" t="s">
        <v>23</v>
      </c>
      <c r="I24" s="42">
        <v>44940.0</v>
      </c>
      <c r="J24" s="41">
        <v>472.0</v>
      </c>
      <c r="K24" s="43">
        <v>86.18</v>
      </c>
      <c r="L24" s="43">
        <v>201.46</v>
      </c>
      <c r="M24" s="43">
        <v>40676.96000000001</v>
      </c>
      <c r="N24" s="43">
        <v>95089.12000000001</v>
      </c>
      <c r="O24" s="43">
        <v>-54412.16</v>
      </c>
      <c r="P24" s="44">
        <v>-1.337665351589696</v>
      </c>
      <c r="U24" s="66" t="s">
        <v>505</v>
      </c>
    </row>
    <row r="25" ht="14.25" customHeight="1">
      <c r="C25" s="41" t="s">
        <v>44</v>
      </c>
      <c r="D25" s="41" t="s">
        <v>20</v>
      </c>
      <c r="E25" s="41" t="s">
        <v>21</v>
      </c>
      <c r="F25" s="41" t="s">
        <v>16</v>
      </c>
      <c r="G25" s="41" t="s">
        <v>27</v>
      </c>
      <c r="H25" s="41" t="s">
        <v>23</v>
      </c>
      <c r="I25" s="42">
        <v>44941.0</v>
      </c>
      <c r="J25" s="41">
        <v>47.0</v>
      </c>
      <c r="K25" s="43">
        <v>222.11</v>
      </c>
      <c r="L25" s="43">
        <v>160.08</v>
      </c>
      <c r="M25" s="43">
        <v>10439.17</v>
      </c>
      <c r="N25" s="43">
        <v>7523.76</v>
      </c>
      <c r="O25" s="43">
        <v>2915.41</v>
      </c>
      <c r="P25" s="44">
        <v>0.27927603439737064</v>
      </c>
    </row>
    <row r="26" ht="14.25" customHeight="1">
      <c r="C26" s="41" t="s">
        <v>45</v>
      </c>
      <c r="D26" s="41" t="s">
        <v>25</v>
      </c>
      <c r="E26" s="41" t="s">
        <v>15</v>
      </c>
      <c r="F26" s="41" t="s">
        <v>46</v>
      </c>
      <c r="G26" s="41" t="s">
        <v>17</v>
      </c>
      <c r="H26" s="41" t="s">
        <v>18</v>
      </c>
      <c r="I26" s="42">
        <v>44942.0</v>
      </c>
      <c r="J26" s="41">
        <v>337.0</v>
      </c>
      <c r="K26" s="43">
        <v>363.79</v>
      </c>
      <c r="L26" s="43">
        <v>216.81</v>
      </c>
      <c r="M26" s="43">
        <v>122597.23000000001</v>
      </c>
      <c r="N26" s="43">
        <v>73064.97</v>
      </c>
      <c r="O26" s="43">
        <v>49532.26000000001</v>
      </c>
      <c r="P26" s="44">
        <v>0.4040242997333627</v>
      </c>
    </row>
    <row r="27" ht="14.25" customHeight="1">
      <c r="C27" s="41" t="s">
        <v>47</v>
      </c>
      <c r="D27" s="41" t="s">
        <v>20</v>
      </c>
      <c r="E27" s="41" t="s">
        <v>15</v>
      </c>
      <c r="F27" s="41" t="s">
        <v>46</v>
      </c>
      <c r="G27" s="41" t="s">
        <v>17</v>
      </c>
      <c r="H27" s="41" t="s">
        <v>18</v>
      </c>
      <c r="I27" s="42">
        <v>44943.0</v>
      </c>
      <c r="J27" s="41">
        <v>260.0</v>
      </c>
      <c r="K27" s="43">
        <v>298.67</v>
      </c>
      <c r="L27" s="43">
        <v>251.92</v>
      </c>
      <c r="M27" s="43">
        <v>77654.2</v>
      </c>
      <c r="N27" s="43">
        <v>65499.2</v>
      </c>
      <c r="O27" s="43">
        <v>12155.0</v>
      </c>
      <c r="P27" s="44">
        <v>0.15652727090099441</v>
      </c>
    </row>
    <row r="28" ht="14.25" customHeight="1">
      <c r="C28" s="41" t="s">
        <v>48</v>
      </c>
      <c r="D28" s="41" t="s">
        <v>39</v>
      </c>
      <c r="E28" s="41" t="s">
        <v>21</v>
      </c>
      <c r="F28" s="41" t="s">
        <v>26</v>
      </c>
      <c r="G28" s="41" t="s">
        <v>27</v>
      </c>
      <c r="H28" s="41" t="s">
        <v>31</v>
      </c>
      <c r="I28" s="42">
        <v>44944.0</v>
      </c>
      <c r="J28" s="41">
        <v>398.0</v>
      </c>
      <c r="K28" s="43">
        <v>326.9</v>
      </c>
      <c r="L28" s="43">
        <v>270.37</v>
      </c>
      <c r="M28" s="43">
        <v>130106.2</v>
      </c>
      <c r="N28" s="43">
        <v>107607.26</v>
      </c>
      <c r="O28" s="43">
        <v>22498.940000000002</v>
      </c>
      <c r="P28" s="44">
        <v>0.17292750076475988</v>
      </c>
    </row>
    <row r="29" ht="14.25" customHeight="1">
      <c r="C29" s="41" t="s">
        <v>49</v>
      </c>
      <c r="D29" s="41" t="s">
        <v>20</v>
      </c>
      <c r="E29" s="41" t="s">
        <v>29</v>
      </c>
      <c r="F29" s="41" t="s">
        <v>16</v>
      </c>
      <c r="G29" s="41" t="s">
        <v>17</v>
      </c>
      <c r="H29" s="41" t="s">
        <v>31</v>
      </c>
      <c r="I29" s="42">
        <v>44945.0</v>
      </c>
      <c r="J29" s="41">
        <v>185.0</v>
      </c>
      <c r="K29" s="43">
        <v>242.24</v>
      </c>
      <c r="L29" s="43">
        <v>213.93</v>
      </c>
      <c r="M29" s="43">
        <v>44814.4</v>
      </c>
      <c r="N29" s="43">
        <v>39577.05</v>
      </c>
      <c r="O29" s="43">
        <v>5237.3499999999985</v>
      </c>
      <c r="P29" s="44">
        <v>0.11686756935270802</v>
      </c>
      <c r="U29" s="24" t="s">
        <v>506</v>
      </c>
    </row>
    <row r="30" ht="14.25" customHeight="1">
      <c r="C30" s="41" t="s">
        <v>50</v>
      </c>
      <c r="D30" s="41" t="s">
        <v>14</v>
      </c>
      <c r="E30" s="41" t="s">
        <v>21</v>
      </c>
      <c r="F30" s="41" t="s">
        <v>22</v>
      </c>
      <c r="G30" s="41" t="s">
        <v>27</v>
      </c>
      <c r="H30" s="41" t="s">
        <v>18</v>
      </c>
      <c r="I30" s="42">
        <v>44946.0</v>
      </c>
      <c r="J30" s="41">
        <v>99.0</v>
      </c>
      <c r="K30" s="43">
        <v>309.79</v>
      </c>
      <c r="L30" s="43">
        <v>289.13</v>
      </c>
      <c r="M30" s="43">
        <v>30669.210000000003</v>
      </c>
      <c r="N30" s="43">
        <v>28623.87</v>
      </c>
      <c r="O30" s="43">
        <v>2045.3400000000038</v>
      </c>
      <c r="P30" s="44">
        <v>0.06669033861648226</v>
      </c>
    </row>
    <row r="31" ht="14.25" customHeight="1">
      <c r="C31" s="41" t="s">
        <v>51</v>
      </c>
      <c r="D31" s="41" t="s">
        <v>52</v>
      </c>
      <c r="E31" s="41" t="s">
        <v>15</v>
      </c>
      <c r="F31" s="41" t="s">
        <v>46</v>
      </c>
      <c r="G31" s="41" t="s">
        <v>27</v>
      </c>
      <c r="H31" s="41" t="s">
        <v>31</v>
      </c>
      <c r="I31" s="42">
        <v>44947.0</v>
      </c>
      <c r="J31" s="41">
        <v>411.0</v>
      </c>
      <c r="K31" s="43">
        <v>167.86</v>
      </c>
      <c r="L31" s="43">
        <v>58.23</v>
      </c>
      <c r="M31" s="43">
        <v>68990.46</v>
      </c>
      <c r="N31" s="43">
        <v>23932.53</v>
      </c>
      <c r="O31" s="43">
        <v>45057.93000000001</v>
      </c>
      <c r="P31" s="44">
        <v>0.6531037769569881</v>
      </c>
      <c r="U31" s="66" t="s">
        <v>507</v>
      </c>
    </row>
    <row r="32" ht="14.25" customHeight="1">
      <c r="C32" s="41" t="s">
        <v>53</v>
      </c>
      <c r="D32" s="41" t="s">
        <v>25</v>
      </c>
      <c r="E32" s="41" t="s">
        <v>54</v>
      </c>
      <c r="F32" s="41" t="s">
        <v>22</v>
      </c>
      <c r="G32" s="41" t="s">
        <v>27</v>
      </c>
      <c r="H32" s="41" t="s">
        <v>18</v>
      </c>
      <c r="I32" s="42">
        <v>44948.0</v>
      </c>
      <c r="J32" s="41">
        <v>463.0</v>
      </c>
      <c r="K32" s="43">
        <v>237.74</v>
      </c>
      <c r="L32" s="43">
        <v>86.37</v>
      </c>
      <c r="M32" s="43">
        <v>110073.62000000001</v>
      </c>
      <c r="N32" s="43">
        <v>39989.310000000005</v>
      </c>
      <c r="O32" s="43">
        <v>70084.31</v>
      </c>
      <c r="P32" s="44">
        <v>0.6367039623117691</v>
      </c>
    </row>
    <row r="33" ht="14.25" customHeight="1">
      <c r="C33" s="41" t="s">
        <v>55</v>
      </c>
      <c r="D33" s="41" t="s">
        <v>52</v>
      </c>
      <c r="E33" s="41" t="s">
        <v>54</v>
      </c>
      <c r="F33" s="41" t="s">
        <v>46</v>
      </c>
      <c r="G33" s="41" t="s">
        <v>17</v>
      </c>
      <c r="H33" s="41" t="s">
        <v>23</v>
      </c>
      <c r="I33" s="42">
        <v>44949.0</v>
      </c>
      <c r="J33" s="41">
        <v>46.0</v>
      </c>
      <c r="K33" s="43">
        <v>373.42</v>
      </c>
      <c r="L33" s="43">
        <v>327.86</v>
      </c>
      <c r="M33" s="43">
        <v>17177.32</v>
      </c>
      <c r="N33" s="43">
        <v>15081.560000000001</v>
      </c>
      <c r="O33" s="43">
        <v>2095.7599999999984</v>
      </c>
      <c r="P33" s="44">
        <v>0.1220073911413421</v>
      </c>
    </row>
    <row r="34" ht="14.25" customHeight="1">
      <c r="C34" s="41" t="s">
        <v>56</v>
      </c>
      <c r="D34" s="41" t="s">
        <v>20</v>
      </c>
      <c r="E34" s="41" t="s">
        <v>34</v>
      </c>
      <c r="F34" s="41" t="s">
        <v>46</v>
      </c>
      <c r="G34" s="41" t="s">
        <v>27</v>
      </c>
      <c r="H34" s="41" t="s">
        <v>31</v>
      </c>
      <c r="I34" s="42">
        <v>44950.0</v>
      </c>
      <c r="J34" s="41">
        <v>325.0</v>
      </c>
      <c r="K34" s="43">
        <v>436.56</v>
      </c>
      <c r="L34" s="43">
        <v>130.37</v>
      </c>
      <c r="M34" s="43">
        <v>141882.0</v>
      </c>
      <c r="N34" s="43">
        <v>42370.25</v>
      </c>
      <c r="O34" s="43">
        <v>99511.75</v>
      </c>
      <c r="P34" s="44">
        <v>0.7013698002565513</v>
      </c>
    </row>
    <row r="35" ht="14.25" customHeight="1">
      <c r="C35" s="41" t="s">
        <v>57</v>
      </c>
      <c r="D35" s="41" t="s">
        <v>20</v>
      </c>
      <c r="E35" s="41" t="s">
        <v>21</v>
      </c>
      <c r="F35" s="41" t="s">
        <v>39</v>
      </c>
      <c r="G35" s="41" t="s">
        <v>27</v>
      </c>
      <c r="H35" s="41" t="s">
        <v>31</v>
      </c>
      <c r="I35" s="42">
        <v>44951.0</v>
      </c>
      <c r="J35" s="41">
        <v>185.0</v>
      </c>
      <c r="K35" s="43">
        <v>219.66</v>
      </c>
      <c r="L35" s="43">
        <v>11.11</v>
      </c>
      <c r="M35" s="43">
        <v>40637.1</v>
      </c>
      <c r="N35" s="43">
        <v>2055.35</v>
      </c>
      <c r="O35" s="43">
        <v>38581.75</v>
      </c>
      <c r="P35" s="44">
        <v>0.9494218337430574</v>
      </c>
    </row>
    <row r="36" ht="14.25" customHeight="1">
      <c r="C36" s="41" t="s">
        <v>58</v>
      </c>
      <c r="D36" s="41" t="s">
        <v>52</v>
      </c>
      <c r="E36" s="41" t="s">
        <v>21</v>
      </c>
      <c r="F36" s="41" t="s">
        <v>16</v>
      </c>
      <c r="G36" s="41" t="s">
        <v>27</v>
      </c>
      <c r="H36" s="41" t="s">
        <v>18</v>
      </c>
      <c r="I36" s="42">
        <v>44952.0</v>
      </c>
      <c r="J36" s="41">
        <v>470.0</v>
      </c>
      <c r="K36" s="43">
        <v>26.61</v>
      </c>
      <c r="L36" s="43">
        <v>63.21</v>
      </c>
      <c r="M36" s="43">
        <v>12506.699999999999</v>
      </c>
      <c r="N36" s="43">
        <v>29708.7</v>
      </c>
      <c r="O36" s="43">
        <v>-17202.0</v>
      </c>
      <c r="P36" s="44">
        <v>-1.3754227733934612</v>
      </c>
    </row>
    <row r="37" ht="14.25" customHeight="1">
      <c r="C37" s="41" t="s">
        <v>59</v>
      </c>
      <c r="D37" s="41" t="s">
        <v>52</v>
      </c>
      <c r="E37" s="41" t="s">
        <v>34</v>
      </c>
      <c r="F37" s="41" t="s">
        <v>30</v>
      </c>
      <c r="G37" s="41" t="s">
        <v>17</v>
      </c>
      <c r="H37" s="41" t="s">
        <v>31</v>
      </c>
      <c r="I37" s="42">
        <v>44953.0</v>
      </c>
      <c r="J37" s="41">
        <v>293.0</v>
      </c>
      <c r="K37" s="43">
        <v>85.03</v>
      </c>
      <c r="L37" s="43">
        <v>91.0</v>
      </c>
      <c r="M37" s="43">
        <v>24913.79</v>
      </c>
      <c r="N37" s="43">
        <v>26663.0</v>
      </c>
      <c r="O37" s="43">
        <v>-1749.2099999999991</v>
      </c>
      <c r="P37" s="44">
        <v>-0.07021051393625775</v>
      </c>
    </row>
    <row r="38" ht="14.25" customHeight="1">
      <c r="C38" s="41" t="s">
        <v>60</v>
      </c>
      <c r="D38" s="41" t="s">
        <v>52</v>
      </c>
      <c r="E38" s="41" t="s">
        <v>34</v>
      </c>
      <c r="F38" s="41" t="s">
        <v>22</v>
      </c>
      <c r="G38" s="41" t="s">
        <v>17</v>
      </c>
      <c r="H38" s="41" t="s">
        <v>31</v>
      </c>
      <c r="I38" s="42">
        <v>44954.0</v>
      </c>
      <c r="J38" s="41">
        <v>462.0</v>
      </c>
      <c r="K38" s="43">
        <v>249.64520588235297</v>
      </c>
      <c r="L38" s="43">
        <v>383.01</v>
      </c>
      <c r="M38" s="43">
        <v>115336.08511764708</v>
      </c>
      <c r="N38" s="43">
        <v>176950.62</v>
      </c>
      <c r="O38" s="43">
        <v>-61614.53488235292</v>
      </c>
      <c r="P38" s="44">
        <v>-0.5342173251285911</v>
      </c>
    </row>
    <row r="39" ht="14.25" customHeight="1">
      <c r="C39" s="41" t="s">
        <v>61</v>
      </c>
      <c r="D39" s="41" t="s">
        <v>20</v>
      </c>
      <c r="E39" s="41" t="s">
        <v>34</v>
      </c>
      <c r="F39" s="41" t="s">
        <v>16</v>
      </c>
      <c r="G39" s="41" t="s">
        <v>27</v>
      </c>
      <c r="H39" s="41" t="s">
        <v>23</v>
      </c>
      <c r="I39" s="42">
        <v>44955.0</v>
      </c>
      <c r="J39" s="41">
        <v>470.0</v>
      </c>
      <c r="K39" s="43">
        <v>328.37</v>
      </c>
      <c r="L39" s="43">
        <v>230.07</v>
      </c>
      <c r="M39" s="43">
        <v>154333.9</v>
      </c>
      <c r="N39" s="43">
        <v>108132.9</v>
      </c>
      <c r="O39" s="43">
        <v>46201.0</v>
      </c>
      <c r="P39" s="44">
        <v>0.29935743216493593</v>
      </c>
    </row>
    <row r="40" ht="14.25" customHeight="1">
      <c r="C40" s="41" t="s">
        <v>62</v>
      </c>
      <c r="D40" s="41" t="s">
        <v>20</v>
      </c>
      <c r="E40" s="41" t="s">
        <v>15</v>
      </c>
      <c r="F40" s="41" t="s">
        <v>16</v>
      </c>
      <c r="G40" s="41" t="s">
        <v>17</v>
      </c>
      <c r="H40" s="41" t="s">
        <v>31</v>
      </c>
      <c r="I40" s="42">
        <v>44956.0</v>
      </c>
      <c r="J40" s="41">
        <v>90.0</v>
      </c>
      <c r="K40" s="43">
        <v>169.5</v>
      </c>
      <c r="L40" s="43">
        <v>373.23</v>
      </c>
      <c r="M40" s="43">
        <v>15255.0</v>
      </c>
      <c r="N40" s="43">
        <v>33590.700000000004</v>
      </c>
      <c r="O40" s="43">
        <v>-18335.700000000004</v>
      </c>
      <c r="P40" s="44">
        <v>-1.2019469026548675</v>
      </c>
    </row>
    <row r="41" ht="14.25" customHeight="1">
      <c r="C41" s="41" t="s">
        <v>63</v>
      </c>
      <c r="D41" s="41" t="s">
        <v>39</v>
      </c>
      <c r="E41" s="41" t="s">
        <v>21</v>
      </c>
      <c r="F41" s="41" t="s">
        <v>16</v>
      </c>
      <c r="G41" s="41" t="s">
        <v>17</v>
      </c>
      <c r="H41" s="41" t="s">
        <v>23</v>
      </c>
      <c r="I41" s="42">
        <v>44957.0</v>
      </c>
      <c r="J41" s="41">
        <v>123.0</v>
      </c>
      <c r="K41" s="43">
        <v>273.53</v>
      </c>
      <c r="L41" s="43">
        <v>230.92</v>
      </c>
      <c r="M41" s="43">
        <v>33644.189999999995</v>
      </c>
      <c r="N41" s="43">
        <v>28403.16</v>
      </c>
      <c r="O41" s="43">
        <v>5241.029999999995</v>
      </c>
      <c r="P41" s="44">
        <v>0.15577815961686092</v>
      </c>
    </row>
    <row r="42" ht="14.25" customHeight="1">
      <c r="C42" s="41" t="s">
        <v>64</v>
      </c>
      <c r="D42" s="41" t="s">
        <v>25</v>
      </c>
      <c r="E42" s="41" t="s">
        <v>15</v>
      </c>
      <c r="F42" s="41" t="s">
        <v>16</v>
      </c>
      <c r="G42" s="41" t="s">
        <v>17</v>
      </c>
      <c r="H42" s="41" t="s">
        <v>18</v>
      </c>
      <c r="I42" s="42">
        <v>44958.0</v>
      </c>
      <c r="J42" s="41">
        <v>49.0</v>
      </c>
      <c r="K42" s="43">
        <v>249.17</v>
      </c>
      <c r="L42" s="43">
        <v>192.78</v>
      </c>
      <c r="M42" s="43">
        <v>12209.33</v>
      </c>
      <c r="N42" s="43">
        <v>9446.22</v>
      </c>
      <c r="O42" s="43">
        <v>2763.1100000000006</v>
      </c>
      <c r="P42" s="44">
        <v>0.226311353694265</v>
      </c>
    </row>
    <row r="43" ht="14.25" customHeight="1">
      <c r="C43" s="41" t="s">
        <v>65</v>
      </c>
      <c r="D43" s="41" t="s">
        <v>20</v>
      </c>
      <c r="E43" s="41" t="s">
        <v>34</v>
      </c>
      <c r="F43" s="41" t="s">
        <v>16</v>
      </c>
      <c r="G43" s="41" t="s">
        <v>17</v>
      </c>
      <c r="H43" s="41" t="s">
        <v>31</v>
      </c>
      <c r="I43" s="42">
        <v>44959.0</v>
      </c>
      <c r="J43" s="41">
        <v>310.0</v>
      </c>
      <c r="K43" s="43">
        <v>45.36</v>
      </c>
      <c r="L43" s="43">
        <v>126.86</v>
      </c>
      <c r="M43" s="43">
        <v>14061.6</v>
      </c>
      <c r="N43" s="43">
        <v>39326.6</v>
      </c>
      <c r="O43" s="43">
        <v>-25265.0</v>
      </c>
      <c r="P43" s="44">
        <v>-1.79673721340388</v>
      </c>
    </row>
    <row r="44" ht="14.25" customHeight="1">
      <c r="C44" s="41" t="s">
        <v>66</v>
      </c>
      <c r="D44" s="41" t="s">
        <v>52</v>
      </c>
      <c r="E44" s="41" t="s">
        <v>21</v>
      </c>
      <c r="F44" s="41" t="s">
        <v>26</v>
      </c>
      <c r="G44" s="41" t="s">
        <v>17</v>
      </c>
      <c r="H44" s="41" t="s">
        <v>23</v>
      </c>
      <c r="I44" s="42">
        <v>44960.0</v>
      </c>
      <c r="J44" s="41">
        <v>233.0</v>
      </c>
      <c r="K44" s="43">
        <v>204.61</v>
      </c>
      <c r="L44" s="43">
        <v>243.34</v>
      </c>
      <c r="M44" s="43">
        <v>47674.130000000005</v>
      </c>
      <c r="N44" s="43">
        <v>56698.22</v>
      </c>
      <c r="O44" s="43">
        <v>-9024.089999999997</v>
      </c>
      <c r="P44" s="44">
        <v>-0.18928693612237907</v>
      </c>
    </row>
    <row r="45" ht="14.25" customHeight="1">
      <c r="C45" s="41" t="s">
        <v>67</v>
      </c>
      <c r="D45" s="41" t="s">
        <v>52</v>
      </c>
      <c r="E45" s="41" t="s">
        <v>15</v>
      </c>
      <c r="F45" s="41" t="s">
        <v>22</v>
      </c>
      <c r="G45" s="41" t="s">
        <v>17</v>
      </c>
      <c r="H45" s="41" t="s">
        <v>18</v>
      </c>
      <c r="I45" s="42">
        <v>44961.0</v>
      </c>
      <c r="J45" s="41">
        <v>327.0</v>
      </c>
      <c r="K45" s="43">
        <v>114.18</v>
      </c>
      <c r="L45" s="43">
        <v>57.4</v>
      </c>
      <c r="M45" s="43">
        <v>37336.86</v>
      </c>
      <c r="N45" s="43">
        <v>18769.8</v>
      </c>
      <c r="O45" s="43">
        <v>18567.06</v>
      </c>
      <c r="P45" s="44">
        <v>0.4972849886144684</v>
      </c>
    </row>
    <row r="46" ht="14.25" customHeight="1">
      <c r="C46" s="41" t="s">
        <v>68</v>
      </c>
      <c r="D46" s="41" t="s">
        <v>25</v>
      </c>
      <c r="E46" s="41" t="s">
        <v>15</v>
      </c>
      <c r="F46" s="41" t="s">
        <v>16</v>
      </c>
      <c r="G46" s="41" t="s">
        <v>17</v>
      </c>
      <c r="H46" s="41" t="s">
        <v>31</v>
      </c>
      <c r="I46" s="42">
        <v>44962.0</v>
      </c>
      <c r="J46" s="41">
        <v>358.0</v>
      </c>
      <c r="K46" s="43">
        <v>212.11</v>
      </c>
      <c r="L46" s="43">
        <v>359.51</v>
      </c>
      <c r="M46" s="43">
        <v>75935.38</v>
      </c>
      <c r="N46" s="43">
        <v>128704.58</v>
      </c>
      <c r="O46" s="43">
        <v>-52769.2</v>
      </c>
      <c r="P46" s="44">
        <v>-0.6949224459007118</v>
      </c>
    </row>
    <row r="47" ht="14.25" customHeight="1">
      <c r="C47" s="41" t="s">
        <v>69</v>
      </c>
      <c r="D47" s="41" t="s">
        <v>20</v>
      </c>
      <c r="E47" s="41" t="s">
        <v>34</v>
      </c>
      <c r="F47" s="41" t="s">
        <v>22</v>
      </c>
      <c r="G47" s="41" t="s">
        <v>17</v>
      </c>
      <c r="H47" s="41" t="s">
        <v>18</v>
      </c>
      <c r="I47" s="42">
        <v>44963.0</v>
      </c>
      <c r="J47" s="41">
        <v>124.0</v>
      </c>
      <c r="K47" s="43">
        <v>249.64520588235297</v>
      </c>
      <c r="L47" s="43">
        <v>332.07</v>
      </c>
      <c r="M47" s="43">
        <v>30956.005529411766</v>
      </c>
      <c r="N47" s="43">
        <v>41176.68</v>
      </c>
      <c r="O47" s="43">
        <v>-10220.674470588234</v>
      </c>
      <c r="P47" s="44">
        <v>-0.3301677427624639</v>
      </c>
    </row>
    <row r="48" ht="14.25" customHeight="1">
      <c r="C48" s="41" t="s">
        <v>70</v>
      </c>
      <c r="D48" s="41" t="s">
        <v>25</v>
      </c>
      <c r="E48" s="41" t="s">
        <v>21</v>
      </c>
      <c r="F48" s="41" t="s">
        <v>26</v>
      </c>
      <c r="G48" s="41" t="s">
        <v>17</v>
      </c>
      <c r="H48" s="41" t="s">
        <v>31</v>
      </c>
      <c r="I48" s="42">
        <v>44964.0</v>
      </c>
      <c r="J48" s="41">
        <v>195.0</v>
      </c>
      <c r="K48" s="43">
        <v>421.02</v>
      </c>
      <c r="L48" s="43">
        <v>128.38</v>
      </c>
      <c r="M48" s="43">
        <v>82098.9</v>
      </c>
      <c r="N48" s="43">
        <v>25034.1</v>
      </c>
      <c r="O48" s="43">
        <v>57064.799999999996</v>
      </c>
      <c r="P48" s="44">
        <v>0.6950738682247875</v>
      </c>
    </row>
    <row r="49" ht="14.25" customHeight="1">
      <c r="C49" s="41" t="s">
        <v>71</v>
      </c>
      <c r="D49" s="41" t="s">
        <v>25</v>
      </c>
      <c r="E49" s="41" t="s">
        <v>34</v>
      </c>
      <c r="F49" s="41" t="s">
        <v>26</v>
      </c>
      <c r="G49" s="41" t="s">
        <v>17</v>
      </c>
      <c r="H49" s="41" t="s">
        <v>18</v>
      </c>
      <c r="I49" s="42">
        <v>44965.0</v>
      </c>
      <c r="J49" s="45">
        <v>255.9029411764706</v>
      </c>
      <c r="K49" s="43">
        <v>91.23</v>
      </c>
      <c r="L49" s="43">
        <v>381.21</v>
      </c>
      <c r="M49" s="43">
        <v>23346.02532352941</v>
      </c>
      <c r="N49" s="43">
        <v>97552.76020588235</v>
      </c>
      <c r="O49" s="43">
        <v>-74206.73488235295</v>
      </c>
      <c r="P49" s="44">
        <v>-3.1785596843143704</v>
      </c>
    </row>
    <row r="50" ht="14.25" customHeight="1">
      <c r="C50" s="41" t="s">
        <v>72</v>
      </c>
      <c r="D50" s="41" t="s">
        <v>14</v>
      </c>
      <c r="E50" s="41" t="s">
        <v>21</v>
      </c>
      <c r="F50" s="41" t="s">
        <v>22</v>
      </c>
      <c r="G50" s="41" t="s">
        <v>27</v>
      </c>
      <c r="H50" s="41" t="s">
        <v>18</v>
      </c>
      <c r="I50" s="42">
        <v>44966.0</v>
      </c>
      <c r="J50" s="41">
        <v>65.0</v>
      </c>
      <c r="K50" s="43">
        <v>480.59</v>
      </c>
      <c r="L50" s="43">
        <v>330.43</v>
      </c>
      <c r="M50" s="43">
        <v>31238.35</v>
      </c>
      <c r="N50" s="43">
        <v>21477.95</v>
      </c>
      <c r="O50" s="43">
        <v>9760.399999999998</v>
      </c>
      <c r="P50" s="44">
        <v>0.31244928109199105</v>
      </c>
    </row>
    <row r="51" ht="14.25" customHeight="1">
      <c r="C51" s="41" t="s">
        <v>73</v>
      </c>
      <c r="D51" s="41" t="s">
        <v>14</v>
      </c>
      <c r="E51" s="41" t="s">
        <v>54</v>
      </c>
      <c r="F51" s="41" t="s">
        <v>46</v>
      </c>
      <c r="G51" s="41" t="s">
        <v>27</v>
      </c>
      <c r="H51" s="41" t="s">
        <v>23</v>
      </c>
      <c r="I51" s="42">
        <v>44967.0</v>
      </c>
      <c r="J51" s="41">
        <v>49.0</v>
      </c>
      <c r="K51" s="43">
        <v>210.87</v>
      </c>
      <c r="L51" s="43">
        <v>267.19</v>
      </c>
      <c r="M51" s="43">
        <v>10332.630000000001</v>
      </c>
      <c r="N51" s="43">
        <v>13092.31</v>
      </c>
      <c r="O51" s="43">
        <v>-2759.6799999999985</v>
      </c>
      <c r="P51" s="44">
        <v>-0.26708398539384437</v>
      </c>
    </row>
    <row r="52" ht="14.25" customHeight="1">
      <c r="C52" s="41" t="s">
        <v>74</v>
      </c>
      <c r="D52" s="41" t="s">
        <v>14</v>
      </c>
      <c r="E52" s="41" t="s">
        <v>29</v>
      </c>
      <c r="F52" s="41" t="s">
        <v>30</v>
      </c>
      <c r="G52" s="41" t="s">
        <v>17</v>
      </c>
      <c r="H52" s="41" t="s">
        <v>18</v>
      </c>
      <c r="I52" s="42">
        <v>44968.0</v>
      </c>
      <c r="J52" s="41">
        <v>363.0</v>
      </c>
      <c r="K52" s="43">
        <v>423.89</v>
      </c>
      <c r="L52" s="43">
        <v>50.46</v>
      </c>
      <c r="M52" s="43">
        <v>153872.07</v>
      </c>
      <c r="N52" s="43">
        <v>18316.98</v>
      </c>
      <c r="O52" s="43">
        <v>135555.09</v>
      </c>
      <c r="P52" s="44">
        <v>0.8809596829366109</v>
      </c>
    </row>
    <row r="53" ht="14.25" customHeight="1">
      <c r="C53" s="41" t="s">
        <v>75</v>
      </c>
      <c r="D53" s="41" t="s">
        <v>52</v>
      </c>
      <c r="E53" s="41" t="s">
        <v>29</v>
      </c>
      <c r="F53" s="41" t="s">
        <v>46</v>
      </c>
      <c r="G53" s="41" t="s">
        <v>27</v>
      </c>
      <c r="H53" s="41" t="s">
        <v>31</v>
      </c>
      <c r="I53" s="42">
        <v>44969.0</v>
      </c>
      <c r="J53" s="41">
        <v>49.0</v>
      </c>
      <c r="K53" s="43">
        <v>316.24</v>
      </c>
      <c r="L53" s="43">
        <v>192.34</v>
      </c>
      <c r="M53" s="43">
        <v>15495.76</v>
      </c>
      <c r="N53" s="43">
        <v>9424.66</v>
      </c>
      <c r="O53" s="43">
        <v>6071.1</v>
      </c>
      <c r="P53" s="44">
        <v>0.3917910447761194</v>
      </c>
    </row>
    <row r="54" ht="14.25" customHeight="1">
      <c r="C54" s="41" t="s">
        <v>76</v>
      </c>
      <c r="D54" s="41" t="s">
        <v>20</v>
      </c>
      <c r="E54" s="41" t="s">
        <v>29</v>
      </c>
      <c r="F54" s="41" t="s">
        <v>46</v>
      </c>
      <c r="G54" s="41" t="s">
        <v>27</v>
      </c>
      <c r="H54" s="41" t="s">
        <v>31</v>
      </c>
      <c r="I54" s="42">
        <v>44970.0</v>
      </c>
      <c r="J54" s="41">
        <v>356.0</v>
      </c>
      <c r="K54" s="43">
        <v>369.0</v>
      </c>
      <c r="L54" s="43">
        <v>203.43</v>
      </c>
      <c r="M54" s="43">
        <v>131364.0</v>
      </c>
      <c r="N54" s="43">
        <v>72421.08</v>
      </c>
      <c r="O54" s="43">
        <v>58942.92</v>
      </c>
      <c r="P54" s="44">
        <v>0.4486991869918699</v>
      </c>
    </row>
    <row r="55" ht="14.25" customHeight="1">
      <c r="C55" s="41" t="s">
        <v>77</v>
      </c>
      <c r="D55" s="41" t="s">
        <v>20</v>
      </c>
      <c r="E55" s="41" t="s">
        <v>34</v>
      </c>
      <c r="F55" s="41" t="s">
        <v>46</v>
      </c>
      <c r="G55" s="41" t="s">
        <v>17</v>
      </c>
      <c r="H55" s="41" t="s">
        <v>23</v>
      </c>
      <c r="I55" s="42">
        <v>44971.0</v>
      </c>
      <c r="J55" s="41">
        <v>470.0</v>
      </c>
      <c r="K55" s="43">
        <v>249.64520588235297</v>
      </c>
      <c r="L55" s="43">
        <v>94.56</v>
      </c>
      <c r="M55" s="43">
        <v>117333.2467647059</v>
      </c>
      <c r="N55" s="43">
        <v>44443.200000000004</v>
      </c>
      <c r="O55" s="43">
        <v>72890.04676470588</v>
      </c>
      <c r="P55" s="44">
        <v>0.6212224478103454</v>
      </c>
    </row>
    <row r="56" ht="14.25" customHeight="1">
      <c r="C56" s="41" t="s">
        <v>78</v>
      </c>
      <c r="D56" s="41" t="s">
        <v>20</v>
      </c>
      <c r="E56" s="41" t="s">
        <v>54</v>
      </c>
      <c r="F56" s="41" t="s">
        <v>16</v>
      </c>
      <c r="G56" s="41" t="s">
        <v>17</v>
      </c>
      <c r="H56" s="41" t="s">
        <v>31</v>
      </c>
      <c r="I56" s="42">
        <v>44972.0</v>
      </c>
      <c r="J56" s="41">
        <v>246.0</v>
      </c>
      <c r="K56" s="43">
        <v>254.9</v>
      </c>
      <c r="L56" s="43">
        <v>33.83</v>
      </c>
      <c r="M56" s="43">
        <v>62705.4</v>
      </c>
      <c r="N56" s="43">
        <v>8322.18</v>
      </c>
      <c r="O56" s="43">
        <v>54383.22</v>
      </c>
      <c r="P56" s="44">
        <v>0.8672812867791291</v>
      </c>
    </row>
    <row r="57" ht="14.25" customHeight="1">
      <c r="C57" s="41" t="s">
        <v>79</v>
      </c>
      <c r="D57" s="41" t="s">
        <v>20</v>
      </c>
      <c r="E57" s="41" t="s">
        <v>21</v>
      </c>
      <c r="F57" s="41" t="s">
        <v>26</v>
      </c>
      <c r="G57" s="41" t="s">
        <v>17</v>
      </c>
      <c r="H57" s="41" t="s">
        <v>31</v>
      </c>
      <c r="I57" s="42">
        <v>44973.0</v>
      </c>
      <c r="J57" s="41">
        <v>298.0</v>
      </c>
      <c r="K57" s="43">
        <v>273.93</v>
      </c>
      <c r="L57" s="43">
        <v>311.14</v>
      </c>
      <c r="M57" s="43">
        <v>81631.14</v>
      </c>
      <c r="N57" s="43">
        <v>92719.72</v>
      </c>
      <c r="O57" s="43">
        <v>-11088.580000000002</v>
      </c>
      <c r="P57" s="44">
        <v>-0.1358376227503377</v>
      </c>
    </row>
    <row r="58" ht="14.25" customHeight="1">
      <c r="C58" s="41" t="s">
        <v>80</v>
      </c>
      <c r="D58" s="41" t="s">
        <v>14</v>
      </c>
      <c r="E58" s="41" t="s">
        <v>15</v>
      </c>
      <c r="F58" s="41" t="s">
        <v>46</v>
      </c>
      <c r="G58" s="41" t="s">
        <v>27</v>
      </c>
      <c r="H58" s="41" t="s">
        <v>31</v>
      </c>
      <c r="I58" s="42">
        <v>44974.0</v>
      </c>
      <c r="J58" s="41">
        <v>271.0</v>
      </c>
      <c r="K58" s="43">
        <v>259.43</v>
      </c>
      <c r="L58" s="43">
        <v>50.57</v>
      </c>
      <c r="M58" s="43">
        <v>70305.53</v>
      </c>
      <c r="N58" s="43">
        <v>13704.47</v>
      </c>
      <c r="O58" s="43">
        <v>56601.06</v>
      </c>
      <c r="P58" s="44">
        <v>0.8050726592915237</v>
      </c>
    </row>
    <row r="59" ht="14.25" customHeight="1">
      <c r="C59" s="41" t="s">
        <v>81</v>
      </c>
      <c r="D59" s="41" t="s">
        <v>52</v>
      </c>
      <c r="E59" s="41" t="s">
        <v>21</v>
      </c>
      <c r="F59" s="41" t="s">
        <v>26</v>
      </c>
      <c r="G59" s="41" t="s">
        <v>27</v>
      </c>
      <c r="H59" s="41" t="s">
        <v>18</v>
      </c>
      <c r="I59" s="42">
        <v>44975.0</v>
      </c>
      <c r="J59" s="41">
        <v>225.0</v>
      </c>
      <c r="K59" s="43">
        <v>296.09</v>
      </c>
      <c r="L59" s="43">
        <v>238.53</v>
      </c>
      <c r="M59" s="43">
        <v>66620.25</v>
      </c>
      <c r="N59" s="43">
        <v>53669.25</v>
      </c>
      <c r="O59" s="43">
        <v>12951.0</v>
      </c>
      <c r="P59" s="44">
        <v>0.19440035124455401</v>
      </c>
    </row>
    <row r="60" ht="14.25" customHeight="1">
      <c r="C60" s="41" t="s">
        <v>82</v>
      </c>
      <c r="D60" s="41" t="s">
        <v>39</v>
      </c>
      <c r="E60" s="41" t="s">
        <v>15</v>
      </c>
      <c r="F60" s="41" t="s">
        <v>22</v>
      </c>
      <c r="G60" s="41" t="s">
        <v>17</v>
      </c>
      <c r="H60" s="41" t="s">
        <v>18</v>
      </c>
      <c r="I60" s="42">
        <v>44976.0</v>
      </c>
      <c r="J60" s="41">
        <v>156.0</v>
      </c>
      <c r="K60" s="43">
        <v>19.55</v>
      </c>
      <c r="L60" s="43">
        <v>374.71</v>
      </c>
      <c r="M60" s="43">
        <v>3049.8</v>
      </c>
      <c r="N60" s="43">
        <v>58454.759999999995</v>
      </c>
      <c r="O60" s="43">
        <v>-55404.95999999999</v>
      </c>
      <c r="P60" s="44">
        <v>-18.166751918158564</v>
      </c>
    </row>
    <row r="61" ht="14.25" customHeight="1">
      <c r="C61" s="41" t="s">
        <v>83</v>
      </c>
      <c r="D61" s="41" t="s">
        <v>14</v>
      </c>
      <c r="E61" s="41" t="s">
        <v>21</v>
      </c>
      <c r="F61" s="41" t="s">
        <v>30</v>
      </c>
      <c r="G61" s="41" t="s">
        <v>17</v>
      </c>
      <c r="H61" s="41" t="s">
        <v>31</v>
      </c>
      <c r="I61" s="42">
        <v>44977.0</v>
      </c>
      <c r="J61" s="41">
        <v>345.0</v>
      </c>
      <c r="K61" s="43">
        <v>200.78</v>
      </c>
      <c r="L61" s="43">
        <v>350.69</v>
      </c>
      <c r="M61" s="43">
        <v>69269.1</v>
      </c>
      <c r="N61" s="43">
        <v>120988.05</v>
      </c>
      <c r="O61" s="43">
        <v>-51718.95</v>
      </c>
      <c r="P61" s="44">
        <v>-0.7466381113656738</v>
      </c>
    </row>
    <row r="62" ht="14.25" customHeight="1">
      <c r="C62" s="41" t="s">
        <v>84</v>
      </c>
      <c r="D62" s="41" t="s">
        <v>52</v>
      </c>
      <c r="E62" s="41" t="s">
        <v>54</v>
      </c>
      <c r="F62" s="41" t="s">
        <v>22</v>
      </c>
      <c r="G62" s="41" t="s">
        <v>17</v>
      </c>
      <c r="H62" s="41" t="s">
        <v>23</v>
      </c>
      <c r="I62" s="42">
        <v>44978.0</v>
      </c>
      <c r="J62" s="41">
        <v>177.0</v>
      </c>
      <c r="K62" s="43">
        <v>305.06</v>
      </c>
      <c r="L62" s="43">
        <v>112.55</v>
      </c>
      <c r="M62" s="43">
        <v>53995.62</v>
      </c>
      <c r="N62" s="43">
        <v>19921.35</v>
      </c>
      <c r="O62" s="43">
        <v>34074.270000000004</v>
      </c>
      <c r="P62" s="44">
        <v>0.6310561856683932</v>
      </c>
    </row>
    <row r="63" ht="14.25" customHeight="1">
      <c r="C63" s="41" t="s">
        <v>85</v>
      </c>
      <c r="D63" s="41" t="s">
        <v>14</v>
      </c>
      <c r="E63" s="41" t="s">
        <v>15</v>
      </c>
      <c r="F63" s="41" t="s">
        <v>22</v>
      </c>
      <c r="G63" s="41" t="s">
        <v>27</v>
      </c>
      <c r="H63" s="41" t="s">
        <v>18</v>
      </c>
      <c r="I63" s="42">
        <v>44979.0</v>
      </c>
      <c r="J63" s="41">
        <v>101.0</v>
      </c>
      <c r="K63" s="43">
        <v>300.87</v>
      </c>
      <c r="L63" s="43">
        <v>340.88</v>
      </c>
      <c r="M63" s="43">
        <v>30387.87</v>
      </c>
      <c r="N63" s="43">
        <v>34428.88</v>
      </c>
      <c r="O63" s="43">
        <v>-4041.0099999999984</v>
      </c>
      <c r="P63" s="44">
        <v>-0.1329810217037258</v>
      </c>
    </row>
    <row r="64" ht="14.25" customHeight="1">
      <c r="C64" s="41" t="s">
        <v>86</v>
      </c>
      <c r="D64" s="41" t="s">
        <v>20</v>
      </c>
      <c r="E64" s="41" t="s">
        <v>34</v>
      </c>
      <c r="F64" s="41" t="s">
        <v>16</v>
      </c>
      <c r="G64" s="41" t="s">
        <v>27</v>
      </c>
      <c r="H64" s="41" t="s">
        <v>23</v>
      </c>
      <c r="I64" s="42">
        <v>44980.0</v>
      </c>
      <c r="J64" s="41">
        <v>362.0</v>
      </c>
      <c r="K64" s="43">
        <v>397.51</v>
      </c>
      <c r="L64" s="43">
        <v>2.13</v>
      </c>
      <c r="M64" s="43">
        <v>143898.62</v>
      </c>
      <c r="N64" s="43">
        <v>771.06</v>
      </c>
      <c r="O64" s="43">
        <v>143127.56</v>
      </c>
      <c r="P64" s="44">
        <v>0.9946416442353652</v>
      </c>
    </row>
    <row r="65" ht="14.25" customHeight="1">
      <c r="C65" s="41" t="s">
        <v>87</v>
      </c>
      <c r="D65" s="41" t="s">
        <v>14</v>
      </c>
      <c r="E65" s="41" t="s">
        <v>21</v>
      </c>
      <c r="F65" s="41" t="s">
        <v>30</v>
      </c>
      <c r="G65" s="41" t="s">
        <v>27</v>
      </c>
      <c r="H65" s="41" t="s">
        <v>31</v>
      </c>
      <c r="I65" s="42">
        <v>44981.0</v>
      </c>
      <c r="J65" s="41">
        <v>68.0</v>
      </c>
      <c r="K65" s="43">
        <v>329.23</v>
      </c>
      <c r="L65" s="43">
        <v>9.04</v>
      </c>
      <c r="M65" s="43">
        <v>22387.64</v>
      </c>
      <c r="N65" s="43">
        <v>614.7199999999999</v>
      </c>
      <c r="O65" s="43">
        <v>21772.92</v>
      </c>
      <c r="P65" s="44">
        <v>0.9725419919205418</v>
      </c>
    </row>
    <row r="66" ht="14.25" customHeight="1">
      <c r="C66" s="41" t="s">
        <v>88</v>
      </c>
      <c r="D66" s="41" t="s">
        <v>20</v>
      </c>
      <c r="E66" s="41" t="s">
        <v>21</v>
      </c>
      <c r="F66" s="41" t="s">
        <v>22</v>
      </c>
      <c r="G66" s="41" t="s">
        <v>27</v>
      </c>
      <c r="H66" s="41" t="s">
        <v>31</v>
      </c>
      <c r="I66" s="42">
        <v>44982.0</v>
      </c>
      <c r="J66" s="41">
        <v>68.0</v>
      </c>
      <c r="K66" s="43">
        <v>496.11</v>
      </c>
      <c r="L66" s="43">
        <v>241.82</v>
      </c>
      <c r="M66" s="43">
        <v>33735.48</v>
      </c>
      <c r="N66" s="43">
        <v>16443.76</v>
      </c>
      <c r="O66" s="43">
        <v>17291.720000000005</v>
      </c>
      <c r="P66" s="44">
        <v>0.5125677773074521</v>
      </c>
    </row>
    <row r="67" ht="14.25" customHeight="1">
      <c r="C67" s="41" t="s">
        <v>89</v>
      </c>
      <c r="D67" s="41" t="s">
        <v>20</v>
      </c>
      <c r="E67" s="41" t="s">
        <v>15</v>
      </c>
      <c r="F67" s="41" t="s">
        <v>22</v>
      </c>
      <c r="G67" s="41" t="s">
        <v>17</v>
      </c>
      <c r="H67" s="41" t="s">
        <v>18</v>
      </c>
      <c r="I67" s="42">
        <v>44983.0</v>
      </c>
      <c r="J67" s="41">
        <v>313.0</v>
      </c>
      <c r="K67" s="43">
        <v>145.51</v>
      </c>
      <c r="L67" s="43">
        <v>147.19</v>
      </c>
      <c r="M67" s="43">
        <v>45544.63</v>
      </c>
      <c r="N67" s="43">
        <v>46070.47</v>
      </c>
      <c r="O67" s="43">
        <v>-525.8400000000038</v>
      </c>
      <c r="P67" s="44">
        <v>-0.011545598240670828</v>
      </c>
    </row>
    <row r="68" ht="14.25" customHeight="1">
      <c r="C68" s="41" t="s">
        <v>90</v>
      </c>
      <c r="D68" s="41" t="s">
        <v>25</v>
      </c>
      <c r="E68" s="41" t="s">
        <v>34</v>
      </c>
      <c r="F68" s="41" t="s">
        <v>30</v>
      </c>
      <c r="G68" s="41" t="s">
        <v>17</v>
      </c>
      <c r="H68" s="41" t="s">
        <v>31</v>
      </c>
      <c r="I68" s="42">
        <v>44984.0</v>
      </c>
      <c r="J68" s="41">
        <v>178.0</v>
      </c>
      <c r="K68" s="43">
        <v>182.78</v>
      </c>
      <c r="L68" s="43">
        <v>155.81</v>
      </c>
      <c r="M68" s="43">
        <v>32534.84</v>
      </c>
      <c r="N68" s="43">
        <v>27734.18</v>
      </c>
      <c r="O68" s="43">
        <v>4800.66</v>
      </c>
      <c r="P68" s="44">
        <v>0.14755443702812124</v>
      </c>
    </row>
    <row r="69" ht="14.25" customHeight="1">
      <c r="C69" s="41" t="s">
        <v>91</v>
      </c>
      <c r="D69" s="41" t="s">
        <v>14</v>
      </c>
      <c r="E69" s="41" t="s">
        <v>34</v>
      </c>
      <c r="F69" s="41" t="s">
        <v>30</v>
      </c>
      <c r="G69" s="41" t="s">
        <v>17</v>
      </c>
      <c r="H69" s="41" t="s">
        <v>18</v>
      </c>
      <c r="I69" s="42">
        <v>44985.0</v>
      </c>
      <c r="J69" s="41">
        <v>278.0</v>
      </c>
      <c r="K69" s="43">
        <v>195.0</v>
      </c>
      <c r="L69" s="43">
        <v>226.65</v>
      </c>
      <c r="M69" s="43">
        <v>54210.0</v>
      </c>
      <c r="N69" s="43">
        <v>63008.700000000004</v>
      </c>
      <c r="O69" s="43">
        <v>-8798.700000000004</v>
      </c>
      <c r="P69" s="44">
        <v>-0.16230769230769237</v>
      </c>
    </row>
    <row r="70" ht="14.25" customHeight="1">
      <c r="C70" s="41" t="s">
        <v>92</v>
      </c>
      <c r="D70" s="41" t="s">
        <v>25</v>
      </c>
      <c r="E70" s="41" t="s">
        <v>54</v>
      </c>
      <c r="F70" s="41" t="s">
        <v>22</v>
      </c>
      <c r="G70" s="41" t="s">
        <v>17</v>
      </c>
      <c r="H70" s="41" t="s">
        <v>31</v>
      </c>
      <c r="I70" s="42">
        <v>44986.0</v>
      </c>
      <c r="J70" s="41">
        <v>372.0</v>
      </c>
      <c r="K70" s="43">
        <v>235.58</v>
      </c>
      <c r="L70" s="43">
        <v>78.33</v>
      </c>
      <c r="M70" s="43">
        <v>87635.76000000001</v>
      </c>
      <c r="N70" s="43">
        <v>29138.76</v>
      </c>
      <c r="O70" s="43">
        <v>58497.000000000015</v>
      </c>
      <c r="P70" s="44">
        <v>0.6675014856948808</v>
      </c>
    </row>
    <row r="71" ht="14.25" customHeight="1">
      <c r="C71" s="41" t="s">
        <v>93</v>
      </c>
      <c r="D71" s="41" t="s">
        <v>14</v>
      </c>
      <c r="E71" s="41" t="s">
        <v>34</v>
      </c>
      <c r="F71" s="41" t="s">
        <v>30</v>
      </c>
      <c r="G71" s="41" t="s">
        <v>27</v>
      </c>
      <c r="H71" s="41" t="s">
        <v>31</v>
      </c>
      <c r="I71" s="42">
        <v>44987.0</v>
      </c>
      <c r="J71" s="41">
        <v>54.0</v>
      </c>
      <c r="K71" s="43">
        <v>418.82</v>
      </c>
      <c r="L71" s="43">
        <v>86.28</v>
      </c>
      <c r="M71" s="43">
        <v>22616.28</v>
      </c>
      <c r="N71" s="43">
        <v>4659.12</v>
      </c>
      <c r="O71" s="43">
        <v>17957.16</v>
      </c>
      <c r="P71" s="44">
        <v>0.793992646005444</v>
      </c>
    </row>
    <row r="72" ht="14.25" customHeight="1">
      <c r="C72" s="41" t="s">
        <v>94</v>
      </c>
      <c r="D72" s="41" t="s">
        <v>14</v>
      </c>
      <c r="E72" s="41" t="s">
        <v>34</v>
      </c>
      <c r="F72" s="41" t="s">
        <v>22</v>
      </c>
      <c r="G72" s="41" t="s">
        <v>27</v>
      </c>
      <c r="H72" s="41" t="s">
        <v>18</v>
      </c>
      <c r="I72" s="42">
        <v>44988.0</v>
      </c>
      <c r="J72" s="41">
        <v>354.0</v>
      </c>
      <c r="K72" s="43">
        <v>121.72</v>
      </c>
      <c r="L72" s="43">
        <v>194.87</v>
      </c>
      <c r="M72" s="43">
        <v>43088.88</v>
      </c>
      <c r="N72" s="43">
        <v>68983.98</v>
      </c>
      <c r="O72" s="43">
        <v>-25895.1</v>
      </c>
      <c r="P72" s="44">
        <v>-0.6009694380545514</v>
      </c>
    </row>
    <row r="73" ht="14.25" customHeight="1">
      <c r="C73" s="41" t="s">
        <v>95</v>
      </c>
      <c r="D73" s="41" t="s">
        <v>25</v>
      </c>
      <c r="E73" s="41" t="s">
        <v>34</v>
      </c>
      <c r="F73" s="41" t="s">
        <v>22</v>
      </c>
      <c r="G73" s="41" t="s">
        <v>17</v>
      </c>
      <c r="H73" s="41" t="s">
        <v>18</v>
      </c>
      <c r="I73" s="42">
        <v>44989.0</v>
      </c>
      <c r="J73" s="41">
        <v>190.0</v>
      </c>
      <c r="K73" s="43">
        <v>389.12</v>
      </c>
      <c r="L73" s="43">
        <v>302.19</v>
      </c>
      <c r="M73" s="43">
        <v>73932.8</v>
      </c>
      <c r="N73" s="43">
        <v>57416.1</v>
      </c>
      <c r="O73" s="43">
        <v>16516.700000000004</v>
      </c>
      <c r="P73" s="44">
        <v>0.223401521381579</v>
      </c>
    </row>
    <row r="74" ht="14.25" customHeight="1">
      <c r="C74" s="41" t="s">
        <v>96</v>
      </c>
      <c r="D74" s="41" t="s">
        <v>39</v>
      </c>
      <c r="E74" s="41" t="s">
        <v>29</v>
      </c>
      <c r="F74" s="41" t="s">
        <v>16</v>
      </c>
      <c r="G74" s="41" t="s">
        <v>17</v>
      </c>
      <c r="H74" s="41" t="s">
        <v>18</v>
      </c>
      <c r="I74" s="42">
        <v>44990.0</v>
      </c>
      <c r="J74" s="41">
        <v>179.0</v>
      </c>
      <c r="K74" s="43">
        <v>205.63</v>
      </c>
      <c r="L74" s="43">
        <v>248.56</v>
      </c>
      <c r="M74" s="43">
        <v>36807.77</v>
      </c>
      <c r="N74" s="43">
        <v>44492.24</v>
      </c>
      <c r="O74" s="43">
        <v>-7684.470000000001</v>
      </c>
      <c r="P74" s="44">
        <v>-0.20877303895346014</v>
      </c>
    </row>
    <row r="75" ht="14.25" customHeight="1">
      <c r="C75" s="41" t="s">
        <v>97</v>
      </c>
      <c r="D75" s="41" t="s">
        <v>14</v>
      </c>
      <c r="E75" s="41" t="s">
        <v>54</v>
      </c>
      <c r="F75" s="41" t="s">
        <v>46</v>
      </c>
      <c r="G75" s="41" t="s">
        <v>27</v>
      </c>
      <c r="H75" s="41" t="s">
        <v>31</v>
      </c>
      <c r="I75" s="42">
        <v>44991.0</v>
      </c>
      <c r="J75" s="41">
        <v>365.0</v>
      </c>
      <c r="K75" s="43">
        <v>302.92</v>
      </c>
      <c r="L75" s="43">
        <v>120.35</v>
      </c>
      <c r="M75" s="43">
        <v>110565.8</v>
      </c>
      <c r="N75" s="43">
        <v>43927.75</v>
      </c>
      <c r="O75" s="43">
        <v>66638.05</v>
      </c>
      <c r="P75" s="44">
        <v>0.60270038293939</v>
      </c>
    </row>
    <row r="76" ht="14.25" customHeight="1">
      <c r="C76" s="41" t="s">
        <v>98</v>
      </c>
      <c r="D76" s="41" t="s">
        <v>52</v>
      </c>
      <c r="E76" s="41" t="s">
        <v>21</v>
      </c>
      <c r="F76" s="41" t="s">
        <v>22</v>
      </c>
      <c r="G76" s="41" t="s">
        <v>17</v>
      </c>
      <c r="H76" s="41" t="s">
        <v>31</v>
      </c>
      <c r="I76" s="42">
        <v>44992.0</v>
      </c>
      <c r="J76" s="41">
        <v>200.0</v>
      </c>
      <c r="K76" s="43">
        <v>318.11</v>
      </c>
      <c r="L76" s="43">
        <v>173.27</v>
      </c>
      <c r="M76" s="43">
        <v>63622.0</v>
      </c>
      <c r="N76" s="43">
        <v>34654.0</v>
      </c>
      <c r="O76" s="43">
        <v>28968.0</v>
      </c>
      <c r="P76" s="44">
        <v>0.4553141994907422</v>
      </c>
    </row>
    <row r="77" ht="14.25" customHeight="1">
      <c r="C77" s="41" t="s">
        <v>99</v>
      </c>
      <c r="D77" s="41" t="s">
        <v>20</v>
      </c>
      <c r="E77" s="41" t="s">
        <v>15</v>
      </c>
      <c r="F77" s="41" t="s">
        <v>26</v>
      </c>
      <c r="G77" s="41" t="s">
        <v>27</v>
      </c>
      <c r="H77" s="41" t="s">
        <v>23</v>
      </c>
      <c r="I77" s="42">
        <v>44993.0</v>
      </c>
      <c r="J77" s="41">
        <v>164.0</v>
      </c>
      <c r="K77" s="43">
        <v>189.56</v>
      </c>
      <c r="L77" s="43">
        <v>69.92</v>
      </c>
      <c r="M77" s="43">
        <v>31087.84</v>
      </c>
      <c r="N77" s="43">
        <v>11466.880000000001</v>
      </c>
      <c r="O77" s="43">
        <v>19620.96</v>
      </c>
      <c r="P77" s="44">
        <v>0.6311458113526061</v>
      </c>
    </row>
    <row r="78" ht="14.25" customHeight="1">
      <c r="C78" s="41" t="s">
        <v>100</v>
      </c>
      <c r="D78" s="41" t="s">
        <v>25</v>
      </c>
      <c r="E78" s="41" t="s">
        <v>21</v>
      </c>
      <c r="F78" s="41" t="s">
        <v>46</v>
      </c>
      <c r="G78" s="41" t="s">
        <v>17</v>
      </c>
      <c r="H78" s="41" t="s">
        <v>18</v>
      </c>
      <c r="I78" s="42">
        <v>44994.0</v>
      </c>
      <c r="J78" s="41">
        <v>431.0</v>
      </c>
      <c r="K78" s="43">
        <v>258.74</v>
      </c>
      <c r="L78" s="43">
        <v>31.7</v>
      </c>
      <c r="M78" s="43">
        <v>111516.94</v>
      </c>
      <c r="N78" s="43">
        <v>13662.699999999999</v>
      </c>
      <c r="O78" s="43">
        <v>97854.24</v>
      </c>
      <c r="P78" s="44">
        <v>0.8774831877560486</v>
      </c>
    </row>
    <row r="79" ht="14.25" customHeight="1">
      <c r="C79" s="41" t="s">
        <v>101</v>
      </c>
      <c r="D79" s="41" t="s">
        <v>20</v>
      </c>
      <c r="E79" s="41" t="s">
        <v>54</v>
      </c>
      <c r="F79" s="41" t="s">
        <v>46</v>
      </c>
      <c r="G79" s="41" t="s">
        <v>17</v>
      </c>
      <c r="H79" s="41" t="s">
        <v>31</v>
      </c>
      <c r="I79" s="42">
        <v>44995.0</v>
      </c>
      <c r="J79" s="41">
        <v>197.0</v>
      </c>
      <c r="K79" s="43">
        <v>209.45</v>
      </c>
      <c r="L79" s="43">
        <v>313.51</v>
      </c>
      <c r="M79" s="43">
        <v>41261.649999999994</v>
      </c>
      <c r="N79" s="43">
        <v>61761.47</v>
      </c>
      <c r="O79" s="43">
        <v>-20499.820000000007</v>
      </c>
      <c r="P79" s="44">
        <v>-0.4968250179040346</v>
      </c>
    </row>
    <row r="80" ht="14.25" customHeight="1">
      <c r="C80" s="41" t="s">
        <v>102</v>
      </c>
      <c r="D80" s="41" t="s">
        <v>52</v>
      </c>
      <c r="E80" s="41" t="s">
        <v>15</v>
      </c>
      <c r="F80" s="41" t="s">
        <v>46</v>
      </c>
      <c r="G80" s="41" t="s">
        <v>17</v>
      </c>
      <c r="H80" s="41" t="s">
        <v>31</v>
      </c>
      <c r="I80" s="42">
        <v>44996.0</v>
      </c>
      <c r="J80" s="41">
        <v>16.0</v>
      </c>
      <c r="K80" s="43">
        <v>39.22</v>
      </c>
      <c r="L80" s="43">
        <v>107.62</v>
      </c>
      <c r="M80" s="43">
        <v>627.52</v>
      </c>
      <c r="N80" s="43">
        <v>1721.92</v>
      </c>
      <c r="O80" s="43">
        <v>-1094.4</v>
      </c>
      <c r="P80" s="44">
        <v>-1.744008159102499</v>
      </c>
    </row>
    <row r="81" ht="14.25" customHeight="1">
      <c r="C81" s="41" t="s">
        <v>103</v>
      </c>
      <c r="D81" s="41" t="s">
        <v>52</v>
      </c>
      <c r="E81" s="41" t="s">
        <v>54</v>
      </c>
      <c r="F81" s="41" t="s">
        <v>16</v>
      </c>
      <c r="G81" s="41" t="s">
        <v>17</v>
      </c>
      <c r="H81" s="41" t="s">
        <v>18</v>
      </c>
      <c r="I81" s="42">
        <v>44997.0</v>
      </c>
      <c r="J81" s="41">
        <v>142.0</v>
      </c>
      <c r="K81" s="43">
        <v>221.4</v>
      </c>
      <c r="L81" s="43">
        <v>72.75</v>
      </c>
      <c r="M81" s="43">
        <v>31438.8</v>
      </c>
      <c r="N81" s="43">
        <v>10330.5</v>
      </c>
      <c r="O81" s="43">
        <v>21108.3</v>
      </c>
      <c r="P81" s="44">
        <v>0.6714092140921409</v>
      </c>
    </row>
    <row r="82" ht="14.25" customHeight="1">
      <c r="C82" s="41" t="s">
        <v>104</v>
      </c>
      <c r="D82" s="41" t="s">
        <v>52</v>
      </c>
      <c r="E82" s="41" t="s">
        <v>34</v>
      </c>
      <c r="F82" s="41" t="s">
        <v>22</v>
      </c>
      <c r="G82" s="41" t="s">
        <v>17</v>
      </c>
      <c r="H82" s="41" t="s">
        <v>23</v>
      </c>
      <c r="I82" s="42">
        <v>44998.0</v>
      </c>
      <c r="J82" s="41">
        <v>244.0</v>
      </c>
      <c r="K82" s="43">
        <v>53.21</v>
      </c>
      <c r="L82" s="43">
        <v>277.26</v>
      </c>
      <c r="M82" s="43">
        <v>12983.24</v>
      </c>
      <c r="N82" s="43">
        <v>67651.44</v>
      </c>
      <c r="O82" s="43">
        <v>-54668.200000000004</v>
      </c>
      <c r="P82" s="44">
        <v>-4.210674685209548</v>
      </c>
    </row>
    <row r="83" ht="14.25" customHeight="1">
      <c r="C83" s="41" t="s">
        <v>105</v>
      </c>
      <c r="D83" s="41" t="s">
        <v>25</v>
      </c>
      <c r="E83" s="41" t="s">
        <v>15</v>
      </c>
      <c r="F83" s="41" t="s">
        <v>16</v>
      </c>
      <c r="G83" s="41" t="s">
        <v>17</v>
      </c>
      <c r="H83" s="41" t="s">
        <v>18</v>
      </c>
      <c r="I83" s="42">
        <v>44999.0</v>
      </c>
      <c r="J83" s="41">
        <v>54.0</v>
      </c>
      <c r="K83" s="43">
        <v>205.49</v>
      </c>
      <c r="L83" s="43">
        <v>247.98</v>
      </c>
      <c r="M83" s="43">
        <v>11096.460000000001</v>
      </c>
      <c r="N83" s="43">
        <v>13390.92</v>
      </c>
      <c r="O83" s="43">
        <v>-2294.459999999999</v>
      </c>
      <c r="P83" s="44">
        <v>-0.20677405226531695</v>
      </c>
    </row>
    <row r="84" ht="14.25" customHeight="1">
      <c r="C84" s="41" t="s">
        <v>106</v>
      </c>
      <c r="D84" s="41" t="s">
        <v>52</v>
      </c>
      <c r="E84" s="41" t="s">
        <v>34</v>
      </c>
      <c r="F84" s="41" t="s">
        <v>22</v>
      </c>
      <c r="G84" s="41" t="s">
        <v>17</v>
      </c>
      <c r="H84" s="41" t="s">
        <v>23</v>
      </c>
      <c r="I84" s="42">
        <v>45000.0</v>
      </c>
      <c r="J84" s="41">
        <v>323.0</v>
      </c>
      <c r="K84" s="43">
        <v>298.49</v>
      </c>
      <c r="L84" s="43">
        <v>254.01</v>
      </c>
      <c r="M84" s="43">
        <v>96412.27</v>
      </c>
      <c r="N84" s="43">
        <v>82045.23</v>
      </c>
      <c r="O84" s="43">
        <v>14367.040000000008</v>
      </c>
      <c r="P84" s="44">
        <v>0.14901671747797254</v>
      </c>
    </row>
    <row r="85" ht="14.25" customHeight="1">
      <c r="C85" s="41" t="s">
        <v>107</v>
      </c>
      <c r="D85" s="41" t="s">
        <v>25</v>
      </c>
      <c r="E85" s="41" t="s">
        <v>21</v>
      </c>
      <c r="F85" s="41" t="s">
        <v>16</v>
      </c>
      <c r="G85" s="41" t="s">
        <v>27</v>
      </c>
      <c r="H85" s="41" t="s">
        <v>31</v>
      </c>
      <c r="I85" s="42">
        <v>45001.0</v>
      </c>
      <c r="J85" s="41">
        <v>258.0</v>
      </c>
      <c r="K85" s="43">
        <v>291.81</v>
      </c>
      <c r="L85" s="43">
        <v>93.1</v>
      </c>
      <c r="M85" s="43">
        <v>75286.98</v>
      </c>
      <c r="N85" s="43">
        <v>24019.8</v>
      </c>
      <c r="O85" s="43">
        <v>51267.17999999999</v>
      </c>
      <c r="P85" s="44">
        <v>0.6809567869504128</v>
      </c>
    </row>
    <row r="86" ht="14.25" customHeight="1">
      <c r="C86" s="41" t="s">
        <v>108</v>
      </c>
      <c r="D86" s="41" t="s">
        <v>52</v>
      </c>
      <c r="E86" s="41" t="s">
        <v>21</v>
      </c>
      <c r="F86" s="41" t="s">
        <v>16</v>
      </c>
      <c r="G86" s="41" t="s">
        <v>27</v>
      </c>
      <c r="H86" s="41" t="s">
        <v>23</v>
      </c>
      <c r="I86" s="42">
        <v>45002.0</v>
      </c>
      <c r="J86" s="41">
        <v>40.0</v>
      </c>
      <c r="K86" s="43">
        <v>333.0</v>
      </c>
      <c r="L86" s="43">
        <v>94.59</v>
      </c>
      <c r="M86" s="43">
        <v>13320.0</v>
      </c>
      <c r="N86" s="43">
        <v>3783.6000000000004</v>
      </c>
      <c r="O86" s="43">
        <v>9536.4</v>
      </c>
      <c r="P86" s="44">
        <v>0.715945945945946</v>
      </c>
    </row>
    <row r="87" ht="14.25" customHeight="1">
      <c r="C87" s="41" t="s">
        <v>109</v>
      </c>
      <c r="D87" s="41" t="s">
        <v>20</v>
      </c>
      <c r="E87" s="41" t="s">
        <v>15</v>
      </c>
      <c r="F87" s="41" t="s">
        <v>26</v>
      </c>
      <c r="G87" s="41" t="s">
        <v>27</v>
      </c>
      <c r="H87" s="41" t="s">
        <v>31</v>
      </c>
      <c r="I87" s="42">
        <v>45003.0</v>
      </c>
      <c r="J87" s="41">
        <v>32.0</v>
      </c>
      <c r="K87" s="43">
        <v>52.15</v>
      </c>
      <c r="L87" s="43">
        <v>89.88</v>
      </c>
      <c r="M87" s="43">
        <v>1668.8</v>
      </c>
      <c r="N87" s="43">
        <v>2876.16</v>
      </c>
      <c r="O87" s="43">
        <v>-1207.36</v>
      </c>
      <c r="P87" s="44">
        <v>-0.723489932885906</v>
      </c>
    </row>
    <row r="88" ht="14.25" customHeight="1">
      <c r="C88" s="41" t="s">
        <v>110</v>
      </c>
      <c r="D88" s="41" t="s">
        <v>20</v>
      </c>
      <c r="E88" s="41" t="s">
        <v>15</v>
      </c>
      <c r="F88" s="41" t="s">
        <v>16</v>
      </c>
      <c r="G88" s="41" t="s">
        <v>27</v>
      </c>
      <c r="H88" s="41" t="s">
        <v>18</v>
      </c>
      <c r="I88" s="42">
        <v>45004.0</v>
      </c>
      <c r="J88" s="41">
        <v>435.0</v>
      </c>
      <c r="K88" s="43">
        <v>327.8</v>
      </c>
      <c r="L88" s="43">
        <v>71.15</v>
      </c>
      <c r="M88" s="43">
        <v>142593.0</v>
      </c>
      <c r="N88" s="43">
        <v>30950.250000000004</v>
      </c>
      <c r="O88" s="43">
        <v>111642.75</v>
      </c>
      <c r="P88" s="44">
        <v>0.7829469188529591</v>
      </c>
    </row>
    <row r="89" ht="14.25" customHeight="1">
      <c r="C89" s="41" t="s">
        <v>111</v>
      </c>
      <c r="D89" s="41" t="s">
        <v>14</v>
      </c>
      <c r="E89" s="41" t="s">
        <v>54</v>
      </c>
      <c r="F89" s="41" t="s">
        <v>30</v>
      </c>
      <c r="G89" s="41" t="s">
        <v>27</v>
      </c>
      <c r="H89" s="41" t="s">
        <v>18</v>
      </c>
      <c r="I89" s="42">
        <v>45005.0</v>
      </c>
      <c r="J89" s="41">
        <v>403.0</v>
      </c>
      <c r="K89" s="43">
        <v>159.51</v>
      </c>
      <c r="L89" s="43">
        <v>262.98</v>
      </c>
      <c r="M89" s="43">
        <v>64282.53</v>
      </c>
      <c r="N89" s="43">
        <v>105980.94</v>
      </c>
      <c r="O89" s="43">
        <v>-41698.41</v>
      </c>
      <c r="P89" s="44">
        <v>-0.6486740643219862</v>
      </c>
    </row>
    <row r="90" ht="14.25" customHeight="1">
      <c r="C90" s="41" t="s">
        <v>112</v>
      </c>
      <c r="D90" s="41" t="s">
        <v>20</v>
      </c>
      <c r="E90" s="41" t="s">
        <v>54</v>
      </c>
      <c r="F90" s="41" t="s">
        <v>26</v>
      </c>
      <c r="G90" s="41" t="s">
        <v>17</v>
      </c>
      <c r="H90" s="41" t="s">
        <v>18</v>
      </c>
      <c r="I90" s="42">
        <v>45006.0</v>
      </c>
      <c r="J90" s="41">
        <v>169.0</v>
      </c>
      <c r="K90" s="43">
        <v>249.64520588235297</v>
      </c>
      <c r="L90" s="43">
        <v>339.51</v>
      </c>
      <c r="M90" s="43">
        <v>42190.03979411765</v>
      </c>
      <c r="N90" s="43">
        <v>57377.189999999995</v>
      </c>
      <c r="O90" s="43">
        <v>-15187.150205882346</v>
      </c>
      <c r="P90" s="44">
        <v>-0.35997003747789347</v>
      </c>
    </row>
    <row r="91" ht="14.25" customHeight="1">
      <c r="C91" s="41" t="s">
        <v>113</v>
      </c>
      <c r="D91" s="41" t="s">
        <v>14</v>
      </c>
      <c r="E91" s="41" t="s">
        <v>34</v>
      </c>
      <c r="F91" s="41" t="s">
        <v>16</v>
      </c>
      <c r="G91" s="41" t="s">
        <v>17</v>
      </c>
      <c r="H91" s="41" t="s">
        <v>23</v>
      </c>
      <c r="I91" s="42">
        <v>45007.0</v>
      </c>
      <c r="J91" s="41">
        <v>372.0</v>
      </c>
      <c r="K91" s="43">
        <v>429.7</v>
      </c>
      <c r="L91" s="43">
        <v>290.28</v>
      </c>
      <c r="M91" s="43">
        <v>159848.4</v>
      </c>
      <c r="N91" s="43">
        <v>107984.15999999999</v>
      </c>
      <c r="O91" s="43">
        <v>51864.240000000005</v>
      </c>
      <c r="P91" s="44">
        <v>0.3244589248312777</v>
      </c>
    </row>
    <row r="92" ht="14.25" customHeight="1">
      <c r="C92" s="41" t="s">
        <v>114</v>
      </c>
      <c r="D92" s="41" t="s">
        <v>20</v>
      </c>
      <c r="E92" s="41" t="s">
        <v>15</v>
      </c>
      <c r="F92" s="41" t="s">
        <v>46</v>
      </c>
      <c r="G92" s="41" t="s">
        <v>27</v>
      </c>
      <c r="H92" s="41" t="s">
        <v>31</v>
      </c>
      <c r="I92" s="42">
        <v>45008.0</v>
      </c>
      <c r="J92" s="41">
        <v>446.0</v>
      </c>
      <c r="K92" s="43">
        <v>9.47</v>
      </c>
      <c r="L92" s="43">
        <v>317.25</v>
      </c>
      <c r="M92" s="43">
        <v>4223.62</v>
      </c>
      <c r="N92" s="43">
        <v>141493.5</v>
      </c>
      <c r="O92" s="43">
        <v>-137269.88</v>
      </c>
      <c r="P92" s="44">
        <v>-32.50052798310454</v>
      </c>
    </row>
    <row r="93" ht="14.25" customHeight="1">
      <c r="C93" s="41" t="s">
        <v>115</v>
      </c>
      <c r="D93" s="41" t="s">
        <v>25</v>
      </c>
      <c r="E93" s="41" t="s">
        <v>21</v>
      </c>
      <c r="F93" s="41" t="s">
        <v>30</v>
      </c>
      <c r="G93" s="41" t="s">
        <v>17</v>
      </c>
      <c r="H93" s="41" t="s">
        <v>18</v>
      </c>
      <c r="I93" s="42">
        <v>45009.0</v>
      </c>
      <c r="J93" s="41">
        <v>167.0</v>
      </c>
      <c r="K93" s="43">
        <v>296.26</v>
      </c>
      <c r="L93" s="43">
        <v>163.11</v>
      </c>
      <c r="M93" s="43">
        <v>49475.42</v>
      </c>
      <c r="N93" s="43">
        <v>27239.370000000003</v>
      </c>
      <c r="O93" s="43">
        <v>22236.049999999996</v>
      </c>
      <c r="P93" s="44">
        <v>0.4494363059474785</v>
      </c>
    </row>
    <row r="94" ht="14.25" customHeight="1">
      <c r="C94" s="41" t="s">
        <v>116</v>
      </c>
      <c r="D94" s="41" t="s">
        <v>20</v>
      </c>
      <c r="E94" s="41" t="s">
        <v>54</v>
      </c>
      <c r="F94" s="41" t="s">
        <v>30</v>
      </c>
      <c r="G94" s="41" t="s">
        <v>27</v>
      </c>
      <c r="H94" s="41" t="s">
        <v>18</v>
      </c>
      <c r="I94" s="42">
        <v>45010.0</v>
      </c>
      <c r="J94" s="41">
        <v>48.0</v>
      </c>
      <c r="K94" s="43">
        <v>301.36</v>
      </c>
      <c r="L94" s="43">
        <v>262.32</v>
      </c>
      <c r="M94" s="43">
        <v>14465.28</v>
      </c>
      <c r="N94" s="43">
        <v>12591.36</v>
      </c>
      <c r="O94" s="43">
        <v>1873.92</v>
      </c>
      <c r="P94" s="44">
        <v>0.12954605787098486</v>
      </c>
    </row>
    <row r="95" ht="14.25" customHeight="1">
      <c r="C95" s="41" t="s">
        <v>117</v>
      </c>
      <c r="D95" s="41" t="s">
        <v>14</v>
      </c>
      <c r="E95" s="41" t="s">
        <v>54</v>
      </c>
      <c r="F95" s="41" t="s">
        <v>30</v>
      </c>
      <c r="G95" s="41" t="s">
        <v>27</v>
      </c>
      <c r="H95" s="41" t="s">
        <v>31</v>
      </c>
      <c r="I95" s="42">
        <v>45011.0</v>
      </c>
      <c r="J95" s="41">
        <v>424.0</v>
      </c>
      <c r="K95" s="43">
        <v>201.35</v>
      </c>
      <c r="L95" s="43">
        <v>142.99</v>
      </c>
      <c r="M95" s="43">
        <v>85372.4</v>
      </c>
      <c r="N95" s="43">
        <v>60627.76</v>
      </c>
      <c r="O95" s="43">
        <v>24744.639999999992</v>
      </c>
      <c r="P95" s="44">
        <v>0.28984355599702005</v>
      </c>
    </row>
    <row r="96" ht="14.25" customHeight="1">
      <c r="C96" s="41" t="s">
        <v>118</v>
      </c>
      <c r="D96" s="41" t="s">
        <v>14</v>
      </c>
      <c r="E96" s="41" t="s">
        <v>21</v>
      </c>
      <c r="F96" s="41" t="s">
        <v>26</v>
      </c>
      <c r="G96" s="41" t="s">
        <v>17</v>
      </c>
      <c r="H96" s="41" t="s">
        <v>18</v>
      </c>
      <c r="I96" s="42">
        <v>45012.0</v>
      </c>
      <c r="J96" s="41">
        <v>91.0</v>
      </c>
      <c r="K96" s="43">
        <v>122.33</v>
      </c>
      <c r="L96" s="43">
        <v>211.15</v>
      </c>
      <c r="M96" s="43">
        <v>11132.03</v>
      </c>
      <c r="N96" s="43">
        <v>19214.65</v>
      </c>
      <c r="O96" s="43">
        <v>-8082.620000000001</v>
      </c>
      <c r="P96" s="44">
        <v>-0.7260688302133573</v>
      </c>
    </row>
    <row r="97" ht="14.25" customHeight="1">
      <c r="C97" s="41" t="s">
        <v>119</v>
      </c>
      <c r="D97" s="41" t="s">
        <v>52</v>
      </c>
      <c r="E97" s="41" t="s">
        <v>54</v>
      </c>
      <c r="F97" s="41" t="s">
        <v>16</v>
      </c>
      <c r="G97" s="41" t="s">
        <v>17</v>
      </c>
      <c r="H97" s="41" t="s">
        <v>31</v>
      </c>
      <c r="I97" s="42">
        <v>45013.0</v>
      </c>
      <c r="J97" s="41">
        <v>365.0</v>
      </c>
      <c r="K97" s="43">
        <v>121.16</v>
      </c>
      <c r="L97" s="43">
        <v>193.69</v>
      </c>
      <c r="M97" s="43">
        <v>44223.4</v>
      </c>
      <c r="N97" s="43">
        <v>70696.85</v>
      </c>
      <c r="O97" s="43">
        <v>-26473.450000000004</v>
      </c>
      <c r="P97" s="44">
        <v>-0.5986299108616706</v>
      </c>
    </row>
    <row r="98" ht="14.25" customHeight="1">
      <c r="C98" s="41" t="s">
        <v>120</v>
      </c>
      <c r="D98" s="41" t="s">
        <v>25</v>
      </c>
      <c r="E98" s="41" t="s">
        <v>34</v>
      </c>
      <c r="F98" s="41" t="s">
        <v>16</v>
      </c>
      <c r="G98" s="41" t="s">
        <v>17</v>
      </c>
      <c r="H98" s="41" t="s">
        <v>31</v>
      </c>
      <c r="I98" s="42">
        <v>45014.0</v>
      </c>
      <c r="J98" s="41">
        <v>267.0</v>
      </c>
      <c r="K98" s="43">
        <v>442.44</v>
      </c>
      <c r="L98" s="43">
        <v>72.4</v>
      </c>
      <c r="M98" s="43">
        <v>118131.48</v>
      </c>
      <c r="N98" s="43">
        <v>19330.800000000003</v>
      </c>
      <c r="O98" s="43">
        <v>98800.68</v>
      </c>
      <c r="P98" s="44">
        <v>0.8363619925865654</v>
      </c>
    </row>
    <row r="99" ht="14.25" customHeight="1">
      <c r="C99" s="41" t="s">
        <v>121</v>
      </c>
      <c r="D99" s="41" t="s">
        <v>20</v>
      </c>
      <c r="E99" s="41" t="s">
        <v>15</v>
      </c>
      <c r="F99" s="41" t="s">
        <v>46</v>
      </c>
      <c r="G99" s="41" t="s">
        <v>27</v>
      </c>
      <c r="H99" s="41" t="s">
        <v>31</v>
      </c>
      <c r="I99" s="42">
        <v>45015.0</v>
      </c>
      <c r="J99" s="41">
        <v>215.0</v>
      </c>
      <c r="K99" s="43">
        <v>223.8</v>
      </c>
      <c r="L99" s="43">
        <v>156.06</v>
      </c>
      <c r="M99" s="43">
        <v>48117.0</v>
      </c>
      <c r="N99" s="43">
        <v>33552.9</v>
      </c>
      <c r="O99" s="43">
        <v>14564.099999999999</v>
      </c>
      <c r="P99" s="44">
        <v>0.3026809651474531</v>
      </c>
    </row>
    <row r="100" ht="14.25" customHeight="1">
      <c r="C100" s="41" t="s">
        <v>122</v>
      </c>
      <c r="D100" s="41" t="s">
        <v>52</v>
      </c>
      <c r="E100" s="41" t="s">
        <v>21</v>
      </c>
      <c r="F100" s="41" t="s">
        <v>46</v>
      </c>
      <c r="G100" s="41" t="s">
        <v>17</v>
      </c>
      <c r="H100" s="41" t="s">
        <v>31</v>
      </c>
      <c r="I100" s="42">
        <v>45016.0</v>
      </c>
      <c r="J100" s="41">
        <v>86.0</v>
      </c>
      <c r="K100" s="43">
        <v>168.79</v>
      </c>
      <c r="L100" s="43">
        <v>385.6</v>
      </c>
      <c r="M100" s="43">
        <v>14515.939999999999</v>
      </c>
      <c r="N100" s="43">
        <v>33161.6</v>
      </c>
      <c r="O100" s="43">
        <v>-18645.66</v>
      </c>
      <c r="P100" s="44">
        <v>-1.284495526986196</v>
      </c>
    </row>
    <row r="101" ht="14.25" customHeight="1">
      <c r="C101" s="41" t="s">
        <v>123</v>
      </c>
      <c r="D101" s="41" t="s">
        <v>20</v>
      </c>
      <c r="E101" s="41" t="s">
        <v>15</v>
      </c>
      <c r="F101" s="41" t="s">
        <v>30</v>
      </c>
      <c r="G101" s="41" t="s">
        <v>27</v>
      </c>
      <c r="H101" s="41" t="s">
        <v>31</v>
      </c>
      <c r="I101" s="42">
        <v>45017.0</v>
      </c>
      <c r="J101" s="41">
        <v>486.0</v>
      </c>
      <c r="K101" s="43">
        <v>227.14</v>
      </c>
      <c r="L101" s="43">
        <v>100.93</v>
      </c>
      <c r="M101" s="43">
        <v>110390.04</v>
      </c>
      <c r="N101" s="43">
        <v>49051.98</v>
      </c>
      <c r="O101" s="43">
        <v>61338.05999999999</v>
      </c>
      <c r="P101" s="44">
        <v>0.5556484987232543</v>
      </c>
    </row>
    <row r="102" ht="14.25" customHeight="1">
      <c r="C102" s="41" t="s">
        <v>124</v>
      </c>
      <c r="D102" s="41" t="s">
        <v>20</v>
      </c>
      <c r="E102" s="41" t="s">
        <v>54</v>
      </c>
      <c r="F102" s="41" t="s">
        <v>46</v>
      </c>
      <c r="G102" s="41" t="s">
        <v>27</v>
      </c>
      <c r="H102" s="41" t="s">
        <v>23</v>
      </c>
      <c r="I102" s="42">
        <v>45018.0</v>
      </c>
      <c r="J102" s="41">
        <v>21.0</v>
      </c>
      <c r="K102" s="43">
        <v>249.64520588235297</v>
      </c>
      <c r="L102" s="43">
        <v>55.25</v>
      </c>
      <c r="M102" s="43">
        <v>5242.5493235294125</v>
      </c>
      <c r="N102" s="43">
        <v>1160.25</v>
      </c>
      <c r="O102" s="43">
        <v>4082.2993235294125</v>
      </c>
      <c r="P102" s="44">
        <v>0.778685916259746</v>
      </c>
    </row>
    <row r="103" ht="14.25" customHeight="1">
      <c r="C103" s="41" t="s">
        <v>125</v>
      </c>
      <c r="D103" s="41" t="s">
        <v>52</v>
      </c>
      <c r="E103" s="41" t="s">
        <v>54</v>
      </c>
      <c r="F103" s="41" t="s">
        <v>26</v>
      </c>
      <c r="G103" s="41" t="s">
        <v>27</v>
      </c>
      <c r="H103" s="41" t="s">
        <v>18</v>
      </c>
      <c r="I103" s="42">
        <v>45019.0</v>
      </c>
      <c r="J103" s="41">
        <v>304.0</v>
      </c>
      <c r="K103" s="43">
        <v>77.15</v>
      </c>
      <c r="L103" s="43">
        <v>168.6</v>
      </c>
      <c r="M103" s="43">
        <v>23453.600000000002</v>
      </c>
      <c r="N103" s="43">
        <v>51254.4</v>
      </c>
      <c r="O103" s="43">
        <v>-27800.8</v>
      </c>
      <c r="P103" s="44">
        <v>-1.1853532080362927</v>
      </c>
    </row>
    <row r="104" ht="14.25" customHeight="1">
      <c r="C104" s="41" t="s">
        <v>126</v>
      </c>
      <c r="D104" s="41" t="s">
        <v>52</v>
      </c>
      <c r="E104" s="41" t="s">
        <v>21</v>
      </c>
      <c r="F104" s="41" t="s">
        <v>16</v>
      </c>
      <c r="G104" s="41" t="s">
        <v>17</v>
      </c>
      <c r="H104" s="41" t="s">
        <v>23</v>
      </c>
      <c r="I104" s="42">
        <v>45020.0</v>
      </c>
      <c r="J104" s="41">
        <v>459.0</v>
      </c>
      <c r="K104" s="43">
        <v>227.47</v>
      </c>
      <c r="L104" s="43">
        <v>316.55</v>
      </c>
      <c r="M104" s="43">
        <v>104408.73</v>
      </c>
      <c r="N104" s="43">
        <v>145296.45</v>
      </c>
      <c r="O104" s="43">
        <v>-40887.720000000016</v>
      </c>
      <c r="P104" s="44">
        <v>-0.3916120807139405</v>
      </c>
    </row>
    <row r="105" ht="14.25" customHeight="1">
      <c r="C105" s="41" t="s">
        <v>127</v>
      </c>
      <c r="D105" s="41" t="s">
        <v>52</v>
      </c>
      <c r="E105" s="41" t="s">
        <v>34</v>
      </c>
      <c r="F105" s="41" t="s">
        <v>30</v>
      </c>
      <c r="G105" s="41" t="s">
        <v>17</v>
      </c>
      <c r="H105" s="41" t="s">
        <v>18</v>
      </c>
      <c r="I105" s="42">
        <v>45021.0</v>
      </c>
      <c r="J105" s="41">
        <v>233.0</v>
      </c>
      <c r="K105" s="43">
        <v>296.0</v>
      </c>
      <c r="L105" s="43">
        <v>233.69</v>
      </c>
      <c r="M105" s="43">
        <v>68968.0</v>
      </c>
      <c r="N105" s="43">
        <v>54449.77</v>
      </c>
      <c r="O105" s="43">
        <v>14518.230000000003</v>
      </c>
      <c r="P105" s="44">
        <v>0.2105067567567568</v>
      </c>
    </row>
    <row r="106" ht="14.25" customHeight="1">
      <c r="C106" s="41" t="s">
        <v>128</v>
      </c>
      <c r="D106" s="41" t="s">
        <v>52</v>
      </c>
      <c r="E106" s="41" t="s">
        <v>29</v>
      </c>
      <c r="F106" s="41" t="s">
        <v>46</v>
      </c>
      <c r="G106" s="41" t="s">
        <v>27</v>
      </c>
      <c r="H106" s="41" t="s">
        <v>23</v>
      </c>
      <c r="I106" s="42">
        <v>45022.0</v>
      </c>
      <c r="J106" s="41">
        <v>22.0</v>
      </c>
      <c r="K106" s="43">
        <v>474.55</v>
      </c>
      <c r="L106" s="43">
        <v>273.03</v>
      </c>
      <c r="M106" s="43">
        <v>10440.1</v>
      </c>
      <c r="N106" s="43">
        <v>6006.66</v>
      </c>
      <c r="O106" s="43">
        <v>4433.4400000000005</v>
      </c>
      <c r="P106" s="44">
        <v>0.4246549362553999</v>
      </c>
    </row>
    <row r="107" ht="14.25" customHeight="1">
      <c r="C107" s="41" t="s">
        <v>129</v>
      </c>
      <c r="D107" s="41" t="s">
        <v>52</v>
      </c>
      <c r="E107" s="41" t="s">
        <v>21</v>
      </c>
      <c r="F107" s="41" t="s">
        <v>26</v>
      </c>
      <c r="G107" s="41" t="s">
        <v>17</v>
      </c>
      <c r="H107" s="41" t="s">
        <v>31</v>
      </c>
      <c r="I107" s="42">
        <v>45023.0</v>
      </c>
      <c r="J107" s="41">
        <v>55.0</v>
      </c>
      <c r="K107" s="43">
        <v>130.0</v>
      </c>
      <c r="L107" s="43">
        <v>77.5</v>
      </c>
      <c r="M107" s="43">
        <v>7150.0</v>
      </c>
      <c r="N107" s="43">
        <v>4262.5</v>
      </c>
      <c r="O107" s="43">
        <v>2887.5</v>
      </c>
      <c r="P107" s="44">
        <v>0.40384615384615385</v>
      </c>
    </row>
    <row r="108" ht="14.25" customHeight="1">
      <c r="C108" s="41" t="s">
        <v>130</v>
      </c>
      <c r="D108" s="41" t="s">
        <v>20</v>
      </c>
      <c r="E108" s="41" t="s">
        <v>29</v>
      </c>
      <c r="F108" s="41" t="s">
        <v>26</v>
      </c>
      <c r="G108" s="41" t="s">
        <v>17</v>
      </c>
      <c r="H108" s="41" t="s">
        <v>18</v>
      </c>
      <c r="I108" s="42">
        <v>45024.0</v>
      </c>
      <c r="J108" s="41">
        <v>164.0</v>
      </c>
      <c r="K108" s="43">
        <v>182.83</v>
      </c>
      <c r="L108" s="43">
        <v>248.34</v>
      </c>
      <c r="M108" s="43">
        <v>29984.120000000003</v>
      </c>
      <c r="N108" s="43">
        <v>40727.76</v>
      </c>
      <c r="O108" s="43">
        <v>-10743.64</v>
      </c>
      <c r="P108" s="44">
        <v>-0.3583109992889569</v>
      </c>
    </row>
    <row r="109" ht="14.25" customHeight="1">
      <c r="C109" s="41" t="s">
        <v>131</v>
      </c>
      <c r="D109" s="41" t="s">
        <v>52</v>
      </c>
      <c r="E109" s="41" t="s">
        <v>29</v>
      </c>
      <c r="F109" s="41" t="s">
        <v>46</v>
      </c>
      <c r="G109" s="41" t="s">
        <v>17</v>
      </c>
      <c r="H109" s="41" t="s">
        <v>18</v>
      </c>
      <c r="I109" s="42">
        <v>45025.0</v>
      </c>
      <c r="J109" s="41">
        <v>122.0</v>
      </c>
      <c r="K109" s="43">
        <v>192.78</v>
      </c>
      <c r="L109" s="43">
        <v>130.75</v>
      </c>
      <c r="M109" s="43">
        <v>23519.16</v>
      </c>
      <c r="N109" s="43">
        <v>15951.5</v>
      </c>
      <c r="O109" s="43">
        <v>7567.66</v>
      </c>
      <c r="P109" s="44">
        <v>0.3217657433343708</v>
      </c>
    </row>
    <row r="110" ht="14.25" customHeight="1">
      <c r="C110" s="41" t="s">
        <v>132</v>
      </c>
      <c r="D110" s="41" t="s">
        <v>25</v>
      </c>
      <c r="E110" s="41" t="s">
        <v>34</v>
      </c>
      <c r="F110" s="41" t="s">
        <v>16</v>
      </c>
      <c r="G110" s="41" t="s">
        <v>27</v>
      </c>
      <c r="H110" s="41" t="s">
        <v>23</v>
      </c>
      <c r="I110" s="42">
        <v>45026.0</v>
      </c>
      <c r="J110" s="41">
        <v>242.0</v>
      </c>
      <c r="K110" s="43">
        <v>304.74</v>
      </c>
      <c r="L110" s="43">
        <v>334.05</v>
      </c>
      <c r="M110" s="43">
        <v>73747.08</v>
      </c>
      <c r="N110" s="43">
        <v>80840.1</v>
      </c>
      <c r="O110" s="43">
        <v>-7093.020000000004</v>
      </c>
      <c r="P110" s="44">
        <v>-0.09618035046268957</v>
      </c>
    </row>
    <row r="111" ht="14.25" customHeight="1">
      <c r="C111" s="41" t="s">
        <v>133</v>
      </c>
      <c r="D111" s="41" t="s">
        <v>14</v>
      </c>
      <c r="E111" s="41" t="s">
        <v>29</v>
      </c>
      <c r="F111" s="41" t="s">
        <v>46</v>
      </c>
      <c r="G111" s="41" t="s">
        <v>27</v>
      </c>
      <c r="H111" s="41" t="s">
        <v>23</v>
      </c>
      <c r="I111" s="42">
        <v>45027.0</v>
      </c>
      <c r="J111" s="41">
        <v>26.0</v>
      </c>
      <c r="K111" s="43">
        <v>181.58</v>
      </c>
      <c r="L111" s="43">
        <v>252.46</v>
      </c>
      <c r="M111" s="43">
        <v>4721.08</v>
      </c>
      <c r="N111" s="43">
        <v>6563.96</v>
      </c>
      <c r="O111" s="43">
        <v>-1842.88</v>
      </c>
      <c r="P111" s="44">
        <v>-0.39035136028196943</v>
      </c>
    </row>
    <row r="112" ht="14.25" customHeight="1">
      <c r="C112" s="41" t="s">
        <v>134</v>
      </c>
      <c r="D112" s="41" t="s">
        <v>52</v>
      </c>
      <c r="E112" s="41" t="s">
        <v>29</v>
      </c>
      <c r="F112" s="41" t="s">
        <v>30</v>
      </c>
      <c r="G112" s="41" t="s">
        <v>17</v>
      </c>
      <c r="H112" s="41" t="s">
        <v>18</v>
      </c>
      <c r="I112" s="42">
        <v>45028.0</v>
      </c>
      <c r="J112" s="41">
        <v>369.0</v>
      </c>
      <c r="K112" s="43">
        <v>269.09</v>
      </c>
      <c r="L112" s="43">
        <v>81.14</v>
      </c>
      <c r="M112" s="43">
        <v>99294.20999999999</v>
      </c>
      <c r="N112" s="43">
        <v>29940.66</v>
      </c>
      <c r="O112" s="43">
        <v>69353.54999999999</v>
      </c>
      <c r="P112" s="44">
        <v>0.6984651975175591</v>
      </c>
    </row>
    <row r="113" ht="14.25" customHeight="1">
      <c r="C113" s="41" t="s">
        <v>135</v>
      </c>
      <c r="D113" s="41" t="s">
        <v>52</v>
      </c>
      <c r="E113" s="41" t="s">
        <v>34</v>
      </c>
      <c r="F113" s="41" t="s">
        <v>46</v>
      </c>
      <c r="G113" s="41" t="s">
        <v>27</v>
      </c>
      <c r="H113" s="41" t="s">
        <v>23</v>
      </c>
      <c r="I113" s="42">
        <v>45029.0</v>
      </c>
      <c r="J113" s="41">
        <v>232.0</v>
      </c>
      <c r="K113" s="43">
        <v>391.99</v>
      </c>
      <c r="L113" s="43">
        <v>27.72</v>
      </c>
      <c r="M113" s="43">
        <v>90941.68000000001</v>
      </c>
      <c r="N113" s="43">
        <v>6431.04</v>
      </c>
      <c r="O113" s="43">
        <v>84510.64000000001</v>
      </c>
      <c r="P113" s="44">
        <v>0.9292839103038344</v>
      </c>
    </row>
    <row r="114" ht="14.25" customHeight="1">
      <c r="C114" s="41" t="s">
        <v>136</v>
      </c>
      <c r="D114" s="41" t="s">
        <v>20</v>
      </c>
      <c r="E114" s="41" t="s">
        <v>29</v>
      </c>
      <c r="F114" s="41" t="s">
        <v>26</v>
      </c>
      <c r="G114" s="41" t="s">
        <v>17</v>
      </c>
      <c r="H114" s="41" t="s">
        <v>23</v>
      </c>
      <c r="I114" s="42">
        <v>45030.0</v>
      </c>
      <c r="J114" s="41">
        <v>363.0</v>
      </c>
      <c r="K114" s="43">
        <v>354.17</v>
      </c>
      <c r="L114" s="43">
        <v>18.97</v>
      </c>
      <c r="M114" s="43">
        <v>128563.71</v>
      </c>
      <c r="N114" s="43">
        <v>6886.11</v>
      </c>
      <c r="O114" s="43">
        <v>121677.6</v>
      </c>
      <c r="P114" s="44">
        <v>0.9464381511703419</v>
      </c>
    </row>
    <row r="115" ht="14.25" customHeight="1">
      <c r="C115" s="41" t="s">
        <v>137</v>
      </c>
      <c r="D115" s="41" t="s">
        <v>52</v>
      </c>
      <c r="E115" s="41" t="s">
        <v>29</v>
      </c>
      <c r="F115" s="41" t="s">
        <v>46</v>
      </c>
      <c r="G115" s="41" t="s">
        <v>17</v>
      </c>
      <c r="H115" s="41" t="s">
        <v>23</v>
      </c>
      <c r="I115" s="42">
        <v>45031.0</v>
      </c>
      <c r="J115" s="41">
        <v>197.0</v>
      </c>
      <c r="K115" s="43">
        <v>225.95</v>
      </c>
      <c r="L115" s="43">
        <v>149.82</v>
      </c>
      <c r="M115" s="43">
        <v>44512.149999999994</v>
      </c>
      <c r="N115" s="43">
        <v>29514.539999999997</v>
      </c>
      <c r="O115" s="43">
        <v>14997.609999999997</v>
      </c>
      <c r="P115" s="44">
        <v>0.3369329497676477</v>
      </c>
    </row>
    <row r="116" ht="14.25" customHeight="1">
      <c r="C116" s="41" t="s">
        <v>138</v>
      </c>
      <c r="D116" s="41" t="s">
        <v>52</v>
      </c>
      <c r="E116" s="41" t="s">
        <v>29</v>
      </c>
      <c r="F116" s="41" t="s">
        <v>16</v>
      </c>
      <c r="G116" s="41" t="s">
        <v>17</v>
      </c>
      <c r="H116" s="41" t="s">
        <v>31</v>
      </c>
      <c r="I116" s="42">
        <v>45032.0</v>
      </c>
      <c r="J116" s="41">
        <v>457.0</v>
      </c>
      <c r="K116" s="43">
        <v>432.79</v>
      </c>
      <c r="L116" s="43">
        <v>107.81</v>
      </c>
      <c r="M116" s="43">
        <v>197785.03</v>
      </c>
      <c r="N116" s="43">
        <v>49269.17</v>
      </c>
      <c r="O116" s="43">
        <v>148515.86</v>
      </c>
      <c r="P116" s="44">
        <v>0.7508953534046534</v>
      </c>
    </row>
    <row r="117" ht="14.25" customHeight="1">
      <c r="C117" s="41" t="s">
        <v>139</v>
      </c>
      <c r="D117" s="41" t="s">
        <v>52</v>
      </c>
      <c r="E117" s="41" t="s">
        <v>21</v>
      </c>
      <c r="F117" s="41" t="s">
        <v>22</v>
      </c>
      <c r="G117" s="41" t="s">
        <v>17</v>
      </c>
      <c r="H117" s="41" t="s">
        <v>31</v>
      </c>
      <c r="I117" s="42">
        <v>45033.0</v>
      </c>
      <c r="J117" s="41">
        <v>353.0</v>
      </c>
      <c r="K117" s="43">
        <v>281.28</v>
      </c>
      <c r="L117" s="43">
        <v>259.14</v>
      </c>
      <c r="M117" s="43">
        <v>99291.84</v>
      </c>
      <c r="N117" s="43">
        <v>91476.42</v>
      </c>
      <c r="O117" s="43">
        <v>7815.419999999998</v>
      </c>
      <c r="P117" s="44">
        <v>0.07871160409556313</v>
      </c>
    </row>
    <row r="118" ht="14.25" customHeight="1">
      <c r="C118" s="41" t="s">
        <v>140</v>
      </c>
      <c r="D118" s="41" t="s">
        <v>20</v>
      </c>
      <c r="E118" s="41" t="s">
        <v>21</v>
      </c>
      <c r="F118" s="41" t="s">
        <v>46</v>
      </c>
      <c r="G118" s="41" t="s">
        <v>27</v>
      </c>
      <c r="H118" s="41" t="s">
        <v>23</v>
      </c>
      <c r="I118" s="42">
        <v>45034.0</v>
      </c>
      <c r="J118" s="41">
        <v>374.0</v>
      </c>
      <c r="K118" s="43">
        <v>272.25</v>
      </c>
      <c r="L118" s="43">
        <v>200.73</v>
      </c>
      <c r="M118" s="43">
        <v>101821.5</v>
      </c>
      <c r="N118" s="43">
        <v>75073.01999999999</v>
      </c>
      <c r="O118" s="43">
        <v>26748.48000000001</v>
      </c>
      <c r="P118" s="44">
        <v>0.26269972451790646</v>
      </c>
    </row>
    <row r="119" ht="14.25" customHeight="1">
      <c r="C119" s="41" t="s">
        <v>141</v>
      </c>
      <c r="D119" s="41" t="s">
        <v>52</v>
      </c>
      <c r="E119" s="41" t="s">
        <v>21</v>
      </c>
      <c r="F119" s="41" t="s">
        <v>16</v>
      </c>
      <c r="G119" s="41" t="s">
        <v>27</v>
      </c>
      <c r="H119" s="41" t="s">
        <v>23</v>
      </c>
      <c r="I119" s="42">
        <v>45035.0</v>
      </c>
      <c r="J119" s="41">
        <v>172.0</v>
      </c>
      <c r="K119" s="43">
        <v>21.92</v>
      </c>
      <c r="L119" s="43">
        <v>107.88</v>
      </c>
      <c r="M119" s="43">
        <v>3770.2400000000002</v>
      </c>
      <c r="N119" s="43">
        <v>18555.36</v>
      </c>
      <c r="O119" s="43">
        <v>-14785.12</v>
      </c>
      <c r="P119" s="44">
        <v>-3.9215328467153285</v>
      </c>
    </row>
    <row r="120" ht="14.25" customHeight="1">
      <c r="C120" s="41" t="s">
        <v>142</v>
      </c>
      <c r="D120" s="41" t="s">
        <v>14</v>
      </c>
      <c r="E120" s="41" t="s">
        <v>34</v>
      </c>
      <c r="F120" s="41" t="s">
        <v>16</v>
      </c>
      <c r="G120" s="41" t="s">
        <v>27</v>
      </c>
      <c r="H120" s="41" t="s">
        <v>31</v>
      </c>
      <c r="I120" s="42">
        <v>45036.0</v>
      </c>
      <c r="J120" s="41">
        <v>335.0</v>
      </c>
      <c r="K120" s="43">
        <v>493.41</v>
      </c>
      <c r="L120" s="43">
        <v>61.4</v>
      </c>
      <c r="M120" s="43">
        <v>165292.35</v>
      </c>
      <c r="N120" s="43">
        <v>20569.0</v>
      </c>
      <c r="O120" s="43">
        <v>144723.35</v>
      </c>
      <c r="P120" s="44">
        <v>0.875559879207961</v>
      </c>
    </row>
    <row r="121" ht="14.25" customHeight="1">
      <c r="C121" s="41" t="s">
        <v>143</v>
      </c>
      <c r="D121" s="41" t="s">
        <v>20</v>
      </c>
      <c r="E121" s="41" t="s">
        <v>54</v>
      </c>
      <c r="F121" s="41" t="s">
        <v>26</v>
      </c>
      <c r="G121" s="41" t="s">
        <v>17</v>
      </c>
      <c r="H121" s="41" t="s">
        <v>31</v>
      </c>
      <c r="I121" s="42">
        <v>45037.0</v>
      </c>
      <c r="J121" s="41">
        <v>476.0</v>
      </c>
      <c r="K121" s="43">
        <v>65.87</v>
      </c>
      <c r="L121" s="43">
        <v>52.63</v>
      </c>
      <c r="M121" s="43">
        <v>31354.120000000003</v>
      </c>
      <c r="N121" s="43">
        <v>25051.88</v>
      </c>
      <c r="O121" s="43">
        <v>6302.240000000002</v>
      </c>
      <c r="P121" s="44">
        <v>0.2010019735843328</v>
      </c>
    </row>
    <row r="122" ht="14.25" customHeight="1">
      <c r="C122" s="41" t="s">
        <v>144</v>
      </c>
      <c r="D122" s="41" t="s">
        <v>14</v>
      </c>
      <c r="E122" s="41" t="s">
        <v>29</v>
      </c>
      <c r="F122" s="41" t="s">
        <v>16</v>
      </c>
      <c r="G122" s="41" t="s">
        <v>17</v>
      </c>
      <c r="H122" s="41" t="s">
        <v>18</v>
      </c>
      <c r="I122" s="42">
        <v>45038.0</v>
      </c>
      <c r="J122" s="41">
        <v>423.0</v>
      </c>
      <c r="K122" s="43">
        <v>119.41</v>
      </c>
      <c r="L122" s="43">
        <v>346.13</v>
      </c>
      <c r="M122" s="43">
        <v>50510.43</v>
      </c>
      <c r="N122" s="43">
        <v>146412.99</v>
      </c>
      <c r="O122" s="43">
        <v>-95902.56</v>
      </c>
      <c r="P122" s="44">
        <v>-1.8986684532283729</v>
      </c>
    </row>
    <row r="123" ht="14.25" customHeight="1">
      <c r="C123" s="41" t="s">
        <v>145</v>
      </c>
      <c r="D123" s="41" t="s">
        <v>20</v>
      </c>
      <c r="E123" s="41" t="s">
        <v>29</v>
      </c>
      <c r="F123" s="41" t="s">
        <v>16</v>
      </c>
      <c r="G123" s="41" t="s">
        <v>17</v>
      </c>
      <c r="H123" s="41" t="s">
        <v>18</v>
      </c>
      <c r="I123" s="42">
        <v>45039.0</v>
      </c>
      <c r="J123" s="41">
        <v>464.0</v>
      </c>
      <c r="K123" s="43">
        <v>30.59</v>
      </c>
      <c r="L123" s="43">
        <v>98.9</v>
      </c>
      <c r="M123" s="43">
        <v>14193.76</v>
      </c>
      <c r="N123" s="43">
        <v>45889.600000000006</v>
      </c>
      <c r="O123" s="43">
        <v>-31695.840000000004</v>
      </c>
      <c r="P123" s="44">
        <v>-2.2330827067669174</v>
      </c>
    </row>
    <row r="124" ht="14.25" customHeight="1">
      <c r="C124" s="41" t="s">
        <v>146</v>
      </c>
      <c r="D124" s="41" t="s">
        <v>52</v>
      </c>
      <c r="E124" s="41" t="s">
        <v>34</v>
      </c>
      <c r="F124" s="41" t="s">
        <v>16</v>
      </c>
      <c r="G124" s="41" t="s">
        <v>27</v>
      </c>
      <c r="H124" s="41" t="s">
        <v>31</v>
      </c>
      <c r="I124" s="42">
        <v>45040.0</v>
      </c>
      <c r="J124" s="41">
        <v>83.0</v>
      </c>
      <c r="K124" s="43">
        <v>321.8</v>
      </c>
      <c r="L124" s="43">
        <v>261.38</v>
      </c>
      <c r="M124" s="43">
        <v>26709.4</v>
      </c>
      <c r="N124" s="43">
        <v>21694.54</v>
      </c>
      <c r="O124" s="43">
        <v>5014.860000000001</v>
      </c>
      <c r="P124" s="44">
        <v>0.18775637041640772</v>
      </c>
    </row>
    <row r="125" ht="14.25" customHeight="1">
      <c r="C125" s="41" t="s">
        <v>147</v>
      </c>
      <c r="D125" s="41" t="s">
        <v>14</v>
      </c>
      <c r="E125" s="41" t="s">
        <v>29</v>
      </c>
      <c r="F125" s="41" t="s">
        <v>16</v>
      </c>
      <c r="G125" s="41" t="s">
        <v>17</v>
      </c>
      <c r="H125" s="41" t="s">
        <v>23</v>
      </c>
      <c r="I125" s="42">
        <v>45041.0</v>
      </c>
      <c r="J125" s="41">
        <v>242.0</v>
      </c>
      <c r="K125" s="43">
        <v>116.23</v>
      </c>
      <c r="L125" s="43">
        <v>324.65</v>
      </c>
      <c r="M125" s="43">
        <v>28127.66</v>
      </c>
      <c r="N125" s="43">
        <v>78565.29999999999</v>
      </c>
      <c r="O125" s="43">
        <v>-50437.639999999985</v>
      </c>
      <c r="P125" s="44">
        <v>-1.7931687171986572</v>
      </c>
    </row>
    <row r="126" ht="14.25" customHeight="1">
      <c r="C126" s="41" t="s">
        <v>148</v>
      </c>
      <c r="D126" s="41" t="s">
        <v>20</v>
      </c>
      <c r="E126" s="41" t="s">
        <v>21</v>
      </c>
      <c r="F126" s="41" t="s">
        <v>30</v>
      </c>
      <c r="G126" s="41" t="s">
        <v>27</v>
      </c>
      <c r="H126" s="41" t="s">
        <v>23</v>
      </c>
      <c r="I126" s="42">
        <v>45042.0</v>
      </c>
      <c r="J126" s="41">
        <v>233.0</v>
      </c>
      <c r="K126" s="43">
        <v>94.11</v>
      </c>
      <c r="L126" s="43">
        <v>246.4</v>
      </c>
      <c r="M126" s="43">
        <v>21927.63</v>
      </c>
      <c r="N126" s="43">
        <v>57411.200000000004</v>
      </c>
      <c r="O126" s="43">
        <v>-35483.57000000001</v>
      </c>
      <c r="P126" s="44">
        <v>-1.6182127297842952</v>
      </c>
    </row>
    <row r="127" ht="14.25" customHeight="1">
      <c r="C127" s="41" t="s">
        <v>149</v>
      </c>
      <c r="D127" s="41" t="s">
        <v>25</v>
      </c>
      <c r="E127" s="41" t="s">
        <v>54</v>
      </c>
      <c r="F127" s="41" t="s">
        <v>30</v>
      </c>
      <c r="G127" s="41" t="s">
        <v>27</v>
      </c>
      <c r="H127" s="41" t="s">
        <v>23</v>
      </c>
      <c r="I127" s="42">
        <v>45043.0</v>
      </c>
      <c r="J127" s="41">
        <v>491.0</v>
      </c>
      <c r="K127" s="43">
        <v>48.84</v>
      </c>
      <c r="L127" s="43">
        <v>344.11</v>
      </c>
      <c r="M127" s="43">
        <v>23980.440000000002</v>
      </c>
      <c r="N127" s="43">
        <v>168958.01</v>
      </c>
      <c r="O127" s="43">
        <v>-144977.57</v>
      </c>
      <c r="P127" s="44">
        <v>-6.045659295659295</v>
      </c>
    </row>
    <row r="128" ht="14.25" customHeight="1">
      <c r="C128" s="41" t="s">
        <v>150</v>
      </c>
      <c r="D128" s="41" t="s">
        <v>39</v>
      </c>
      <c r="E128" s="41" t="s">
        <v>15</v>
      </c>
      <c r="F128" s="41" t="s">
        <v>26</v>
      </c>
      <c r="G128" s="41" t="s">
        <v>27</v>
      </c>
      <c r="H128" s="41" t="s">
        <v>23</v>
      </c>
      <c r="I128" s="42">
        <v>45044.0</v>
      </c>
      <c r="J128" s="41">
        <v>328.0</v>
      </c>
      <c r="K128" s="43">
        <v>56.14</v>
      </c>
      <c r="L128" s="43">
        <v>158.17</v>
      </c>
      <c r="M128" s="43">
        <v>18413.920000000002</v>
      </c>
      <c r="N128" s="43">
        <v>51879.759999999995</v>
      </c>
      <c r="O128" s="43">
        <v>-33465.84</v>
      </c>
      <c r="P128" s="44">
        <v>-1.8174207338795865</v>
      </c>
    </row>
    <row r="129" ht="14.25" customHeight="1">
      <c r="C129" s="41" t="s">
        <v>151</v>
      </c>
      <c r="D129" s="41" t="s">
        <v>20</v>
      </c>
      <c r="E129" s="41" t="s">
        <v>29</v>
      </c>
      <c r="F129" s="41" t="s">
        <v>46</v>
      </c>
      <c r="G129" s="41" t="s">
        <v>27</v>
      </c>
      <c r="H129" s="41" t="s">
        <v>18</v>
      </c>
      <c r="I129" s="42">
        <v>45045.0</v>
      </c>
      <c r="J129" s="41">
        <v>421.0</v>
      </c>
      <c r="K129" s="43">
        <v>294.41</v>
      </c>
      <c r="L129" s="43">
        <v>382.58</v>
      </c>
      <c r="M129" s="43">
        <v>123946.61000000002</v>
      </c>
      <c r="N129" s="43">
        <v>161066.18</v>
      </c>
      <c r="O129" s="43">
        <v>-37119.56999999998</v>
      </c>
      <c r="P129" s="44">
        <v>-0.29948031656533386</v>
      </c>
    </row>
    <row r="130" ht="14.25" customHeight="1">
      <c r="C130" s="41" t="s">
        <v>152</v>
      </c>
      <c r="D130" s="41" t="s">
        <v>25</v>
      </c>
      <c r="E130" s="41" t="s">
        <v>21</v>
      </c>
      <c r="F130" s="41" t="s">
        <v>16</v>
      </c>
      <c r="G130" s="41" t="s">
        <v>27</v>
      </c>
      <c r="H130" s="41" t="s">
        <v>31</v>
      </c>
      <c r="I130" s="42">
        <v>45046.0</v>
      </c>
      <c r="J130" s="41">
        <v>69.0</v>
      </c>
      <c r="K130" s="43">
        <v>345.66</v>
      </c>
      <c r="L130" s="43">
        <v>54.99</v>
      </c>
      <c r="M130" s="43">
        <v>23850.54</v>
      </c>
      <c r="N130" s="43">
        <v>3794.31</v>
      </c>
      <c r="O130" s="43">
        <v>20056.23</v>
      </c>
      <c r="P130" s="44">
        <v>0.8409130359312619</v>
      </c>
    </row>
    <row r="131" ht="14.25" customHeight="1">
      <c r="C131" s="41" t="s">
        <v>153</v>
      </c>
      <c r="D131" s="41" t="s">
        <v>20</v>
      </c>
      <c r="E131" s="41" t="s">
        <v>15</v>
      </c>
      <c r="F131" s="41" t="s">
        <v>46</v>
      </c>
      <c r="G131" s="41" t="s">
        <v>27</v>
      </c>
      <c r="H131" s="41" t="s">
        <v>23</v>
      </c>
      <c r="I131" s="42">
        <v>45047.0</v>
      </c>
      <c r="J131" s="41">
        <v>344.0</v>
      </c>
      <c r="K131" s="43">
        <v>201.7</v>
      </c>
      <c r="L131" s="43">
        <v>42.66</v>
      </c>
      <c r="M131" s="43">
        <v>69384.8</v>
      </c>
      <c r="N131" s="43">
        <v>14675.039999999999</v>
      </c>
      <c r="O131" s="43">
        <v>54709.76</v>
      </c>
      <c r="P131" s="44">
        <v>0.7884977689638076</v>
      </c>
    </row>
    <row r="132" ht="14.25" customHeight="1">
      <c r="C132" s="41" t="s">
        <v>154</v>
      </c>
      <c r="D132" s="41" t="s">
        <v>39</v>
      </c>
      <c r="E132" s="41" t="s">
        <v>54</v>
      </c>
      <c r="F132" s="41" t="s">
        <v>46</v>
      </c>
      <c r="G132" s="41" t="s">
        <v>17</v>
      </c>
      <c r="H132" s="41" t="s">
        <v>18</v>
      </c>
      <c r="I132" s="42">
        <v>45048.0</v>
      </c>
      <c r="J132" s="41">
        <v>231.0</v>
      </c>
      <c r="K132" s="43">
        <v>242.55</v>
      </c>
      <c r="L132" s="43">
        <v>264.16</v>
      </c>
      <c r="M132" s="43">
        <v>56029.05</v>
      </c>
      <c r="N132" s="43">
        <v>61020.96000000001</v>
      </c>
      <c r="O132" s="43">
        <v>-4991.9100000000035</v>
      </c>
      <c r="P132" s="44">
        <v>-0.08909503195217487</v>
      </c>
    </row>
    <row r="133" ht="14.25" customHeight="1">
      <c r="C133" s="41" t="s">
        <v>155</v>
      </c>
      <c r="D133" s="41" t="s">
        <v>52</v>
      </c>
      <c r="E133" s="41" t="s">
        <v>15</v>
      </c>
      <c r="F133" s="41" t="s">
        <v>26</v>
      </c>
      <c r="G133" s="41" t="s">
        <v>17</v>
      </c>
      <c r="H133" s="41" t="s">
        <v>23</v>
      </c>
      <c r="I133" s="42">
        <v>45049.0</v>
      </c>
      <c r="J133" s="41">
        <v>46.0</v>
      </c>
      <c r="K133" s="43">
        <v>344.55</v>
      </c>
      <c r="L133" s="43">
        <v>377.25</v>
      </c>
      <c r="M133" s="43">
        <v>15849.300000000001</v>
      </c>
      <c r="N133" s="43">
        <v>17353.5</v>
      </c>
      <c r="O133" s="43">
        <v>-1504.199999999999</v>
      </c>
      <c r="P133" s="44">
        <v>-0.09490639965171956</v>
      </c>
    </row>
    <row r="134" ht="14.25" customHeight="1">
      <c r="C134" s="41" t="s">
        <v>156</v>
      </c>
      <c r="D134" s="41" t="s">
        <v>14</v>
      </c>
      <c r="E134" s="41" t="s">
        <v>21</v>
      </c>
      <c r="F134" s="41" t="s">
        <v>16</v>
      </c>
      <c r="G134" s="41" t="s">
        <v>27</v>
      </c>
      <c r="H134" s="41" t="s">
        <v>31</v>
      </c>
      <c r="I134" s="42">
        <v>45050.0</v>
      </c>
      <c r="J134" s="41">
        <v>486.0</v>
      </c>
      <c r="K134" s="43">
        <v>13.6</v>
      </c>
      <c r="L134" s="43">
        <v>323.94</v>
      </c>
      <c r="M134" s="43">
        <v>6609.599999999999</v>
      </c>
      <c r="N134" s="43">
        <v>157434.84</v>
      </c>
      <c r="O134" s="43">
        <v>-150825.24</v>
      </c>
      <c r="P134" s="44">
        <v>-22.819117647058825</v>
      </c>
    </row>
    <row r="135" ht="14.25" customHeight="1">
      <c r="C135" s="41" t="s">
        <v>157</v>
      </c>
      <c r="D135" s="41" t="s">
        <v>25</v>
      </c>
      <c r="E135" s="41" t="s">
        <v>15</v>
      </c>
      <c r="F135" s="41" t="s">
        <v>16</v>
      </c>
      <c r="G135" s="41" t="s">
        <v>27</v>
      </c>
      <c r="H135" s="41" t="s">
        <v>18</v>
      </c>
      <c r="I135" s="42">
        <v>45051.0</v>
      </c>
      <c r="J135" s="41">
        <v>287.0</v>
      </c>
      <c r="K135" s="43">
        <v>164.95</v>
      </c>
      <c r="L135" s="43">
        <v>32.41</v>
      </c>
      <c r="M135" s="43">
        <v>47340.649999999994</v>
      </c>
      <c r="N135" s="43">
        <v>9301.669999999998</v>
      </c>
      <c r="O135" s="43">
        <v>38038.979999999996</v>
      </c>
      <c r="P135" s="44">
        <v>0.8035162170354653</v>
      </c>
    </row>
    <row r="136" ht="14.25" customHeight="1">
      <c r="C136" s="41" t="s">
        <v>158</v>
      </c>
      <c r="D136" s="41" t="s">
        <v>20</v>
      </c>
      <c r="E136" s="41" t="s">
        <v>34</v>
      </c>
      <c r="F136" s="41" t="s">
        <v>22</v>
      </c>
      <c r="G136" s="41" t="s">
        <v>17</v>
      </c>
      <c r="H136" s="41" t="s">
        <v>31</v>
      </c>
      <c r="I136" s="42">
        <v>45052.0</v>
      </c>
      <c r="J136" s="41">
        <v>205.0</v>
      </c>
      <c r="K136" s="43">
        <v>486.68</v>
      </c>
      <c r="L136" s="43">
        <v>113.19</v>
      </c>
      <c r="M136" s="43">
        <v>99769.4</v>
      </c>
      <c r="N136" s="43">
        <v>23203.95</v>
      </c>
      <c r="O136" s="43">
        <v>76565.45</v>
      </c>
      <c r="P136" s="44">
        <v>0.7674241801594477</v>
      </c>
    </row>
    <row r="137" ht="14.25" customHeight="1">
      <c r="C137" s="41" t="s">
        <v>159</v>
      </c>
      <c r="D137" s="41" t="s">
        <v>52</v>
      </c>
      <c r="E137" s="41" t="s">
        <v>15</v>
      </c>
      <c r="F137" s="41" t="s">
        <v>46</v>
      </c>
      <c r="G137" s="41" t="s">
        <v>27</v>
      </c>
      <c r="H137" s="41" t="s">
        <v>31</v>
      </c>
      <c r="I137" s="42">
        <v>45053.0</v>
      </c>
      <c r="J137" s="41">
        <v>413.0</v>
      </c>
      <c r="K137" s="43">
        <v>292.16</v>
      </c>
      <c r="L137" s="43">
        <v>372.27</v>
      </c>
      <c r="M137" s="43">
        <v>120662.08000000002</v>
      </c>
      <c r="N137" s="43">
        <v>153747.50999999998</v>
      </c>
      <c r="O137" s="43">
        <v>-33085.429999999964</v>
      </c>
      <c r="P137" s="44">
        <v>-0.27419906900328556</v>
      </c>
    </row>
    <row r="138" ht="14.25" customHeight="1">
      <c r="C138" s="41" t="s">
        <v>160</v>
      </c>
      <c r="D138" s="41" t="s">
        <v>25</v>
      </c>
      <c r="E138" s="41" t="s">
        <v>29</v>
      </c>
      <c r="F138" s="41" t="s">
        <v>46</v>
      </c>
      <c r="G138" s="41" t="s">
        <v>27</v>
      </c>
      <c r="H138" s="41" t="s">
        <v>18</v>
      </c>
      <c r="I138" s="42">
        <v>45054.0</v>
      </c>
      <c r="J138" s="41">
        <v>361.0</v>
      </c>
      <c r="K138" s="43">
        <v>130.84</v>
      </c>
      <c r="L138" s="43">
        <v>102.72</v>
      </c>
      <c r="M138" s="43">
        <v>47233.24</v>
      </c>
      <c r="N138" s="43">
        <v>37081.92</v>
      </c>
      <c r="O138" s="43">
        <v>10151.32</v>
      </c>
      <c r="P138" s="44">
        <v>0.2149189850198716</v>
      </c>
    </row>
    <row r="139" ht="14.25" customHeight="1">
      <c r="C139" s="41" t="s">
        <v>161</v>
      </c>
      <c r="D139" s="41" t="s">
        <v>20</v>
      </c>
      <c r="E139" s="41" t="s">
        <v>29</v>
      </c>
      <c r="F139" s="41" t="s">
        <v>30</v>
      </c>
      <c r="G139" s="41" t="s">
        <v>17</v>
      </c>
      <c r="H139" s="41" t="s">
        <v>18</v>
      </c>
      <c r="I139" s="42">
        <v>45055.0</v>
      </c>
      <c r="J139" s="41">
        <v>493.0</v>
      </c>
      <c r="K139" s="43">
        <v>263.26</v>
      </c>
      <c r="L139" s="43">
        <v>312.91</v>
      </c>
      <c r="M139" s="43">
        <v>129787.18</v>
      </c>
      <c r="N139" s="43">
        <v>154264.63</v>
      </c>
      <c r="O139" s="43">
        <v>-24477.45000000001</v>
      </c>
      <c r="P139" s="44">
        <v>-0.18859682443212045</v>
      </c>
    </row>
    <row r="140" ht="14.25" customHeight="1">
      <c r="C140" s="41" t="s">
        <v>162</v>
      </c>
      <c r="D140" s="41" t="s">
        <v>20</v>
      </c>
      <c r="E140" s="41" t="s">
        <v>34</v>
      </c>
      <c r="F140" s="41" t="s">
        <v>22</v>
      </c>
      <c r="G140" s="41" t="s">
        <v>27</v>
      </c>
      <c r="H140" s="41" t="s">
        <v>18</v>
      </c>
      <c r="I140" s="42">
        <v>45056.0</v>
      </c>
      <c r="J140" s="41">
        <v>251.0</v>
      </c>
      <c r="K140" s="43">
        <v>174.61</v>
      </c>
      <c r="L140" s="43">
        <v>330.4</v>
      </c>
      <c r="M140" s="43">
        <v>43827.11</v>
      </c>
      <c r="N140" s="43">
        <v>82930.4</v>
      </c>
      <c r="O140" s="43">
        <v>-39103.28999999999</v>
      </c>
      <c r="P140" s="44">
        <v>-0.8922169406105033</v>
      </c>
    </row>
    <row r="141" ht="14.25" customHeight="1">
      <c r="C141" s="41" t="s">
        <v>163</v>
      </c>
      <c r="D141" s="41" t="s">
        <v>20</v>
      </c>
      <c r="E141" s="41" t="s">
        <v>21</v>
      </c>
      <c r="F141" s="41" t="s">
        <v>30</v>
      </c>
      <c r="G141" s="41" t="s">
        <v>27</v>
      </c>
      <c r="H141" s="41" t="s">
        <v>18</v>
      </c>
      <c r="I141" s="42">
        <v>45057.0</v>
      </c>
      <c r="J141" s="45">
        <v>255.9029411764706</v>
      </c>
      <c r="K141" s="43">
        <v>268.46</v>
      </c>
      <c r="L141" s="43">
        <v>199.19</v>
      </c>
      <c r="M141" s="43">
        <v>68699.7035882353</v>
      </c>
      <c r="N141" s="43">
        <v>50973.306852941176</v>
      </c>
      <c r="O141" s="43">
        <v>17726.396735294118</v>
      </c>
      <c r="P141" s="44">
        <v>0.25802726663190045</v>
      </c>
    </row>
    <row r="142" ht="14.25" customHeight="1">
      <c r="C142" s="41" t="s">
        <v>164</v>
      </c>
      <c r="D142" s="41" t="s">
        <v>25</v>
      </c>
      <c r="E142" s="41" t="s">
        <v>29</v>
      </c>
      <c r="F142" s="41" t="s">
        <v>30</v>
      </c>
      <c r="G142" s="41" t="s">
        <v>27</v>
      </c>
      <c r="H142" s="41" t="s">
        <v>18</v>
      </c>
      <c r="I142" s="42">
        <v>45058.0</v>
      </c>
      <c r="J142" s="41">
        <v>228.0</v>
      </c>
      <c r="K142" s="43">
        <v>67.24</v>
      </c>
      <c r="L142" s="43">
        <v>155.77</v>
      </c>
      <c r="M142" s="43">
        <v>15330.72</v>
      </c>
      <c r="N142" s="43">
        <v>35515.560000000005</v>
      </c>
      <c r="O142" s="43">
        <v>-20184.840000000004</v>
      </c>
      <c r="P142" s="44">
        <v>-1.3166270077334923</v>
      </c>
    </row>
    <row r="143" ht="14.25" customHeight="1">
      <c r="C143" s="41" t="s">
        <v>165</v>
      </c>
      <c r="D143" s="41" t="s">
        <v>25</v>
      </c>
      <c r="E143" s="41" t="s">
        <v>54</v>
      </c>
      <c r="F143" s="41" t="s">
        <v>30</v>
      </c>
      <c r="G143" s="41" t="s">
        <v>17</v>
      </c>
      <c r="H143" s="41" t="s">
        <v>18</v>
      </c>
      <c r="I143" s="42">
        <v>45059.0</v>
      </c>
      <c r="J143" s="41">
        <v>201.0</v>
      </c>
      <c r="K143" s="43">
        <v>70.69</v>
      </c>
      <c r="L143" s="43">
        <v>181.15</v>
      </c>
      <c r="M143" s="43">
        <v>14208.689999999999</v>
      </c>
      <c r="N143" s="43">
        <v>36411.15</v>
      </c>
      <c r="O143" s="43">
        <v>-22202.460000000003</v>
      </c>
      <c r="P143" s="44">
        <v>-1.5625972556231436</v>
      </c>
    </row>
    <row r="144" ht="14.25" customHeight="1">
      <c r="C144" s="41" t="s">
        <v>166</v>
      </c>
      <c r="D144" s="41" t="s">
        <v>25</v>
      </c>
      <c r="E144" s="41" t="s">
        <v>29</v>
      </c>
      <c r="F144" s="41" t="s">
        <v>26</v>
      </c>
      <c r="G144" s="41" t="s">
        <v>17</v>
      </c>
      <c r="H144" s="41" t="s">
        <v>18</v>
      </c>
      <c r="I144" s="42">
        <v>45060.0</v>
      </c>
      <c r="J144" s="41">
        <v>26.0</v>
      </c>
      <c r="K144" s="43">
        <v>76.05</v>
      </c>
      <c r="L144" s="43">
        <v>92.33</v>
      </c>
      <c r="M144" s="43">
        <v>1977.3</v>
      </c>
      <c r="N144" s="43">
        <v>2400.58</v>
      </c>
      <c r="O144" s="43">
        <v>-423.28</v>
      </c>
      <c r="P144" s="44">
        <v>-0.2140696909927679</v>
      </c>
    </row>
    <row r="145" ht="14.25" customHeight="1">
      <c r="C145" s="41" t="s">
        <v>167</v>
      </c>
      <c r="D145" s="41" t="s">
        <v>14</v>
      </c>
      <c r="E145" s="41" t="s">
        <v>29</v>
      </c>
      <c r="F145" s="41" t="s">
        <v>26</v>
      </c>
      <c r="G145" s="41" t="s">
        <v>17</v>
      </c>
      <c r="H145" s="41" t="s">
        <v>23</v>
      </c>
      <c r="I145" s="42">
        <v>45061.0</v>
      </c>
      <c r="J145" s="41">
        <v>21.0</v>
      </c>
      <c r="K145" s="43">
        <v>470.21</v>
      </c>
      <c r="L145" s="43">
        <v>355.98</v>
      </c>
      <c r="M145" s="43">
        <v>9874.41</v>
      </c>
      <c r="N145" s="43">
        <v>7475.58</v>
      </c>
      <c r="O145" s="43">
        <v>2398.83</v>
      </c>
      <c r="P145" s="44">
        <v>0.24293400820909805</v>
      </c>
    </row>
    <row r="146" ht="14.25" customHeight="1">
      <c r="C146" s="41" t="s">
        <v>168</v>
      </c>
      <c r="D146" s="41" t="s">
        <v>25</v>
      </c>
      <c r="E146" s="41" t="s">
        <v>21</v>
      </c>
      <c r="F146" s="41" t="s">
        <v>30</v>
      </c>
      <c r="G146" s="41" t="s">
        <v>27</v>
      </c>
      <c r="H146" s="41" t="s">
        <v>31</v>
      </c>
      <c r="I146" s="42">
        <v>45062.0</v>
      </c>
      <c r="J146" s="41">
        <v>415.0</v>
      </c>
      <c r="K146" s="43">
        <v>367.78</v>
      </c>
      <c r="L146" s="43">
        <v>181.35</v>
      </c>
      <c r="M146" s="43">
        <v>152628.69999999998</v>
      </c>
      <c r="N146" s="43">
        <v>75260.25</v>
      </c>
      <c r="O146" s="43">
        <v>77368.44999999998</v>
      </c>
      <c r="P146" s="44">
        <v>0.5069063026809505</v>
      </c>
    </row>
    <row r="147" ht="14.25" customHeight="1">
      <c r="C147" s="41" t="s">
        <v>169</v>
      </c>
      <c r="D147" s="41" t="s">
        <v>25</v>
      </c>
      <c r="E147" s="41" t="s">
        <v>15</v>
      </c>
      <c r="F147" s="41" t="s">
        <v>22</v>
      </c>
      <c r="G147" s="41" t="s">
        <v>27</v>
      </c>
      <c r="H147" s="41" t="s">
        <v>18</v>
      </c>
      <c r="I147" s="42">
        <v>45063.0</v>
      </c>
      <c r="J147" s="41">
        <v>410.0</v>
      </c>
      <c r="K147" s="43">
        <v>85.38</v>
      </c>
      <c r="L147" s="43">
        <v>353.22</v>
      </c>
      <c r="M147" s="43">
        <v>35005.799999999996</v>
      </c>
      <c r="N147" s="43">
        <v>144820.2</v>
      </c>
      <c r="O147" s="43">
        <v>-109814.40000000002</v>
      </c>
      <c r="P147" s="44">
        <v>-3.1370344342937466</v>
      </c>
    </row>
    <row r="148" ht="14.25" customHeight="1">
      <c r="C148" s="41" t="s">
        <v>170</v>
      </c>
      <c r="D148" s="41" t="s">
        <v>25</v>
      </c>
      <c r="E148" s="41" t="s">
        <v>29</v>
      </c>
      <c r="F148" s="41" t="s">
        <v>46</v>
      </c>
      <c r="G148" s="41" t="s">
        <v>17</v>
      </c>
      <c r="H148" s="41" t="s">
        <v>23</v>
      </c>
      <c r="I148" s="42">
        <v>45064.0</v>
      </c>
      <c r="J148" s="41">
        <v>403.0</v>
      </c>
      <c r="K148" s="43">
        <v>98.23</v>
      </c>
      <c r="L148" s="43">
        <v>44.07</v>
      </c>
      <c r="M148" s="43">
        <v>39586.69</v>
      </c>
      <c r="N148" s="43">
        <v>17760.21</v>
      </c>
      <c r="O148" s="43">
        <v>21826.480000000003</v>
      </c>
      <c r="P148" s="44">
        <v>0.5513590552784282</v>
      </c>
    </row>
    <row r="149" ht="14.25" customHeight="1">
      <c r="C149" s="41" t="s">
        <v>171</v>
      </c>
      <c r="D149" s="41" t="s">
        <v>14</v>
      </c>
      <c r="E149" s="41" t="s">
        <v>34</v>
      </c>
      <c r="F149" s="41" t="s">
        <v>22</v>
      </c>
      <c r="G149" s="41" t="s">
        <v>27</v>
      </c>
      <c r="H149" s="41" t="s">
        <v>23</v>
      </c>
      <c r="I149" s="42">
        <v>45065.0</v>
      </c>
      <c r="J149" s="41">
        <v>383.0</v>
      </c>
      <c r="K149" s="43">
        <v>366.76</v>
      </c>
      <c r="L149" s="43">
        <v>395.33</v>
      </c>
      <c r="M149" s="43">
        <v>140469.08</v>
      </c>
      <c r="N149" s="43">
        <v>151411.38999999998</v>
      </c>
      <c r="O149" s="43">
        <v>-10942.309999999998</v>
      </c>
      <c r="P149" s="44">
        <v>-0.0778983531464718</v>
      </c>
    </row>
    <row r="150" ht="14.25" customHeight="1">
      <c r="C150" s="41" t="s">
        <v>172</v>
      </c>
      <c r="D150" s="41" t="s">
        <v>25</v>
      </c>
      <c r="E150" s="41" t="s">
        <v>15</v>
      </c>
      <c r="F150" s="41" t="s">
        <v>16</v>
      </c>
      <c r="G150" s="41" t="s">
        <v>27</v>
      </c>
      <c r="H150" s="41" t="s">
        <v>23</v>
      </c>
      <c r="I150" s="42">
        <v>45066.0</v>
      </c>
      <c r="J150" s="41">
        <v>202.0</v>
      </c>
      <c r="K150" s="43">
        <v>82.3</v>
      </c>
      <c r="L150" s="43">
        <v>178.42</v>
      </c>
      <c r="M150" s="43">
        <v>16624.6</v>
      </c>
      <c r="N150" s="43">
        <v>36040.84</v>
      </c>
      <c r="O150" s="43">
        <v>-19416.239999999998</v>
      </c>
      <c r="P150" s="44">
        <v>-1.1679222357229648</v>
      </c>
    </row>
    <row r="151" ht="14.25" customHeight="1">
      <c r="C151" s="41" t="s">
        <v>173</v>
      </c>
      <c r="D151" s="41" t="s">
        <v>20</v>
      </c>
      <c r="E151" s="41" t="s">
        <v>54</v>
      </c>
      <c r="F151" s="41" t="s">
        <v>26</v>
      </c>
      <c r="G151" s="41" t="s">
        <v>27</v>
      </c>
      <c r="H151" s="41" t="s">
        <v>31</v>
      </c>
      <c r="I151" s="42">
        <v>45067.0</v>
      </c>
      <c r="J151" s="41">
        <v>31.0</v>
      </c>
      <c r="K151" s="43">
        <v>121.11</v>
      </c>
      <c r="L151" s="43">
        <v>21.04</v>
      </c>
      <c r="M151" s="43">
        <v>3754.41</v>
      </c>
      <c r="N151" s="43">
        <v>652.24</v>
      </c>
      <c r="O151" s="43">
        <v>3102.17</v>
      </c>
      <c r="P151" s="44">
        <v>0.8262736355379408</v>
      </c>
    </row>
    <row r="152" ht="14.25" customHeight="1">
      <c r="C152" s="41" t="s">
        <v>174</v>
      </c>
      <c r="D152" s="41" t="s">
        <v>25</v>
      </c>
      <c r="E152" s="41" t="s">
        <v>21</v>
      </c>
      <c r="F152" s="41" t="s">
        <v>46</v>
      </c>
      <c r="G152" s="41" t="s">
        <v>27</v>
      </c>
      <c r="H152" s="41" t="s">
        <v>18</v>
      </c>
      <c r="I152" s="42">
        <v>45068.0</v>
      </c>
      <c r="J152" s="41">
        <v>483.0</v>
      </c>
      <c r="K152" s="43">
        <v>481.86</v>
      </c>
      <c r="L152" s="43">
        <v>17.13</v>
      </c>
      <c r="M152" s="43">
        <v>232738.38</v>
      </c>
      <c r="N152" s="43">
        <v>8273.789999999999</v>
      </c>
      <c r="O152" s="43">
        <v>224464.59</v>
      </c>
      <c r="P152" s="44">
        <v>0.9644502552608641</v>
      </c>
    </row>
    <row r="153" ht="14.25" customHeight="1">
      <c r="C153" s="41" t="s">
        <v>175</v>
      </c>
      <c r="D153" s="41" t="s">
        <v>20</v>
      </c>
      <c r="E153" s="41" t="s">
        <v>54</v>
      </c>
      <c r="F153" s="41" t="s">
        <v>46</v>
      </c>
      <c r="G153" s="41" t="s">
        <v>27</v>
      </c>
      <c r="H153" s="41" t="s">
        <v>23</v>
      </c>
      <c r="I153" s="42">
        <v>45069.0</v>
      </c>
      <c r="J153" s="41">
        <v>129.0</v>
      </c>
      <c r="K153" s="43">
        <v>131.38</v>
      </c>
      <c r="L153" s="43">
        <v>298.99</v>
      </c>
      <c r="M153" s="43">
        <v>16948.02</v>
      </c>
      <c r="N153" s="43">
        <v>38569.71</v>
      </c>
      <c r="O153" s="43">
        <v>-21621.69</v>
      </c>
      <c r="P153" s="44">
        <v>-1.275764956614401</v>
      </c>
    </row>
    <row r="154" ht="14.25" customHeight="1">
      <c r="C154" s="41" t="s">
        <v>176</v>
      </c>
      <c r="D154" s="41" t="s">
        <v>20</v>
      </c>
      <c r="E154" s="41" t="s">
        <v>15</v>
      </c>
      <c r="F154" s="41" t="s">
        <v>16</v>
      </c>
      <c r="G154" s="41" t="s">
        <v>17</v>
      </c>
      <c r="H154" s="41" t="s">
        <v>31</v>
      </c>
      <c r="I154" s="42">
        <v>45070.0</v>
      </c>
      <c r="J154" s="41">
        <v>219.0</v>
      </c>
      <c r="K154" s="43">
        <v>332.51</v>
      </c>
      <c r="L154" s="43">
        <v>264.3</v>
      </c>
      <c r="M154" s="43">
        <v>72819.69</v>
      </c>
      <c r="N154" s="43">
        <v>57881.700000000004</v>
      </c>
      <c r="O154" s="43">
        <v>14937.989999999998</v>
      </c>
      <c r="P154" s="44">
        <v>0.20513668761841747</v>
      </c>
    </row>
    <row r="155" ht="14.25" customHeight="1">
      <c r="C155" s="41" t="s">
        <v>177</v>
      </c>
      <c r="D155" s="41" t="s">
        <v>20</v>
      </c>
      <c r="E155" s="41" t="s">
        <v>15</v>
      </c>
      <c r="F155" s="41" t="s">
        <v>16</v>
      </c>
      <c r="G155" s="41" t="s">
        <v>27</v>
      </c>
      <c r="H155" s="41" t="s">
        <v>31</v>
      </c>
      <c r="I155" s="42">
        <v>45071.0</v>
      </c>
      <c r="J155" s="41">
        <v>315.0</v>
      </c>
      <c r="K155" s="43">
        <v>489.42</v>
      </c>
      <c r="L155" s="43">
        <v>321.25</v>
      </c>
      <c r="M155" s="43">
        <v>154167.30000000002</v>
      </c>
      <c r="N155" s="43">
        <v>101193.75</v>
      </c>
      <c r="O155" s="43">
        <v>52973.55000000002</v>
      </c>
      <c r="P155" s="44">
        <v>0.3436108046258838</v>
      </c>
    </row>
    <row r="156" ht="14.25" customHeight="1">
      <c r="C156" s="41" t="s">
        <v>178</v>
      </c>
      <c r="D156" s="41" t="s">
        <v>14</v>
      </c>
      <c r="E156" s="41" t="s">
        <v>15</v>
      </c>
      <c r="F156" s="41" t="s">
        <v>30</v>
      </c>
      <c r="G156" s="41" t="s">
        <v>17</v>
      </c>
      <c r="H156" s="41" t="s">
        <v>31</v>
      </c>
      <c r="I156" s="42">
        <v>45072.0</v>
      </c>
      <c r="J156" s="41">
        <v>279.0</v>
      </c>
      <c r="K156" s="43">
        <v>190.28</v>
      </c>
      <c r="L156" s="43">
        <v>43.94</v>
      </c>
      <c r="M156" s="43">
        <v>53088.12</v>
      </c>
      <c r="N156" s="43">
        <v>12259.26</v>
      </c>
      <c r="O156" s="43">
        <v>40828.86</v>
      </c>
      <c r="P156" s="44">
        <v>0.7690771494639478</v>
      </c>
    </row>
    <row r="157" ht="14.25" customHeight="1">
      <c r="C157" s="41" t="s">
        <v>179</v>
      </c>
      <c r="D157" s="41" t="s">
        <v>14</v>
      </c>
      <c r="E157" s="41" t="s">
        <v>54</v>
      </c>
      <c r="F157" s="41" t="s">
        <v>26</v>
      </c>
      <c r="G157" s="41" t="s">
        <v>27</v>
      </c>
      <c r="H157" s="41" t="s">
        <v>23</v>
      </c>
      <c r="I157" s="42">
        <v>45073.0</v>
      </c>
      <c r="J157" s="41">
        <v>201.0</v>
      </c>
      <c r="K157" s="43">
        <v>13.67</v>
      </c>
      <c r="L157" s="43">
        <v>16.16</v>
      </c>
      <c r="M157" s="43">
        <v>2747.67</v>
      </c>
      <c r="N157" s="43">
        <v>3248.16</v>
      </c>
      <c r="O157" s="43">
        <v>-500.4899999999998</v>
      </c>
      <c r="P157" s="44">
        <v>-0.18215069495245054</v>
      </c>
    </row>
    <row r="158" ht="14.25" customHeight="1">
      <c r="C158" s="41" t="s">
        <v>180</v>
      </c>
      <c r="D158" s="41" t="s">
        <v>14</v>
      </c>
      <c r="E158" s="41" t="s">
        <v>15</v>
      </c>
      <c r="F158" s="41" t="s">
        <v>26</v>
      </c>
      <c r="G158" s="41" t="s">
        <v>17</v>
      </c>
      <c r="H158" s="41" t="s">
        <v>18</v>
      </c>
      <c r="I158" s="42">
        <v>45074.0</v>
      </c>
      <c r="J158" s="41">
        <v>184.0</v>
      </c>
      <c r="K158" s="43">
        <v>125.85</v>
      </c>
      <c r="L158" s="43">
        <v>204.41</v>
      </c>
      <c r="M158" s="43">
        <v>23156.399999999998</v>
      </c>
      <c r="N158" s="43">
        <v>37611.44</v>
      </c>
      <c r="O158" s="43">
        <v>-14455.040000000005</v>
      </c>
      <c r="P158" s="44">
        <v>-0.6242352006356776</v>
      </c>
    </row>
    <row r="159" ht="14.25" customHeight="1">
      <c r="C159" s="41" t="s">
        <v>181</v>
      </c>
      <c r="D159" s="41" t="s">
        <v>25</v>
      </c>
      <c r="E159" s="41" t="s">
        <v>54</v>
      </c>
      <c r="F159" s="41" t="s">
        <v>22</v>
      </c>
      <c r="G159" s="41" t="s">
        <v>27</v>
      </c>
      <c r="H159" s="41" t="s">
        <v>23</v>
      </c>
      <c r="I159" s="42">
        <v>45075.0</v>
      </c>
      <c r="J159" s="41">
        <v>294.0</v>
      </c>
      <c r="K159" s="43">
        <v>416.28</v>
      </c>
      <c r="L159" s="43">
        <v>156.26</v>
      </c>
      <c r="M159" s="43">
        <v>122386.31999999999</v>
      </c>
      <c r="N159" s="43">
        <v>45940.439999999995</v>
      </c>
      <c r="O159" s="43">
        <v>76445.88</v>
      </c>
      <c r="P159" s="44">
        <v>0.624627654463342</v>
      </c>
    </row>
    <row r="160" ht="14.25" customHeight="1">
      <c r="C160" s="41" t="s">
        <v>182</v>
      </c>
      <c r="D160" s="41" t="s">
        <v>20</v>
      </c>
      <c r="E160" s="41" t="s">
        <v>15</v>
      </c>
      <c r="F160" s="41" t="s">
        <v>30</v>
      </c>
      <c r="G160" s="41" t="s">
        <v>17</v>
      </c>
      <c r="H160" s="41" t="s">
        <v>23</v>
      </c>
      <c r="I160" s="42">
        <v>45076.0</v>
      </c>
      <c r="J160" s="41">
        <v>213.0</v>
      </c>
      <c r="K160" s="43">
        <v>432.98</v>
      </c>
      <c r="L160" s="43">
        <v>185.85</v>
      </c>
      <c r="M160" s="43">
        <v>92224.74</v>
      </c>
      <c r="N160" s="43">
        <v>39586.049999999996</v>
      </c>
      <c r="O160" s="43">
        <v>52638.69000000001</v>
      </c>
      <c r="P160" s="44">
        <v>0.5707653933207077</v>
      </c>
    </row>
    <row r="161" ht="14.25" customHeight="1">
      <c r="C161" s="41" t="s">
        <v>183</v>
      </c>
      <c r="D161" s="41" t="s">
        <v>14</v>
      </c>
      <c r="E161" s="41" t="s">
        <v>34</v>
      </c>
      <c r="F161" s="41" t="s">
        <v>30</v>
      </c>
      <c r="G161" s="41" t="s">
        <v>27</v>
      </c>
      <c r="H161" s="41" t="s">
        <v>18</v>
      </c>
      <c r="I161" s="42">
        <v>45077.0</v>
      </c>
      <c r="J161" s="41">
        <v>173.0</v>
      </c>
      <c r="K161" s="43">
        <v>385.42</v>
      </c>
      <c r="L161" s="43">
        <v>396.65</v>
      </c>
      <c r="M161" s="43">
        <v>66677.66</v>
      </c>
      <c r="N161" s="43">
        <v>68620.45</v>
      </c>
      <c r="O161" s="43">
        <v>-1942.7899999999936</v>
      </c>
      <c r="P161" s="44">
        <v>-0.02913704530122973</v>
      </c>
    </row>
    <row r="162" ht="14.25" customHeight="1">
      <c r="C162" s="41" t="s">
        <v>184</v>
      </c>
      <c r="D162" s="41" t="s">
        <v>14</v>
      </c>
      <c r="E162" s="41" t="s">
        <v>15</v>
      </c>
      <c r="F162" s="41" t="s">
        <v>30</v>
      </c>
      <c r="G162" s="41" t="s">
        <v>17</v>
      </c>
      <c r="H162" s="41" t="s">
        <v>18</v>
      </c>
      <c r="I162" s="42">
        <v>45078.0</v>
      </c>
      <c r="J162" s="41">
        <v>260.0</v>
      </c>
      <c r="K162" s="43">
        <v>60.99</v>
      </c>
      <c r="L162" s="43">
        <v>388.36</v>
      </c>
      <c r="M162" s="43">
        <v>15857.4</v>
      </c>
      <c r="N162" s="43">
        <v>100973.6</v>
      </c>
      <c r="O162" s="43">
        <v>-85116.20000000001</v>
      </c>
      <c r="P162" s="44">
        <v>-5.36760124610592</v>
      </c>
    </row>
    <row r="163" ht="14.25" customHeight="1">
      <c r="C163" s="41" t="s">
        <v>185</v>
      </c>
      <c r="D163" s="41" t="s">
        <v>25</v>
      </c>
      <c r="E163" s="41" t="s">
        <v>54</v>
      </c>
      <c r="F163" s="41" t="s">
        <v>30</v>
      </c>
      <c r="G163" s="41" t="s">
        <v>27</v>
      </c>
      <c r="H163" s="41" t="s">
        <v>18</v>
      </c>
      <c r="I163" s="42">
        <v>45079.0</v>
      </c>
      <c r="J163" s="41">
        <v>236.0</v>
      </c>
      <c r="K163" s="43">
        <v>398.78</v>
      </c>
      <c r="L163" s="43">
        <v>377.04</v>
      </c>
      <c r="M163" s="43">
        <v>94112.07999999999</v>
      </c>
      <c r="N163" s="43">
        <v>88981.44</v>
      </c>
      <c r="O163" s="43">
        <v>5130.639999999985</v>
      </c>
      <c r="P163" s="44">
        <v>0.05451627463764466</v>
      </c>
    </row>
    <row r="164" ht="14.25" customHeight="1">
      <c r="C164" s="41" t="s">
        <v>186</v>
      </c>
      <c r="D164" s="41" t="s">
        <v>14</v>
      </c>
      <c r="E164" s="41" t="s">
        <v>29</v>
      </c>
      <c r="F164" s="41" t="s">
        <v>26</v>
      </c>
      <c r="G164" s="41" t="s">
        <v>17</v>
      </c>
      <c r="H164" s="41" t="s">
        <v>31</v>
      </c>
      <c r="I164" s="42">
        <v>45080.0</v>
      </c>
      <c r="J164" s="41">
        <v>445.0</v>
      </c>
      <c r="K164" s="43">
        <v>459.75</v>
      </c>
      <c r="L164" s="43">
        <v>313.97</v>
      </c>
      <c r="M164" s="43">
        <v>204588.75</v>
      </c>
      <c r="N164" s="43">
        <v>139716.65000000002</v>
      </c>
      <c r="O164" s="43">
        <v>64872.09999999998</v>
      </c>
      <c r="P164" s="44">
        <v>0.3170853724850461</v>
      </c>
    </row>
    <row r="165" ht="14.25" customHeight="1">
      <c r="C165" s="41" t="s">
        <v>187</v>
      </c>
      <c r="D165" s="41" t="s">
        <v>25</v>
      </c>
      <c r="E165" s="41" t="s">
        <v>15</v>
      </c>
      <c r="F165" s="41" t="s">
        <v>26</v>
      </c>
      <c r="G165" s="41" t="s">
        <v>27</v>
      </c>
      <c r="H165" s="41" t="s">
        <v>18</v>
      </c>
      <c r="I165" s="42">
        <v>45081.0</v>
      </c>
      <c r="J165" s="41">
        <v>390.0</v>
      </c>
      <c r="K165" s="43">
        <v>302.3</v>
      </c>
      <c r="L165" s="43">
        <v>143.23</v>
      </c>
      <c r="M165" s="43">
        <v>117897.0</v>
      </c>
      <c r="N165" s="43">
        <v>55859.7</v>
      </c>
      <c r="O165" s="43">
        <v>62037.3</v>
      </c>
      <c r="P165" s="44">
        <v>0.5261991399272247</v>
      </c>
    </row>
    <row r="166" ht="14.25" customHeight="1">
      <c r="C166" s="41" t="s">
        <v>188</v>
      </c>
      <c r="D166" s="41" t="s">
        <v>52</v>
      </c>
      <c r="E166" s="41" t="s">
        <v>29</v>
      </c>
      <c r="F166" s="41" t="s">
        <v>30</v>
      </c>
      <c r="G166" s="41" t="s">
        <v>17</v>
      </c>
      <c r="H166" s="41" t="s">
        <v>23</v>
      </c>
      <c r="I166" s="42">
        <v>45082.0</v>
      </c>
      <c r="J166" s="41">
        <v>469.0</v>
      </c>
      <c r="K166" s="43">
        <v>470.73</v>
      </c>
      <c r="L166" s="43">
        <v>166.03</v>
      </c>
      <c r="M166" s="43">
        <v>220772.37</v>
      </c>
      <c r="N166" s="43">
        <v>77868.07</v>
      </c>
      <c r="O166" s="43">
        <v>142904.3</v>
      </c>
      <c r="P166" s="44">
        <v>0.647292503133431</v>
      </c>
    </row>
    <row r="167" ht="14.25" customHeight="1">
      <c r="C167" s="41" t="s">
        <v>189</v>
      </c>
      <c r="D167" s="41" t="s">
        <v>14</v>
      </c>
      <c r="E167" s="41" t="s">
        <v>34</v>
      </c>
      <c r="F167" s="41" t="s">
        <v>22</v>
      </c>
      <c r="G167" s="41" t="s">
        <v>17</v>
      </c>
      <c r="H167" s="41" t="s">
        <v>18</v>
      </c>
      <c r="I167" s="42">
        <v>45083.0</v>
      </c>
      <c r="J167" s="41">
        <v>16.0</v>
      </c>
      <c r="K167" s="43">
        <v>249.64520588235297</v>
      </c>
      <c r="L167" s="43">
        <v>220.75</v>
      </c>
      <c r="M167" s="43">
        <v>3994.3232941176475</v>
      </c>
      <c r="N167" s="43">
        <v>3532.0</v>
      </c>
      <c r="O167" s="43">
        <v>462.3232941176475</v>
      </c>
      <c r="P167" s="44">
        <v>0.11574508623237906</v>
      </c>
    </row>
    <row r="168" ht="14.25" customHeight="1">
      <c r="C168" s="41" t="s">
        <v>190</v>
      </c>
      <c r="D168" s="41" t="s">
        <v>52</v>
      </c>
      <c r="E168" s="41" t="s">
        <v>21</v>
      </c>
      <c r="F168" s="41" t="s">
        <v>46</v>
      </c>
      <c r="G168" s="41" t="s">
        <v>27</v>
      </c>
      <c r="H168" s="41" t="s">
        <v>23</v>
      </c>
      <c r="I168" s="42">
        <v>45084.0</v>
      </c>
      <c r="J168" s="41">
        <v>38.0</v>
      </c>
      <c r="K168" s="43">
        <v>335.15</v>
      </c>
      <c r="L168" s="43">
        <v>332.55</v>
      </c>
      <c r="M168" s="43">
        <v>12735.699999999999</v>
      </c>
      <c r="N168" s="43">
        <v>12636.9</v>
      </c>
      <c r="O168" s="43">
        <v>98.79999999999927</v>
      </c>
      <c r="P168" s="44">
        <v>0.007757720423690828</v>
      </c>
    </row>
    <row r="169" ht="14.25" customHeight="1">
      <c r="C169" s="41" t="s">
        <v>191</v>
      </c>
      <c r="D169" s="41" t="s">
        <v>25</v>
      </c>
      <c r="E169" s="41" t="s">
        <v>34</v>
      </c>
      <c r="F169" s="41" t="s">
        <v>39</v>
      </c>
      <c r="G169" s="41" t="s">
        <v>27</v>
      </c>
      <c r="H169" s="41" t="s">
        <v>31</v>
      </c>
      <c r="I169" s="42">
        <v>45085.0</v>
      </c>
      <c r="J169" s="41">
        <v>404.0</v>
      </c>
      <c r="K169" s="43">
        <v>290.71</v>
      </c>
      <c r="L169" s="43">
        <v>29.35</v>
      </c>
      <c r="M169" s="43">
        <v>117446.84</v>
      </c>
      <c r="N169" s="43">
        <v>11857.400000000001</v>
      </c>
      <c r="O169" s="43">
        <v>105589.44</v>
      </c>
      <c r="P169" s="44">
        <v>0.8990402806920987</v>
      </c>
    </row>
    <row r="170" ht="14.25" customHeight="1">
      <c r="C170" s="41" t="s">
        <v>192</v>
      </c>
      <c r="D170" s="41" t="s">
        <v>20</v>
      </c>
      <c r="E170" s="41" t="s">
        <v>15</v>
      </c>
      <c r="F170" s="41" t="s">
        <v>22</v>
      </c>
      <c r="G170" s="41" t="s">
        <v>17</v>
      </c>
      <c r="H170" s="41" t="s">
        <v>23</v>
      </c>
      <c r="I170" s="42">
        <v>45086.0</v>
      </c>
      <c r="J170" s="41">
        <v>42.0</v>
      </c>
      <c r="K170" s="43">
        <v>177.54</v>
      </c>
      <c r="L170" s="43">
        <v>170.87</v>
      </c>
      <c r="M170" s="43">
        <v>7456.679999999999</v>
      </c>
      <c r="N170" s="43">
        <v>7176.54</v>
      </c>
      <c r="O170" s="43">
        <v>280.1399999999994</v>
      </c>
      <c r="P170" s="44">
        <v>0.037568998535541215</v>
      </c>
    </row>
    <row r="171" ht="14.25" customHeight="1">
      <c r="C171" s="41" t="s">
        <v>193</v>
      </c>
      <c r="D171" s="41" t="s">
        <v>14</v>
      </c>
      <c r="E171" s="41" t="s">
        <v>29</v>
      </c>
      <c r="F171" s="41" t="s">
        <v>30</v>
      </c>
      <c r="G171" s="41" t="s">
        <v>27</v>
      </c>
      <c r="H171" s="41" t="s">
        <v>23</v>
      </c>
      <c r="I171" s="42">
        <v>45087.0</v>
      </c>
      <c r="J171" s="41">
        <v>143.0</v>
      </c>
      <c r="K171" s="43">
        <v>83.85</v>
      </c>
      <c r="L171" s="43">
        <v>34.88</v>
      </c>
      <c r="M171" s="43">
        <v>11990.55</v>
      </c>
      <c r="N171" s="43">
        <v>4987.84</v>
      </c>
      <c r="O171" s="43">
        <v>7002.709999999999</v>
      </c>
      <c r="P171" s="44">
        <v>0.5840190816935003</v>
      </c>
    </row>
    <row r="172" ht="14.25" customHeight="1">
      <c r="C172" s="41" t="s">
        <v>194</v>
      </c>
      <c r="D172" s="41" t="s">
        <v>25</v>
      </c>
      <c r="E172" s="41" t="s">
        <v>29</v>
      </c>
      <c r="F172" s="41" t="s">
        <v>26</v>
      </c>
      <c r="G172" s="41" t="s">
        <v>17</v>
      </c>
      <c r="H172" s="41" t="s">
        <v>18</v>
      </c>
      <c r="I172" s="42">
        <v>45088.0</v>
      </c>
      <c r="J172" s="41">
        <v>376.0</v>
      </c>
      <c r="K172" s="43">
        <v>304.45</v>
      </c>
      <c r="L172" s="43">
        <v>206.83</v>
      </c>
      <c r="M172" s="43">
        <v>114473.2</v>
      </c>
      <c r="N172" s="43">
        <v>77768.08</v>
      </c>
      <c r="O172" s="43">
        <v>36705.119999999995</v>
      </c>
      <c r="P172" s="44">
        <v>0.32064378387255704</v>
      </c>
    </row>
    <row r="173" ht="14.25" customHeight="1">
      <c r="C173" s="41" t="s">
        <v>195</v>
      </c>
      <c r="D173" s="41" t="s">
        <v>20</v>
      </c>
      <c r="E173" s="41" t="s">
        <v>54</v>
      </c>
      <c r="F173" s="41" t="s">
        <v>46</v>
      </c>
      <c r="G173" s="41" t="s">
        <v>17</v>
      </c>
      <c r="H173" s="41" t="s">
        <v>18</v>
      </c>
      <c r="I173" s="42">
        <v>45089.0</v>
      </c>
      <c r="J173" s="41">
        <v>88.0</v>
      </c>
      <c r="K173" s="43">
        <v>162.47</v>
      </c>
      <c r="L173" s="43">
        <v>359.76</v>
      </c>
      <c r="M173" s="43">
        <v>14297.36</v>
      </c>
      <c r="N173" s="43">
        <v>31658.879999999997</v>
      </c>
      <c r="O173" s="43">
        <v>-17361.519999999997</v>
      </c>
      <c r="P173" s="44">
        <v>-1.2143164891980056</v>
      </c>
    </row>
    <row r="174" ht="14.25" customHeight="1">
      <c r="C174" s="41" t="s">
        <v>196</v>
      </c>
      <c r="D174" s="41" t="s">
        <v>20</v>
      </c>
      <c r="E174" s="41" t="s">
        <v>29</v>
      </c>
      <c r="F174" s="41" t="s">
        <v>16</v>
      </c>
      <c r="G174" s="41" t="s">
        <v>17</v>
      </c>
      <c r="H174" s="41" t="s">
        <v>23</v>
      </c>
      <c r="I174" s="42">
        <v>45090.0</v>
      </c>
      <c r="J174" s="41">
        <v>425.0</v>
      </c>
      <c r="K174" s="43">
        <v>433.89</v>
      </c>
      <c r="L174" s="43">
        <v>313.43</v>
      </c>
      <c r="M174" s="43">
        <v>184403.25</v>
      </c>
      <c r="N174" s="43">
        <v>133207.75</v>
      </c>
      <c r="O174" s="43">
        <v>51195.5</v>
      </c>
      <c r="P174" s="44">
        <v>0.27762797022286756</v>
      </c>
    </row>
    <row r="175" ht="14.25" customHeight="1">
      <c r="C175" s="41" t="s">
        <v>197</v>
      </c>
      <c r="D175" s="41" t="s">
        <v>52</v>
      </c>
      <c r="E175" s="41" t="s">
        <v>54</v>
      </c>
      <c r="F175" s="41" t="s">
        <v>16</v>
      </c>
      <c r="G175" s="41" t="s">
        <v>27</v>
      </c>
      <c r="H175" s="41" t="s">
        <v>18</v>
      </c>
      <c r="I175" s="42">
        <v>45091.0</v>
      </c>
      <c r="J175" s="41">
        <v>444.0</v>
      </c>
      <c r="K175" s="43">
        <v>496.7</v>
      </c>
      <c r="L175" s="43">
        <v>92.68</v>
      </c>
      <c r="M175" s="43">
        <v>220534.8</v>
      </c>
      <c r="N175" s="43">
        <v>41149.920000000006</v>
      </c>
      <c r="O175" s="43">
        <v>179384.87999999998</v>
      </c>
      <c r="P175" s="44">
        <v>0.8134084960740889</v>
      </c>
    </row>
    <row r="176" ht="14.25" customHeight="1">
      <c r="C176" s="41" t="s">
        <v>198</v>
      </c>
      <c r="D176" s="41" t="s">
        <v>25</v>
      </c>
      <c r="E176" s="41" t="s">
        <v>21</v>
      </c>
      <c r="F176" s="41" t="s">
        <v>22</v>
      </c>
      <c r="G176" s="41" t="s">
        <v>17</v>
      </c>
      <c r="H176" s="41" t="s">
        <v>31</v>
      </c>
      <c r="I176" s="42">
        <v>45092.0</v>
      </c>
      <c r="J176" s="41">
        <v>468.0</v>
      </c>
      <c r="K176" s="43">
        <v>377.45</v>
      </c>
      <c r="L176" s="43">
        <v>390.44</v>
      </c>
      <c r="M176" s="43">
        <v>176646.6</v>
      </c>
      <c r="N176" s="43">
        <v>182725.92</v>
      </c>
      <c r="O176" s="43">
        <v>-6079.320000000007</v>
      </c>
      <c r="P176" s="44">
        <v>-0.034415154325076205</v>
      </c>
    </row>
    <row r="177" ht="14.25" customHeight="1">
      <c r="C177" s="41" t="s">
        <v>199</v>
      </c>
      <c r="D177" s="41" t="s">
        <v>20</v>
      </c>
      <c r="E177" s="41" t="s">
        <v>15</v>
      </c>
      <c r="F177" s="41" t="s">
        <v>30</v>
      </c>
      <c r="G177" s="41" t="s">
        <v>17</v>
      </c>
      <c r="H177" s="41" t="s">
        <v>31</v>
      </c>
      <c r="I177" s="42">
        <v>45093.0</v>
      </c>
      <c r="J177" s="41">
        <v>67.0</v>
      </c>
      <c r="K177" s="43">
        <v>49.79</v>
      </c>
      <c r="L177" s="43">
        <v>267.61</v>
      </c>
      <c r="M177" s="43">
        <v>3335.93</v>
      </c>
      <c r="N177" s="43">
        <v>17929.870000000003</v>
      </c>
      <c r="O177" s="43">
        <v>-14593.940000000002</v>
      </c>
      <c r="P177" s="44">
        <v>-4.374774051014261</v>
      </c>
    </row>
    <row r="178" ht="14.25" customHeight="1">
      <c r="C178" s="41" t="s">
        <v>200</v>
      </c>
      <c r="D178" s="41" t="s">
        <v>14</v>
      </c>
      <c r="E178" s="41" t="s">
        <v>54</v>
      </c>
      <c r="F178" s="41" t="s">
        <v>46</v>
      </c>
      <c r="G178" s="41" t="s">
        <v>27</v>
      </c>
      <c r="H178" s="41" t="s">
        <v>18</v>
      </c>
      <c r="I178" s="42">
        <v>45094.0</v>
      </c>
      <c r="J178" s="41">
        <v>480.0</v>
      </c>
      <c r="K178" s="43">
        <v>147.9</v>
      </c>
      <c r="L178" s="43">
        <v>6.15</v>
      </c>
      <c r="M178" s="43">
        <v>70992.0</v>
      </c>
      <c r="N178" s="43">
        <v>2952.0</v>
      </c>
      <c r="O178" s="43">
        <v>68040.0</v>
      </c>
      <c r="P178" s="44">
        <v>0.9584178498985801</v>
      </c>
    </row>
    <row r="179" ht="14.25" customHeight="1">
      <c r="C179" s="41" t="s">
        <v>201</v>
      </c>
      <c r="D179" s="41" t="s">
        <v>14</v>
      </c>
      <c r="E179" s="41" t="s">
        <v>21</v>
      </c>
      <c r="F179" s="41" t="s">
        <v>30</v>
      </c>
      <c r="G179" s="41" t="s">
        <v>27</v>
      </c>
      <c r="H179" s="41" t="s">
        <v>31</v>
      </c>
      <c r="I179" s="42">
        <v>45095.0</v>
      </c>
      <c r="J179" s="41">
        <v>35.0</v>
      </c>
      <c r="K179" s="43">
        <v>59.01</v>
      </c>
      <c r="L179" s="43">
        <v>103.65</v>
      </c>
      <c r="M179" s="43">
        <v>2065.35</v>
      </c>
      <c r="N179" s="43">
        <v>3627.75</v>
      </c>
      <c r="O179" s="43">
        <v>-1562.4</v>
      </c>
      <c r="P179" s="44">
        <v>-0.7564819522114896</v>
      </c>
    </row>
    <row r="180" ht="14.25" customHeight="1">
      <c r="C180" s="41" t="s">
        <v>202</v>
      </c>
      <c r="D180" s="41" t="s">
        <v>52</v>
      </c>
      <c r="E180" s="41" t="s">
        <v>29</v>
      </c>
      <c r="F180" s="41" t="s">
        <v>46</v>
      </c>
      <c r="G180" s="41" t="s">
        <v>27</v>
      </c>
      <c r="H180" s="41" t="s">
        <v>18</v>
      </c>
      <c r="I180" s="42">
        <v>45096.0</v>
      </c>
      <c r="J180" s="41">
        <v>491.0</v>
      </c>
      <c r="K180" s="43">
        <v>327.0</v>
      </c>
      <c r="L180" s="43">
        <v>105.76</v>
      </c>
      <c r="M180" s="43">
        <v>160557.0</v>
      </c>
      <c r="N180" s="43">
        <v>51928.16</v>
      </c>
      <c r="O180" s="43">
        <v>108628.84</v>
      </c>
      <c r="P180" s="44">
        <v>0.6765749235474006</v>
      </c>
    </row>
    <row r="181" ht="14.25" customHeight="1">
      <c r="C181" s="41" t="s">
        <v>203</v>
      </c>
      <c r="D181" s="41" t="s">
        <v>20</v>
      </c>
      <c r="E181" s="41" t="s">
        <v>29</v>
      </c>
      <c r="F181" s="41" t="s">
        <v>22</v>
      </c>
      <c r="G181" s="41" t="s">
        <v>27</v>
      </c>
      <c r="H181" s="41" t="s">
        <v>23</v>
      </c>
      <c r="I181" s="42">
        <v>45097.0</v>
      </c>
      <c r="J181" s="41">
        <v>439.0</v>
      </c>
      <c r="K181" s="43">
        <v>383.77</v>
      </c>
      <c r="L181" s="43">
        <v>29.56</v>
      </c>
      <c r="M181" s="43">
        <v>168475.03</v>
      </c>
      <c r="N181" s="43">
        <v>12976.84</v>
      </c>
      <c r="O181" s="43">
        <v>155498.19</v>
      </c>
      <c r="P181" s="44">
        <v>0.9229746983870548</v>
      </c>
    </row>
    <row r="182" ht="14.25" customHeight="1">
      <c r="C182" s="41" t="s">
        <v>204</v>
      </c>
      <c r="D182" s="41" t="s">
        <v>25</v>
      </c>
      <c r="E182" s="41" t="s">
        <v>21</v>
      </c>
      <c r="F182" s="41" t="s">
        <v>22</v>
      </c>
      <c r="G182" s="41" t="s">
        <v>17</v>
      </c>
      <c r="H182" s="41" t="s">
        <v>23</v>
      </c>
      <c r="I182" s="42">
        <v>45098.0</v>
      </c>
      <c r="J182" s="41">
        <v>235.0</v>
      </c>
      <c r="K182" s="43">
        <v>463.21</v>
      </c>
      <c r="L182" s="43">
        <v>384.01</v>
      </c>
      <c r="M182" s="43">
        <v>108854.34999999999</v>
      </c>
      <c r="N182" s="43">
        <v>90242.34999999999</v>
      </c>
      <c r="O182" s="43">
        <v>18612.0</v>
      </c>
      <c r="P182" s="44">
        <v>0.17098076466397533</v>
      </c>
    </row>
    <row r="183" ht="14.25" customHeight="1">
      <c r="C183" s="41" t="s">
        <v>205</v>
      </c>
      <c r="D183" s="41" t="s">
        <v>14</v>
      </c>
      <c r="E183" s="41" t="s">
        <v>29</v>
      </c>
      <c r="F183" s="41" t="s">
        <v>16</v>
      </c>
      <c r="G183" s="41" t="s">
        <v>17</v>
      </c>
      <c r="H183" s="41" t="s">
        <v>31</v>
      </c>
      <c r="I183" s="42">
        <v>45099.0</v>
      </c>
      <c r="J183" s="41">
        <v>294.0</v>
      </c>
      <c r="K183" s="43">
        <v>221.9</v>
      </c>
      <c r="L183" s="43">
        <v>192.35</v>
      </c>
      <c r="M183" s="43">
        <v>65238.6</v>
      </c>
      <c r="N183" s="43">
        <v>56550.9</v>
      </c>
      <c r="O183" s="43">
        <v>8687.699999999997</v>
      </c>
      <c r="P183" s="44">
        <v>0.13316809373591704</v>
      </c>
    </row>
    <row r="184" ht="14.25" customHeight="1">
      <c r="C184" s="41" t="s">
        <v>206</v>
      </c>
      <c r="D184" s="41" t="s">
        <v>20</v>
      </c>
      <c r="E184" s="41" t="s">
        <v>21</v>
      </c>
      <c r="F184" s="41" t="s">
        <v>30</v>
      </c>
      <c r="G184" s="41" t="s">
        <v>17</v>
      </c>
      <c r="H184" s="41" t="s">
        <v>18</v>
      </c>
      <c r="I184" s="42">
        <v>45100.0</v>
      </c>
      <c r="J184" s="41">
        <v>13.0</v>
      </c>
      <c r="K184" s="43">
        <v>451.18</v>
      </c>
      <c r="L184" s="43">
        <v>358.53</v>
      </c>
      <c r="M184" s="43">
        <v>5865.34</v>
      </c>
      <c r="N184" s="43">
        <v>4660.889999999999</v>
      </c>
      <c r="O184" s="43">
        <v>1204.4500000000007</v>
      </c>
      <c r="P184" s="44">
        <v>0.20535041446872657</v>
      </c>
    </row>
    <row r="185" ht="14.25" customHeight="1">
      <c r="C185" s="41" t="s">
        <v>207</v>
      </c>
      <c r="D185" s="41" t="s">
        <v>20</v>
      </c>
      <c r="E185" s="41" t="s">
        <v>54</v>
      </c>
      <c r="F185" s="41" t="s">
        <v>16</v>
      </c>
      <c r="G185" s="41" t="s">
        <v>17</v>
      </c>
      <c r="H185" s="41" t="s">
        <v>18</v>
      </c>
      <c r="I185" s="42">
        <v>45101.0</v>
      </c>
      <c r="J185" s="41">
        <v>474.0</v>
      </c>
      <c r="K185" s="43">
        <v>439.56</v>
      </c>
      <c r="L185" s="43">
        <v>130.24</v>
      </c>
      <c r="M185" s="43">
        <v>208351.44</v>
      </c>
      <c r="N185" s="43">
        <v>61733.76</v>
      </c>
      <c r="O185" s="43">
        <v>146617.68</v>
      </c>
      <c r="P185" s="44">
        <v>0.7037037037037036</v>
      </c>
    </row>
    <row r="186" ht="14.25" customHeight="1">
      <c r="C186" s="41" t="s">
        <v>208</v>
      </c>
      <c r="D186" s="41" t="s">
        <v>52</v>
      </c>
      <c r="E186" s="41" t="s">
        <v>54</v>
      </c>
      <c r="F186" s="41" t="s">
        <v>30</v>
      </c>
      <c r="G186" s="41" t="s">
        <v>27</v>
      </c>
      <c r="H186" s="41" t="s">
        <v>31</v>
      </c>
      <c r="I186" s="42">
        <v>45102.0</v>
      </c>
      <c r="J186" s="41">
        <v>108.0</v>
      </c>
      <c r="K186" s="43">
        <v>162.01</v>
      </c>
      <c r="L186" s="43">
        <v>51.84</v>
      </c>
      <c r="M186" s="43">
        <v>17497.079999999998</v>
      </c>
      <c r="N186" s="43">
        <v>5598.72</v>
      </c>
      <c r="O186" s="43">
        <v>11898.359999999997</v>
      </c>
      <c r="P186" s="44">
        <v>0.6800197518671686</v>
      </c>
    </row>
    <row r="187" ht="14.25" customHeight="1">
      <c r="C187" s="41" t="s">
        <v>209</v>
      </c>
      <c r="D187" s="41" t="s">
        <v>14</v>
      </c>
      <c r="E187" s="41" t="s">
        <v>21</v>
      </c>
      <c r="F187" s="41" t="s">
        <v>16</v>
      </c>
      <c r="G187" s="41" t="s">
        <v>17</v>
      </c>
      <c r="H187" s="41" t="s">
        <v>23</v>
      </c>
      <c r="I187" s="42">
        <v>45103.0</v>
      </c>
      <c r="J187" s="41">
        <v>406.0</v>
      </c>
      <c r="K187" s="43">
        <v>435.11</v>
      </c>
      <c r="L187" s="43">
        <v>190.79</v>
      </c>
      <c r="M187" s="43">
        <v>176654.66</v>
      </c>
      <c r="N187" s="43">
        <v>77460.73999999999</v>
      </c>
      <c r="O187" s="43">
        <v>99193.92000000001</v>
      </c>
      <c r="P187" s="44">
        <v>0.5615131805750271</v>
      </c>
    </row>
    <row r="188" ht="14.25" customHeight="1">
      <c r="C188" s="41" t="s">
        <v>210</v>
      </c>
      <c r="D188" s="41" t="s">
        <v>14</v>
      </c>
      <c r="E188" s="41" t="s">
        <v>54</v>
      </c>
      <c r="F188" s="41" t="s">
        <v>26</v>
      </c>
      <c r="G188" s="41" t="s">
        <v>17</v>
      </c>
      <c r="H188" s="41" t="s">
        <v>31</v>
      </c>
      <c r="I188" s="42">
        <v>45104.0</v>
      </c>
      <c r="J188" s="41">
        <v>498.0</v>
      </c>
      <c r="K188" s="43">
        <v>190.96</v>
      </c>
      <c r="L188" s="43">
        <v>47.35</v>
      </c>
      <c r="M188" s="43">
        <v>95098.08</v>
      </c>
      <c r="N188" s="43">
        <v>23580.3</v>
      </c>
      <c r="O188" s="43">
        <v>71517.78</v>
      </c>
      <c r="P188" s="44">
        <v>0.7520423125261835</v>
      </c>
    </row>
    <row r="189" ht="14.25" customHeight="1">
      <c r="C189" s="41" t="s">
        <v>211</v>
      </c>
      <c r="D189" s="41" t="s">
        <v>25</v>
      </c>
      <c r="E189" s="41" t="s">
        <v>54</v>
      </c>
      <c r="F189" s="41" t="s">
        <v>26</v>
      </c>
      <c r="G189" s="41" t="s">
        <v>27</v>
      </c>
      <c r="H189" s="41" t="s">
        <v>23</v>
      </c>
      <c r="I189" s="42">
        <v>45105.0</v>
      </c>
      <c r="J189" s="41">
        <v>48.0</v>
      </c>
      <c r="K189" s="43">
        <v>151.95</v>
      </c>
      <c r="L189" s="43">
        <v>195.43</v>
      </c>
      <c r="M189" s="43">
        <v>7293.599999999999</v>
      </c>
      <c r="N189" s="43">
        <v>9380.64</v>
      </c>
      <c r="O189" s="43">
        <v>-2087.04</v>
      </c>
      <c r="P189" s="44">
        <v>-0.2861467588022376</v>
      </c>
    </row>
    <row r="190" ht="14.25" customHeight="1">
      <c r="C190" s="41" t="s">
        <v>212</v>
      </c>
      <c r="D190" s="41" t="s">
        <v>14</v>
      </c>
      <c r="E190" s="41" t="s">
        <v>54</v>
      </c>
      <c r="F190" s="41" t="s">
        <v>26</v>
      </c>
      <c r="G190" s="41" t="s">
        <v>17</v>
      </c>
      <c r="H190" s="41" t="s">
        <v>18</v>
      </c>
      <c r="I190" s="42">
        <v>45106.0</v>
      </c>
      <c r="J190" s="41">
        <v>280.0</v>
      </c>
      <c r="K190" s="43">
        <v>326.29</v>
      </c>
      <c r="L190" s="43">
        <v>368.28</v>
      </c>
      <c r="M190" s="43">
        <v>91361.20000000001</v>
      </c>
      <c r="N190" s="43">
        <v>103118.4</v>
      </c>
      <c r="O190" s="43">
        <v>-11757.199999999983</v>
      </c>
      <c r="P190" s="44">
        <v>-0.12868920285635457</v>
      </c>
    </row>
    <row r="191" ht="14.25" customHeight="1">
      <c r="C191" s="41" t="s">
        <v>213</v>
      </c>
      <c r="D191" s="41" t="s">
        <v>25</v>
      </c>
      <c r="E191" s="41" t="s">
        <v>34</v>
      </c>
      <c r="F191" s="41" t="s">
        <v>26</v>
      </c>
      <c r="G191" s="41" t="s">
        <v>17</v>
      </c>
      <c r="H191" s="41" t="s">
        <v>23</v>
      </c>
      <c r="I191" s="42">
        <v>45107.0</v>
      </c>
      <c r="J191" s="41">
        <v>384.0</v>
      </c>
      <c r="K191" s="43">
        <v>167.55</v>
      </c>
      <c r="L191" s="43">
        <v>209.27</v>
      </c>
      <c r="M191" s="43">
        <v>64339.200000000004</v>
      </c>
      <c r="N191" s="43">
        <v>80359.68000000001</v>
      </c>
      <c r="O191" s="43">
        <v>-16020.480000000003</v>
      </c>
      <c r="P191" s="44">
        <v>-0.24900029841838262</v>
      </c>
    </row>
    <row r="192" ht="14.25" customHeight="1">
      <c r="C192" s="41" t="s">
        <v>214</v>
      </c>
      <c r="D192" s="41" t="s">
        <v>14</v>
      </c>
      <c r="E192" s="41" t="s">
        <v>15</v>
      </c>
      <c r="F192" s="41" t="s">
        <v>46</v>
      </c>
      <c r="G192" s="41" t="s">
        <v>17</v>
      </c>
      <c r="H192" s="41" t="s">
        <v>31</v>
      </c>
      <c r="I192" s="42">
        <v>45108.0</v>
      </c>
      <c r="J192" s="41">
        <v>294.0</v>
      </c>
      <c r="K192" s="43">
        <v>316.95</v>
      </c>
      <c r="L192" s="43">
        <v>247.37</v>
      </c>
      <c r="M192" s="43">
        <v>93183.3</v>
      </c>
      <c r="N192" s="43">
        <v>72726.78</v>
      </c>
      <c r="O192" s="43">
        <v>20456.520000000004</v>
      </c>
      <c r="P192" s="44">
        <v>0.21952989430509548</v>
      </c>
    </row>
    <row r="193" ht="14.25" customHeight="1">
      <c r="C193" s="41" t="s">
        <v>215</v>
      </c>
      <c r="D193" s="41" t="s">
        <v>52</v>
      </c>
      <c r="E193" s="41" t="s">
        <v>29</v>
      </c>
      <c r="F193" s="41" t="s">
        <v>26</v>
      </c>
      <c r="G193" s="41" t="s">
        <v>17</v>
      </c>
      <c r="H193" s="41" t="s">
        <v>18</v>
      </c>
      <c r="I193" s="42">
        <v>45109.0</v>
      </c>
      <c r="J193" s="41">
        <v>166.0</v>
      </c>
      <c r="K193" s="43">
        <v>306.87</v>
      </c>
      <c r="L193" s="43">
        <v>64.34</v>
      </c>
      <c r="M193" s="43">
        <v>50940.42</v>
      </c>
      <c r="N193" s="43">
        <v>10680.44</v>
      </c>
      <c r="O193" s="43">
        <v>40259.979999999996</v>
      </c>
      <c r="P193" s="44">
        <v>0.7903346694039821</v>
      </c>
    </row>
    <row r="194" ht="14.25" customHeight="1">
      <c r="C194" s="41" t="s">
        <v>216</v>
      </c>
      <c r="D194" s="41" t="s">
        <v>14</v>
      </c>
      <c r="E194" s="41" t="s">
        <v>34</v>
      </c>
      <c r="F194" s="41" t="s">
        <v>22</v>
      </c>
      <c r="G194" s="41" t="s">
        <v>17</v>
      </c>
      <c r="H194" s="41" t="s">
        <v>31</v>
      </c>
      <c r="I194" s="42">
        <v>45110.0</v>
      </c>
      <c r="J194" s="41">
        <v>84.0</v>
      </c>
      <c r="K194" s="43">
        <v>283.9</v>
      </c>
      <c r="L194" s="43">
        <v>19.41</v>
      </c>
      <c r="M194" s="43">
        <v>23847.6</v>
      </c>
      <c r="N194" s="43">
        <v>1630.44</v>
      </c>
      <c r="O194" s="43">
        <v>22217.16</v>
      </c>
      <c r="P194" s="44">
        <v>0.9316308559351885</v>
      </c>
    </row>
    <row r="195" ht="14.25" customHeight="1">
      <c r="C195" s="41" t="s">
        <v>217</v>
      </c>
      <c r="D195" s="41" t="s">
        <v>25</v>
      </c>
      <c r="E195" s="41" t="s">
        <v>54</v>
      </c>
      <c r="F195" s="41" t="s">
        <v>22</v>
      </c>
      <c r="G195" s="41" t="s">
        <v>17</v>
      </c>
      <c r="H195" s="41" t="s">
        <v>31</v>
      </c>
      <c r="I195" s="42">
        <v>45111.0</v>
      </c>
      <c r="J195" s="41">
        <v>381.0</v>
      </c>
      <c r="K195" s="43">
        <v>193.31</v>
      </c>
      <c r="L195" s="43">
        <v>46.1</v>
      </c>
      <c r="M195" s="43">
        <v>73651.11</v>
      </c>
      <c r="N195" s="43">
        <v>17564.100000000002</v>
      </c>
      <c r="O195" s="43">
        <v>56087.009999999995</v>
      </c>
      <c r="P195" s="44">
        <v>0.7615229424240856</v>
      </c>
    </row>
    <row r="196" ht="14.25" customHeight="1">
      <c r="C196" s="41" t="s">
        <v>218</v>
      </c>
      <c r="D196" s="41" t="s">
        <v>25</v>
      </c>
      <c r="E196" s="41" t="s">
        <v>21</v>
      </c>
      <c r="F196" s="41" t="s">
        <v>46</v>
      </c>
      <c r="G196" s="41" t="s">
        <v>27</v>
      </c>
      <c r="H196" s="41" t="s">
        <v>23</v>
      </c>
      <c r="I196" s="42">
        <v>45112.0</v>
      </c>
      <c r="J196" s="41">
        <v>297.0</v>
      </c>
      <c r="K196" s="43">
        <v>276.51</v>
      </c>
      <c r="L196" s="43">
        <v>240.22</v>
      </c>
      <c r="M196" s="43">
        <v>82123.47</v>
      </c>
      <c r="N196" s="43">
        <v>71345.34</v>
      </c>
      <c r="O196" s="43">
        <v>10778.130000000005</v>
      </c>
      <c r="P196" s="44">
        <v>0.131242993020144</v>
      </c>
    </row>
    <row r="197" ht="14.25" customHeight="1">
      <c r="C197" s="41" t="s">
        <v>219</v>
      </c>
      <c r="D197" s="41" t="s">
        <v>52</v>
      </c>
      <c r="E197" s="41" t="s">
        <v>54</v>
      </c>
      <c r="F197" s="41" t="s">
        <v>26</v>
      </c>
      <c r="G197" s="41" t="s">
        <v>27</v>
      </c>
      <c r="H197" s="41" t="s">
        <v>31</v>
      </c>
      <c r="I197" s="42">
        <v>45113.0</v>
      </c>
      <c r="J197" s="41">
        <v>139.0</v>
      </c>
      <c r="K197" s="43">
        <v>300.26</v>
      </c>
      <c r="L197" s="43">
        <v>39.81</v>
      </c>
      <c r="M197" s="43">
        <v>41736.14</v>
      </c>
      <c r="N197" s="43">
        <v>5533.59</v>
      </c>
      <c r="O197" s="43">
        <v>36202.55</v>
      </c>
      <c r="P197" s="44">
        <v>0.8674149070805303</v>
      </c>
    </row>
    <row r="198" ht="14.25" customHeight="1">
      <c r="C198" s="41" t="s">
        <v>220</v>
      </c>
      <c r="D198" s="41" t="s">
        <v>14</v>
      </c>
      <c r="E198" s="41" t="s">
        <v>15</v>
      </c>
      <c r="F198" s="41" t="s">
        <v>26</v>
      </c>
      <c r="G198" s="41" t="s">
        <v>17</v>
      </c>
      <c r="H198" s="41" t="s">
        <v>23</v>
      </c>
      <c r="I198" s="42">
        <v>45114.0</v>
      </c>
      <c r="J198" s="41">
        <v>184.0</v>
      </c>
      <c r="K198" s="43">
        <v>275.12</v>
      </c>
      <c r="L198" s="43">
        <v>151.65</v>
      </c>
      <c r="M198" s="43">
        <v>50622.08</v>
      </c>
      <c r="N198" s="43">
        <v>27903.600000000002</v>
      </c>
      <c r="O198" s="43">
        <v>22718.48</v>
      </c>
      <c r="P198" s="44">
        <v>0.44878598429776095</v>
      </c>
    </row>
    <row r="199" ht="14.25" customHeight="1">
      <c r="C199" s="41" t="s">
        <v>221</v>
      </c>
      <c r="D199" s="41" t="s">
        <v>14</v>
      </c>
      <c r="E199" s="41" t="s">
        <v>54</v>
      </c>
      <c r="F199" s="41" t="s">
        <v>26</v>
      </c>
      <c r="G199" s="41" t="s">
        <v>17</v>
      </c>
      <c r="H199" s="41" t="s">
        <v>18</v>
      </c>
      <c r="I199" s="42">
        <v>45115.0</v>
      </c>
      <c r="J199" s="41">
        <v>471.0</v>
      </c>
      <c r="K199" s="43">
        <v>224.99</v>
      </c>
      <c r="L199" s="43">
        <v>220.94</v>
      </c>
      <c r="M199" s="43">
        <v>105970.29000000001</v>
      </c>
      <c r="N199" s="43">
        <v>104062.74</v>
      </c>
      <c r="O199" s="43">
        <v>1907.550000000003</v>
      </c>
      <c r="P199" s="44">
        <v>0.018000800035557162</v>
      </c>
    </row>
    <row r="200" ht="14.25" customHeight="1">
      <c r="C200" s="41" t="s">
        <v>222</v>
      </c>
      <c r="D200" s="41" t="s">
        <v>52</v>
      </c>
      <c r="E200" s="41" t="s">
        <v>21</v>
      </c>
      <c r="F200" s="41" t="s">
        <v>16</v>
      </c>
      <c r="G200" s="41" t="s">
        <v>27</v>
      </c>
      <c r="H200" s="41" t="s">
        <v>23</v>
      </c>
      <c r="I200" s="42">
        <v>45116.0</v>
      </c>
      <c r="J200" s="41">
        <v>93.0</v>
      </c>
      <c r="K200" s="43">
        <v>12.26</v>
      </c>
      <c r="L200" s="43">
        <v>156.68</v>
      </c>
      <c r="M200" s="43">
        <v>1140.18</v>
      </c>
      <c r="N200" s="43">
        <v>14571.24</v>
      </c>
      <c r="O200" s="43">
        <v>-13431.06</v>
      </c>
      <c r="P200" s="44">
        <v>-11.779771615008155</v>
      </c>
    </row>
    <row r="201" ht="14.25" customHeight="1">
      <c r="C201" s="41" t="s">
        <v>223</v>
      </c>
      <c r="D201" s="41" t="s">
        <v>14</v>
      </c>
      <c r="E201" s="41" t="s">
        <v>15</v>
      </c>
      <c r="F201" s="41" t="s">
        <v>30</v>
      </c>
      <c r="G201" s="41" t="s">
        <v>17</v>
      </c>
      <c r="H201" s="41" t="s">
        <v>18</v>
      </c>
      <c r="I201" s="42">
        <v>45117.0</v>
      </c>
      <c r="J201" s="41">
        <v>31.0</v>
      </c>
      <c r="K201" s="43">
        <v>295.6</v>
      </c>
      <c r="L201" s="43">
        <v>67.15</v>
      </c>
      <c r="M201" s="43">
        <v>9163.6</v>
      </c>
      <c r="N201" s="43">
        <v>2081.65</v>
      </c>
      <c r="O201" s="43">
        <v>7081.950000000001</v>
      </c>
      <c r="P201" s="44">
        <v>0.7728349120433018</v>
      </c>
    </row>
    <row r="202" ht="14.25" customHeight="1">
      <c r="C202" s="41" t="s">
        <v>224</v>
      </c>
      <c r="D202" s="41" t="s">
        <v>14</v>
      </c>
      <c r="E202" s="41" t="s">
        <v>54</v>
      </c>
      <c r="F202" s="41" t="s">
        <v>16</v>
      </c>
      <c r="G202" s="41" t="s">
        <v>17</v>
      </c>
      <c r="H202" s="41" t="s">
        <v>23</v>
      </c>
      <c r="I202" s="42">
        <v>45118.0</v>
      </c>
      <c r="J202" s="41">
        <v>468.0</v>
      </c>
      <c r="K202" s="43">
        <v>88.38</v>
      </c>
      <c r="L202" s="43">
        <v>110.97</v>
      </c>
      <c r="M202" s="43">
        <v>41361.84</v>
      </c>
      <c r="N202" s="43">
        <v>51933.96</v>
      </c>
      <c r="O202" s="43">
        <v>-10572.120000000003</v>
      </c>
      <c r="P202" s="44">
        <v>-0.2556008146639512</v>
      </c>
    </row>
    <row r="203" ht="14.25" customHeight="1">
      <c r="C203" s="41" t="s">
        <v>225</v>
      </c>
      <c r="D203" s="41" t="s">
        <v>25</v>
      </c>
      <c r="E203" s="41" t="s">
        <v>15</v>
      </c>
      <c r="F203" s="41" t="s">
        <v>30</v>
      </c>
      <c r="G203" s="41" t="s">
        <v>17</v>
      </c>
      <c r="H203" s="41" t="s">
        <v>31</v>
      </c>
      <c r="I203" s="42">
        <v>45119.0</v>
      </c>
      <c r="J203" s="41">
        <v>36.0</v>
      </c>
      <c r="K203" s="43">
        <v>323.08</v>
      </c>
      <c r="L203" s="43">
        <v>371.47</v>
      </c>
      <c r="M203" s="43">
        <v>11630.88</v>
      </c>
      <c r="N203" s="43">
        <v>13372.920000000002</v>
      </c>
      <c r="O203" s="43">
        <v>-1742.0400000000027</v>
      </c>
      <c r="P203" s="44">
        <v>-0.14977714497957187</v>
      </c>
    </row>
    <row r="204" ht="14.25" customHeight="1">
      <c r="C204" s="41" t="s">
        <v>226</v>
      </c>
      <c r="D204" s="41" t="s">
        <v>14</v>
      </c>
      <c r="E204" s="41" t="s">
        <v>29</v>
      </c>
      <c r="F204" s="41" t="s">
        <v>26</v>
      </c>
      <c r="G204" s="41" t="s">
        <v>27</v>
      </c>
      <c r="H204" s="41" t="s">
        <v>23</v>
      </c>
      <c r="I204" s="42">
        <v>45120.0</v>
      </c>
      <c r="J204" s="41">
        <v>204.0</v>
      </c>
      <c r="K204" s="43">
        <v>380.88</v>
      </c>
      <c r="L204" s="43">
        <v>271.04</v>
      </c>
      <c r="M204" s="43">
        <v>77699.52</v>
      </c>
      <c r="N204" s="43">
        <v>55292.16</v>
      </c>
      <c r="O204" s="43">
        <v>22407.36</v>
      </c>
      <c r="P204" s="44">
        <v>0.28838479311069104</v>
      </c>
    </row>
    <row r="205" ht="14.25" customHeight="1">
      <c r="C205" s="41" t="s">
        <v>227</v>
      </c>
      <c r="D205" s="41" t="s">
        <v>14</v>
      </c>
      <c r="E205" s="41" t="s">
        <v>29</v>
      </c>
      <c r="F205" s="41" t="s">
        <v>26</v>
      </c>
      <c r="G205" s="41" t="s">
        <v>17</v>
      </c>
      <c r="H205" s="41" t="s">
        <v>23</v>
      </c>
      <c r="I205" s="42">
        <v>45121.0</v>
      </c>
      <c r="J205" s="41">
        <v>346.0</v>
      </c>
      <c r="K205" s="43">
        <v>252.72</v>
      </c>
      <c r="L205" s="43">
        <v>199.43</v>
      </c>
      <c r="M205" s="43">
        <v>87441.12</v>
      </c>
      <c r="N205" s="43">
        <v>69002.78</v>
      </c>
      <c r="O205" s="43">
        <v>18438.339999999997</v>
      </c>
      <c r="P205" s="44">
        <v>0.21086578031022474</v>
      </c>
    </row>
    <row r="206" ht="14.25" customHeight="1">
      <c r="C206" s="41" t="s">
        <v>228</v>
      </c>
      <c r="D206" s="41" t="s">
        <v>52</v>
      </c>
      <c r="E206" s="41" t="s">
        <v>54</v>
      </c>
      <c r="F206" s="41" t="s">
        <v>16</v>
      </c>
      <c r="G206" s="41" t="s">
        <v>27</v>
      </c>
      <c r="H206" s="41" t="s">
        <v>18</v>
      </c>
      <c r="I206" s="42">
        <v>45122.0</v>
      </c>
      <c r="J206" s="41">
        <v>391.0</v>
      </c>
      <c r="K206" s="43">
        <v>273.47</v>
      </c>
      <c r="L206" s="43">
        <v>7.06</v>
      </c>
      <c r="M206" s="43">
        <v>106926.77</v>
      </c>
      <c r="N206" s="43">
        <v>2760.46</v>
      </c>
      <c r="O206" s="43">
        <v>104166.31</v>
      </c>
      <c r="P206" s="44">
        <v>0.9741836398873733</v>
      </c>
    </row>
    <row r="207" ht="14.25" customHeight="1">
      <c r="C207" s="41" t="s">
        <v>229</v>
      </c>
      <c r="D207" s="41" t="s">
        <v>52</v>
      </c>
      <c r="E207" s="41" t="s">
        <v>15</v>
      </c>
      <c r="F207" s="41" t="s">
        <v>16</v>
      </c>
      <c r="G207" s="41" t="s">
        <v>17</v>
      </c>
      <c r="H207" s="41" t="s">
        <v>31</v>
      </c>
      <c r="I207" s="42">
        <v>45123.0</v>
      </c>
      <c r="J207" s="41">
        <v>245.0</v>
      </c>
      <c r="K207" s="43">
        <v>475.98</v>
      </c>
      <c r="L207" s="43">
        <v>396.98</v>
      </c>
      <c r="M207" s="43">
        <v>116615.1</v>
      </c>
      <c r="N207" s="43">
        <v>97260.1</v>
      </c>
      <c r="O207" s="43">
        <v>19355.0</v>
      </c>
      <c r="P207" s="44">
        <v>0.16597336022521955</v>
      </c>
    </row>
    <row r="208" ht="14.25" customHeight="1">
      <c r="C208" s="41" t="s">
        <v>230</v>
      </c>
      <c r="D208" s="41" t="s">
        <v>20</v>
      </c>
      <c r="E208" s="41" t="s">
        <v>21</v>
      </c>
      <c r="F208" s="41" t="s">
        <v>30</v>
      </c>
      <c r="G208" s="41" t="s">
        <v>27</v>
      </c>
      <c r="H208" s="41" t="s">
        <v>23</v>
      </c>
      <c r="I208" s="42">
        <v>45124.0</v>
      </c>
      <c r="J208" s="41">
        <v>449.0</v>
      </c>
      <c r="K208" s="43">
        <v>424.35</v>
      </c>
      <c r="L208" s="43">
        <v>269.24</v>
      </c>
      <c r="M208" s="43">
        <v>190533.15000000002</v>
      </c>
      <c r="N208" s="43">
        <v>120888.76000000001</v>
      </c>
      <c r="O208" s="43">
        <v>69644.39000000001</v>
      </c>
      <c r="P208" s="44">
        <v>0.36552374219394373</v>
      </c>
    </row>
    <row r="209" ht="14.25" customHeight="1">
      <c r="C209" s="41" t="s">
        <v>231</v>
      </c>
      <c r="D209" s="41" t="s">
        <v>25</v>
      </c>
      <c r="E209" s="41" t="s">
        <v>54</v>
      </c>
      <c r="F209" s="41" t="s">
        <v>22</v>
      </c>
      <c r="G209" s="41" t="s">
        <v>27</v>
      </c>
      <c r="H209" s="41" t="s">
        <v>31</v>
      </c>
      <c r="I209" s="42">
        <v>45125.0</v>
      </c>
      <c r="J209" s="41">
        <v>101.0</v>
      </c>
      <c r="K209" s="43">
        <v>457.55</v>
      </c>
      <c r="L209" s="43">
        <v>128.14</v>
      </c>
      <c r="M209" s="43">
        <v>46212.55</v>
      </c>
      <c r="N209" s="43">
        <v>12942.14</v>
      </c>
      <c r="O209" s="43">
        <v>33270.41</v>
      </c>
      <c r="P209" s="44">
        <v>0.719943175609223</v>
      </c>
    </row>
    <row r="210" ht="14.25" customHeight="1">
      <c r="C210" s="41" t="s">
        <v>232</v>
      </c>
      <c r="D210" s="41" t="s">
        <v>14</v>
      </c>
      <c r="E210" s="41" t="s">
        <v>29</v>
      </c>
      <c r="F210" s="41" t="s">
        <v>30</v>
      </c>
      <c r="G210" s="41" t="s">
        <v>17</v>
      </c>
      <c r="H210" s="41" t="s">
        <v>23</v>
      </c>
      <c r="I210" s="42">
        <v>45126.0</v>
      </c>
      <c r="J210" s="41">
        <v>255.9029411764706</v>
      </c>
      <c r="K210" s="43">
        <v>407.81</v>
      </c>
      <c r="L210" s="43">
        <v>351.95</v>
      </c>
      <c r="M210" s="43">
        <v>104359.77844117647</v>
      </c>
      <c r="N210" s="43">
        <v>90065.04014705883</v>
      </c>
      <c r="O210" s="43">
        <v>14294.738294117647</v>
      </c>
      <c r="P210" s="44">
        <v>0.13697555234055075</v>
      </c>
    </row>
    <row r="211" ht="14.25" customHeight="1">
      <c r="C211" s="41" t="s">
        <v>233</v>
      </c>
      <c r="D211" s="41" t="s">
        <v>14</v>
      </c>
      <c r="E211" s="41" t="s">
        <v>29</v>
      </c>
      <c r="F211" s="41" t="s">
        <v>16</v>
      </c>
      <c r="G211" s="41" t="s">
        <v>27</v>
      </c>
      <c r="H211" s="41" t="s">
        <v>23</v>
      </c>
      <c r="I211" s="42">
        <v>45127.0</v>
      </c>
      <c r="J211" s="41">
        <v>30.0</v>
      </c>
      <c r="K211" s="43">
        <v>58.91</v>
      </c>
      <c r="L211" s="43">
        <v>104.86</v>
      </c>
      <c r="M211" s="43">
        <v>1767.3</v>
      </c>
      <c r="N211" s="43">
        <v>3145.8</v>
      </c>
      <c r="O211" s="43">
        <v>-1378.5000000000002</v>
      </c>
      <c r="P211" s="44">
        <v>-0.7800033950093365</v>
      </c>
    </row>
    <row r="212" ht="14.25" customHeight="1">
      <c r="C212" s="41" t="s">
        <v>234</v>
      </c>
      <c r="D212" s="41" t="s">
        <v>20</v>
      </c>
      <c r="E212" s="41" t="s">
        <v>54</v>
      </c>
      <c r="F212" s="41" t="s">
        <v>16</v>
      </c>
      <c r="G212" s="41" t="s">
        <v>17</v>
      </c>
      <c r="H212" s="41" t="s">
        <v>31</v>
      </c>
      <c r="I212" s="42">
        <v>45128.0</v>
      </c>
      <c r="J212" s="41">
        <v>312.0</v>
      </c>
      <c r="K212" s="43">
        <v>78.75</v>
      </c>
      <c r="L212" s="43">
        <v>218.52</v>
      </c>
      <c r="M212" s="43">
        <v>24570.0</v>
      </c>
      <c r="N212" s="43">
        <v>68178.24</v>
      </c>
      <c r="O212" s="43">
        <v>-43608.240000000005</v>
      </c>
      <c r="P212" s="44">
        <v>-1.7748571428571431</v>
      </c>
    </row>
    <row r="213" ht="14.25" customHeight="1">
      <c r="C213" s="41" t="s">
        <v>235</v>
      </c>
      <c r="D213" s="41" t="s">
        <v>14</v>
      </c>
      <c r="E213" s="41" t="s">
        <v>15</v>
      </c>
      <c r="F213" s="41" t="s">
        <v>46</v>
      </c>
      <c r="G213" s="41" t="s">
        <v>27</v>
      </c>
      <c r="H213" s="41" t="s">
        <v>23</v>
      </c>
      <c r="I213" s="42">
        <v>45129.0</v>
      </c>
      <c r="J213" s="41">
        <v>473.0</v>
      </c>
      <c r="K213" s="43">
        <v>265.68</v>
      </c>
      <c r="L213" s="43">
        <v>255.16</v>
      </c>
      <c r="M213" s="43">
        <v>125666.64</v>
      </c>
      <c r="N213" s="43">
        <v>120690.68</v>
      </c>
      <c r="O213" s="43">
        <v>4975.960000000006</v>
      </c>
      <c r="P213" s="44">
        <v>0.039596507076181925</v>
      </c>
    </row>
    <row r="214" ht="14.25" customHeight="1">
      <c r="C214" s="41" t="s">
        <v>236</v>
      </c>
      <c r="D214" s="41" t="s">
        <v>25</v>
      </c>
      <c r="E214" s="41" t="s">
        <v>29</v>
      </c>
      <c r="F214" s="41" t="s">
        <v>16</v>
      </c>
      <c r="G214" s="41" t="s">
        <v>17</v>
      </c>
      <c r="H214" s="41" t="s">
        <v>31</v>
      </c>
      <c r="I214" s="42">
        <v>45130.0</v>
      </c>
      <c r="J214" s="41">
        <v>366.0</v>
      </c>
      <c r="K214" s="43">
        <v>126.8</v>
      </c>
      <c r="L214" s="43">
        <v>89.98</v>
      </c>
      <c r="M214" s="43">
        <v>46408.799999999996</v>
      </c>
      <c r="N214" s="43">
        <v>32932.68</v>
      </c>
      <c r="O214" s="43">
        <v>13476.119999999995</v>
      </c>
      <c r="P214" s="44">
        <v>0.290378548895899</v>
      </c>
    </row>
    <row r="215" ht="14.25" customHeight="1">
      <c r="C215" s="41" t="s">
        <v>237</v>
      </c>
      <c r="D215" s="41" t="s">
        <v>20</v>
      </c>
      <c r="E215" s="41" t="s">
        <v>15</v>
      </c>
      <c r="F215" s="41" t="s">
        <v>46</v>
      </c>
      <c r="G215" s="41" t="s">
        <v>17</v>
      </c>
      <c r="H215" s="41" t="s">
        <v>23</v>
      </c>
      <c r="I215" s="42">
        <v>45131.0</v>
      </c>
      <c r="J215" s="41">
        <v>452.0</v>
      </c>
      <c r="K215" s="43">
        <v>240.96</v>
      </c>
      <c r="L215" s="43">
        <v>391.4</v>
      </c>
      <c r="M215" s="43">
        <v>108913.92</v>
      </c>
      <c r="N215" s="43">
        <v>176912.8</v>
      </c>
      <c r="O215" s="43">
        <v>-67998.87999999999</v>
      </c>
      <c r="P215" s="44">
        <v>-0.6243359893758299</v>
      </c>
    </row>
    <row r="216" ht="14.25" customHeight="1">
      <c r="C216" s="41" t="s">
        <v>238</v>
      </c>
      <c r="D216" s="41" t="s">
        <v>25</v>
      </c>
      <c r="E216" s="41" t="s">
        <v>29</v>
      </c>
      <c r="F216" s="41" t="s">
        <v>22</v>
      </c>
      <c r="G216" s="41" t="s">
        <v>27</v>
      </c>
      <c r="H216" s="41" t="s">
        <v>18</v>
      </c>
      <c r="I216" s="42">
        <v>45132.0</v>
      </c>
      <c r="J216" s="41">
        <v>93.0</v>
      </c>
      <c r="K216" s="43">
        <v>200.21</v>
      </c>
      <c r="L216" s="43">
        <v>299.78</v>
      </c>
      <c r="M216" s="43">
        <v>18619.530000000002</v>
      </c>
      <c r="N216" s="43">
        <v>27879.539999999997</v>
      </c>
      <c r="O216" s="43">
        <v>-9260.009999999995</v>
      </c>
      <c r="P216" s="44">
        <v>-0.49732780580390556</v>
      </c>
    </row>
    <row r="217" ht="14.25" customHeight="1">
      <c r="C217" s="41" t="s">
        <v>239</v>
      </c>
      <c r="D217" s="41" t="s">
        <v>20</v>
      </c>
      <c r="E217" s="41" t="s">
        <v>29</v>
      </c>
      <c r="F217" s="41" t="s">
        <v>30</v>
      </c>
      <c r="G217" s="41" t="s">
        <v>17</v>
      </c>
      <c r="H217" s="41" t="s">
        <v>31</v>
      </c>
      <c r="I217" s="42">
        <v>45133.0</v>
      </c>
      <c r="J217" s="41">
        <v>271.0</v>
      </c>
      <c r="K217" s="43">
        <v>276.96</v>
      </c>
      <c r="L217" s="43">
        <v>224.01</v>
      </c>
      <c r="M217" s="43">
        <v>75056.15999999999</v>
      </c>
      <c r="N217" s="43">
        <v>60706.71</v>
      </c>
      <c r="O217" s="43">
        <v>14349.44999999999</v>
      </c>
      <c r="P217" s="44">
        <v>0.19118284228769486</v>
      </c>
    </row>
    <row r="218" ht="14.25" customHeight="1">
      <c r="C218" s="41" t="s">
        <v>240</v>
      </c>
      <c r="D218" s="41" t="s">
        <v>20</v>
      </c>
      <c r="E218" s="41" t="s">
        <v>34</v>
      </c>
      <c r="F218" s="41" t="s">
        <v>30</v>
      </c>
      <c r="G218" s="41" t="s">
        <v>17</v>
      </c>
      <c r="H218" s="41" t="s">
        <v>23</v>
      </c>
      <c r="I218" s="42">
        <v>45134.0</v>
      </c>
      <c r="J218" s="41">
        <v>156.0</v>
      </c>
      <c r="K218" s="43">
        <v>374.7</v>
      </c>
      <c r="L218" s="43">
        <v>73.88</v>
      </c>
      <c r="M218" s="43">
        <v>58453.2</v>
      </c>
      <c r="N218" s="43">
        <v>11525.279999999999</v>
      </c>
      <c r="O218" s="43">
        <v>46927.92</v>
      </c>
      <c r="P218" s="44">
        <v>0.8028289298105151</v>
      </c>
    </row>
    <row r="219" ht="14.25" customHeight="1">
      <c r="C219" s="41" t="s">
        <v>241</v>
      </c>
      <c r="D219" s="41" t="s">
        <v>52</v>
      </c>
      <c r="E219" s="41" t="s">
        <v>29</v>
      </c>
      <c r="F219" s="41" t="s">
        <v>46</v>
      </c>
      <c r="G219" s="41" t="s">
        <v>27</v>
      </c>
      <c r="H219" s="41" t="s">
        <v>23</v>
      </c>
      <c r="I219" s="42">
        <v>45135.0</v>
      </c>
      <c r="J219" s="41">
        <v>450.0</v>
      </c>
      <c r="K219" s="43">
        <v>359.17</v>
      </c>
      <c r="L219" s="43">
        <v>23.44</v>
      </c>
      <c r="M219" s="43">
        <v>161626.5</v>
      </c>
      <c r="N219" s="43">
        <v>10548.0</v>
      </c>
      <c r="O219" s="43">
        <v>151078.5</v>
      </c>
      <c r="P219" s="44">
        <v>0.9347384247013949</v>
      </c>
    </row>
    <row r="220" ht="14.25" customHeight="1">
      <c r="C220" s="41" t="s">
        <v>242</v>
      </c>
      <c r="D220" s="41" t="s">
        <v>25</v>
      </c>
      <c r="E220" s="41" t="s">
        <v>21</v>
      </c>
      <c r="F220" s="41" t="s">
        <v>30</v>
      </c>
      <c r="G220" s="41" t="s">
        <v>17</v>
      </c>
      <c r="H220" s="41" t="s">
        <v>18</v>
      </c>
      <c r="I220" s="42">
        <v>45136.0</v>
      </c>
      <c r="J220" s="41">
        <v>462.0</v>
      </c>
      <c r="K220" s="43">
        <v>263.01</v>
      </c>
      <c r="L220" s="43">
        <v>129.38</v>
      </c>
      <c r="M220" s="43">
        <v>121510.62</v>
      </c>
      <c r="N220" s="43">
        <v>59773.56</v>
      </c>
      <c r="O220" s="43">
        <v>61737.06</v>
      </c>
      <c r="P220" s="44">
        <v>0.5080795407018744</v>
      </c>
    </row>
    <row r="221" ht="14.25" customHeight="1">
      <c r="C221" s="41" t="s">
        <v>243</v>
      </c>
      <c r="D221" s="41" t="s">
        <v>14</v>
      </c>
      <c r="E221" s="41" t="s">
        <v>54</v>
      </c>
      <c r="F221" s="41" t="s">
        <v>39</v>
      </c>
      <c r="G221" s="41" t="s">
        <v>17</v>
      </c>
      <c r="H221" s="41" t="s">
        <v>31</v>
      </c>
      <c r="I221" s="42">
        <v>45137.0</v>
      </c>
      <c r="J221" s="41">
        <v>396.0</v>
      </c>
      <c r="K221" s="43">
        <v>412.08</v>
      </c>
      <c r="L221" s="43">
        <v>301.77</v>
      </c>
      <c r="M221" s="43">
        <v>163183.68</v>
      </c>
      <c r="N221" s="43">
        <v>119500.92</v>
      </c>
      <c r="O221" s="43">
        <v>43682.759999999995</v>
      </c>
      <c r="P221" s="44">
        <v>0.26769073966220147</v>
      </c>
    </row>
    <row r="222" ht="14.25" customHeight="1">
      <c r="C222" s="41" t="s">
        <v>244</v>
      </c>
      <c r="D222" s="41" t="s">
        <v>14</v>
      </c>
      <c r="E222" s="41" t="s">
        <v>54</v>
      </c>
      <c r="F222" s="41" t="s">
        <v>26</v>
      </c>
      <c r="G222" s="41" t="s">
        <v>27</v>
      </c>
      <c r="H222" s="41" t="s">
        <v>23</v>
      </c>
      <c r="I222" s="42">
        <v>45138.0</v>
      </c>
      <c r="J222" s="41">
        <v>266.0</v>
      </c>
      <c r="K222" s="43">
        <v>218.28</v>
      </c>
      <c r="L222" s="43">
        <v>109.19</v>
      </c>
      <c r="M222" s="43">
        <v>58062.48</v>
      </c>
      <c r="N222" s="43">
        <v>29044.54</v>
      </c>
      <c r="O222" s="43">
        <v>29017.940000000002</v>
      </c>
      <c r="P222" s="44">
        <v>0.499770936411948</v>
      </c>
    </row>
    <row r="223" ht="14.25" customHeight="1">
      <c r="C223" s="41" t="s">
        <v>245</v>
      </c>
      <c r="D223" s="41" t="s">
        <v>25</v>
      </c>
      <c r="E223" s="41" t="s">
        <v>15</v>
      </c>
      <c r="F223" s="41" t="s">
        <v>46</v>
      </c>
      <c r="G223" s="41" t="s">
        <v>27</v>
      </c>
      <c r="H223" s="41" t="s">
        <v>18</v>
      </c>
      <c r="I223" s="42">
        <v>45139.0</v>
      </c>
      <c r="J223" s="41">
        <v>67.0</v>
      </c>
      <c r="K223" s="43">
        <v>448.87</v>
      </c>
      <c r="L223" s="43">
        <v>216.74</v>
      </c>
      <c r="M223" s="43">
        <v>30074.29</v>
      </c>
      <c r="N223" s="43">
        <v>14521.58</v>
      </c>
      <c r="O223" s="43">
        <v>15552.710000000001</v>
      </c>
      <c r="P223" s="44">
        <v>0.5171430480985586</v>
      </c>
    </row>
    <row r="224" ht="14.25" customHeight="1">
      <c r="C224" s="41" t="s">
        <v>246</v>
      </c>
      <c r="D224" s="41" t="s">
        <v>14</v>
      </c>
      <c r="E224" s="41" t="s">
        <v>29</v>
      </c>
      <c r="F224" s="41" t="s">
        <v>30</v>
      </c>
      <c r="G224" s="41" t="s">
        <v>17</v>
      </c>
      <c r="H224" s="41" t="s">
        <v>23</v>
      </c>
      <c r="I224" s="42">
        <v>45140.0</v>
      </c>
      <c r="J224" s="41">
        <v>389.0</v>
      </c>
      <c r="K224" s="43">
        <v>40.28</v>
      </c>
      <c r="L224" s="43">
        <v>291.72</v>
      </c>
      <c r="M224" s="43">
        <v>15668.92</v>
      </c>
      <c r="N224" s="43">
        <v>113479.08000000002</v>
      </c>
      <c r="O224" s="43">
        <v>-97810.16000000002</v>
      </c>
      <c r="P224" s="44">
        <v>-6.242303872889773</v>
      </c>
    </row>
    <row r="225" ht="14.25" customHeight="1">
      <c r="C225" s="41" t="s">
        <v>247</v>
      </c>
      <c r="D225" s="41" t="s">
        <v>14</v>
      </c>
      <c r="E225" s="41" t="s">
        <v>21</v>
      </c>
      <c r="F225" s="41" t="s">
        <v>46</v>
      </c>
      <c r="G225" s="41" t="s">
        <v>17</v>
      </c>
      <c r="H225" s="41" t="s">
        <v>31</v>
      </c>
      <c r="I225" s="42">
        <v>45141.0</v>
      </c>
      <c r="J225" s="41">
        <v>431.0</v>
      </c>
      <c r="K225" s="43">
        <v>477.56</v>
      </c>
      <c r="L225" s="43">
        <v>44.96</v>
      </c>
      <c r="M225" s="43">
        <v>205828.36000000002</v>
      </c>
      <c r="N225" s="43">
        <v>19377.760000000002</v>
      </c>
      <c r="O225" s="43">
        <v>186450.6</v>
      </c>
      <c r="P225" s="44">
        <v>0.9058547617053354</v>
      </c>
    </row>
    <row r="226" ht="14.25" customHeight="1">
      <c r="C226" s="41" t="s">
        <v>248</v>
      </c>
      <c r="D226" s="41" t="s">
        <v>25</v>
      </c>
      <c r="E226" s="41" t="s">
        <v>15</v>
      </c>
      <c r="F226" s="41" t="s">
        <v>46</v>
      </c>
      <c r="G226" s="41" t="s">
        <v>27</v>
      </c>
      <c r="H226" s="41" t="s">
        <v>23</v>
      </c>
      <c r="I226" s="42">
        <v>45142.0</v>
      </c>
      <c r="J226" s="41">
        <v>24.0</v>
      </c>
      <c r="K226" s="43">
        <v>329.07</v>
      </c>
      <c r="L226" s="43">
        <v>274.75</v>
      </c>
      <c r="M226" s="43">
        <v>7897.68</v>
      </c>
      <c r="N226" s="43">
        <v>6594.0</v>
      </c>
      <c r="O226" s="43">
        <v>1303.6800000000003</v>
      </c>
      <c r="P226" s="44">
        <v>0.16507126143373754</v>
      </c>
    </row>
    <row r="227" ht="14.25" customHeight="1">
      <c r="C227" s="41" t="s">
        <v>249</v>
      </c>
      <c r="D227" s="41" t="s">
        <v>20</v>
      </c>
      <c r="E227" s="41" t="s">
        <v>34</v>
      </c>
      <c r="F227" s="41" t="s">
        <v>26</v>
      </c>
      <c r="G227" s="41" t="s">
        <v>27</v>
      </c>
      <c r="H227" s="41" t="s">
        <v>23</v>
      </c>
      <c r="I227" s="42">
        <v>45143.0</v>
      </c>
      <c r="J227" s="41">
        <v>171.0</v>
      </c>
      <c r="K227" s="43">
        <v>193.14</v>
      </c>
      <c r="L227" s="43">
        <v>38.56</v>
      </c>
      <c r="M227" s="43">
        <v>33026.939999999995</v>
      </c>
      <c r="N227" s="43">
        <v>6593.76</v>
      </c>
      <c r="O227" s="43">
        <v>26433.179999999993</v>
      </c>
      <c r="P227" s="44">
        <v>0.8003520762141451</v>
      </c>
    </row>
    <row r="228" ht="14.25" customHeight="1">
      <c r="C228" s="41" t="s">
        <v>250</v>
      </c>
      <c r="D228" s="41" t="s">
        <v>25</v>
      </c>
      <c r="E228" s="41" t="s">
        <v>15</v>
      </c>
      <c r="F228" s="41" t="s">
        <v>16</v>
      </c>
      <c r="G228" s="41" t="s">
        <v>17</v>
      </c>
      <c r="H228" s="41" t="s">
        <v>23</v>
      </c>
      <c r="I228" s="42">
        <v>45144.0</v>
      </c>
      <c r="J228" s="41">
        <v>454.0</v>
      </c>
      <c r="K228" s="43">
        <v>102.59</v>
      </c>
      <c r="L228" s="43">
        <v>386.12</v>
      </c>
      <c r="M228" s="43">
        <v>46575.86</v>
      </c>
      <c r="N228" s="43">
        <v>175298.48</v>
      </c>
      <c r="O228" s="43">
        <v>-128722.62000000001</v>
      </c>
      <c r="P228" s="44">
        <v>-2.763719660785652</v>
      </c>
    </row>
    <row r="229" ht="14.25" customHeight="1">
      <c r="C229" s="41" t="s">
        <v>251</v>
      </c>
      <c r="D229" s="41" t="s">
        <v>20</v>
      </c>
      <c r="E229" s="41" t="s">
        <v>15</v>
      </c>
      <c r="F229" s="41" t="s">
        <v>46</v>
      </c>
      <c r="G229" s="41" t="s">
        <v>27</v>
      </c>
      <c r="H229" s="41" t="s">
        <v>23</v>
      </c>
      <c r="I229" s="42">
        <v>45145.0</v>
      </c>
      <c r="J229" s="41">
        <v>172.0</v>
      </c>
      <c r="K229" s="43">
        <v>242.2</v>
      </c>
      <c r="L229" s="43">
        <v>196.38</v>
      </c>
      <c r="M229" s="43">
        <v>41658.4</v>
      </c>
      <c r="N229" s="43">
        <v>33777.36</v>
      </c>
      <c r="O229" s="43">
        <v>7881.040000000001</v>
      </c>
      <c r="P229" s="44">
        <v>0.18918249380677127</v>
      </c>
    </row>
    <row r="230" ht="14.25" customHeight="1">
      <c r="C230" s="41" t="s">
        <v>252</v>
      </c>
      <c r="D230" s="41" t="s">
        <v>14</v>
      </c>
      <c r="E230" s="41" t="s">
        <v>29</v>
      </c>
      <c r="F230" s="41" t="s">
        <v>30</v>
      </c>
      <c r="G230" s="41" t="s">
        <v>17</v>
      </c>
      <c r="H230" s="41" t="s">
        <v>18</v>
      </c>
      <c r="I230" s="42">
        <v>45146.0</v>
      </c>
      <c r="J230" s="41">
        <v>329.0</v>
      </c>
      <c r="K230" s="43">
        <v>101.31</v>
      </c>
      <c r="L230" s="43">
        <v>61.97</v>
      </c>
      <c r="M230" s="43">
        <v>33330.99</v>
      </c>
      <c r="N230" s="43">
        <v>20388.13</v>
      </c>
      <c r="O230" s="43">
        <v>12942.859999999997</v>
      </c>
      <c r="P230" s="44">
        <v>0.38831309841081824</v>
      </c>
    </row>
    <row r="231" ht="14.25" customHeight="1">
      <c r="C231" s="41" t="s">
        <v>253</v>
      </c>
      <c r="D231" s="41" t="s">
        <v>14</v>
      </c>
      <c r="E231" s="41" t="s">
        <v>34</v>
      </c>
      <c r="F231" s="41" t="s">
        <v>22</v>
      </c>
      <c r="G231" s="41" t="s">
        <v>17</v>
      </c>
      <c r="H231" s="41" t="s">
        <v>18</v>
      </c>
      <c r="I231" s="42">
        <v>45147.0</v>
      </c>
      <c r="J231" s="41">
        <v>290.0</v>
      </c>
      <c r="K231" s="43">
        <v>87.33</v>
      </c>
      <c r="L231" s="43">
        <v>138.27</v>
      </c>
      <c r="M231" s="43">
        <v>25325.7</v>
      </c>
      <c r="N231" s="43">
        <v>40098.3</v>
      </c>
      <c r="O231" s="43">
        <v>-14772.600000000002</v>
      </c>
      <c r="P231" s="44">
        <v>-0.5833047062864996</v>
      </c>
    </row>
    <row r="232" ht="14.25" customHeight="1">
      <c r="C232" s="41" t="s">
        <v>254</v>
      </c>
      <c r="D232" s="41" t="s">
        <v>39</v>
      </c>
      <c r="E232" s="41" t="s">
        <v>15</v>
      </c>
      <c r="F232" s="41" t="s">
        <v>46</v>
      </c>
      <c r="G232" s="41" t="s">
        <v>17</v>
      </c>
      <c r="H232" s="41" t="s">
        <v>31</v>
      </c>
      <c r="I232" s="42">
        <v>45148.0</v>
      </c>
      <c r="J232" s="41">
        <v>289.0</v>
      </c>
      <c r="K232" s="43">
        <v>310.59</v>
      </c>
      <c r="L232" s="43">
        <v>166.54</v>
      </c>
      <c r="M232" s="43">
        <v>89760.51</v>
      </c>
      <c r="N232" s="43">
        <v>48130.06</v>
      </c>
      <c r="O232" s="43">
        <v>41630.45</v>
      </c>
      <c r="P232" s="44">
        <v>0.4637947132876139</v>
      </c>
    </row>
    <row r="233" ht="14.25" customHeight="1">
      <c r="C233" s="41" t="s">
        <v>255</v>
      </c>
      <c r="D233" s="41" t="s">
        <v>52</v>
      </c>
      <c r="E233" s="41" t="s">
        <v>21</v>
      </c>
      <c r="F233" s="41" t="s">
        <v>46</v>
      </c>
      <c r="G233" s="41" t="s">
        <v>17</v>
      </c>
      <c r="H233" s="41" t="s">
        <v>18</v>
      </c>
      <c r="I233" s="42">
        <v>45149.0</v>
      </c>
      <c r="J233" s="41">
        <v>21.0</v>
      </c>
      <c r="K233" s="43">
        <v>263.93</v>
      </c>
      <c r="L233" s="43">
        <v>303.76</v>
      </c>
      <c r="M233" s="43">
        <v>5542.53</v>
      </c>
      <c r="N233" s="43">
        <v>6378.96</v>
      </c>
      <c r="O233" s="43">
        <v>-836.4300000000003</v>
      </c>
      <c r="P233" s="44">
        <v>-0.15091122646156183</v>
      </c>
    </row>
    <row r="234" ht="14.25" customHeight="1">
      <c r="C234" s="41" t="s">
        <v>256</v>
      </c>
      <c r="D234" s="41" t="s">
        <v>20</v>
      </c>
      <c r="E234" s="41" t="s">
        <v>21</v>
      </c>
      <c r="F234" s="41" t="s">
        <v>26</v>
      </c>
      <c r="G234" s="41" t="s">
        <v>17</v>
      </c>
      <c r="H234" s="41" t="s">
        <v>18</v>
      </c>
      <c r="I234" s="42">
        <v>45150.0</v>
      </c>
      <c r="J234" s="41">
        <v>283.0</v>
      </c>
      <c r="K234" s="43">
        <v>336.7</v>
      </c>
      <c r="L234" s="43">
        <v>297.88</v>
      </c>
      <c r="M234" s="43">
        <v>95286.09999999999</v>
      </c>
      <c r="N234" s="43">
        <v>84300.04</v>
      </c>
      <c r="O234" s="43">
        <v>10986.059999999998</v>
      </c>
      <c r="P234" s="44">
        <v>0.11529551529551528</v>
      </c>
    </row>
    <row r="235" ht="14.25" customHeight="1">
      <c r="C235" s="41" t="s">
        <v>257</v>
      </c>
      <c r="D235" s="41" t="s">
        <v>52</v>
      </c>
      <c r="E235" s="41" t="s">
        <v>54</v>
      </c>
      <c r="F235" s="41" t="s">
        <v>16</v>
      </c>
      <c r="G235" s="41" t="s">
        <v>27</v>
      </c>
      <c r="H235" s="41" t="s">
        <v>31</v>
      </c>
      <c r="I235" s="42">
        <v>45151.0</v>
      </c>
      <c r="J235" s="41">
        <v>280.0</v>
      </c>
      <c r="K235" s="43">
        <v>465.15</v>
      </c>
      <c r="L235" s="43">
        <v>245.55</v>
      </c>
      <c r="M235" s="43">
        <v>130242.0</v>
      </c>
      <c r="N235" s="43">
        <v>68754.0</v>
      </c>
      <c r="O235" s="43">
        <v>61488.0</v>
      </c>
      <c r="P235" s="44">
        <v>0.47210577233150597</v>
      </c>
    </row>
    <row r="236" ht="14.25" customHeight="1">
      <c r="C236" s="41" t="s">
        <v>258</v>
      </c>
      <c r="D236" s="41" t="s">
        <v>52</v>
      </c>
      <c r="E236" s="41" t="s">
        <v>34</v>
      </c>
      <c r="F236" s="41" t="s">
        <v>22</v>
      </c>
      <c r="G236" s="41" t="s">
        <v>27</v>
      </c>
      <c r="H236" s="41" t="s">
        <v>18</v>
      </c>
      <c r="I236" s="42">
        <v>45152.0</v>
      </c>
      <c r="J236" s="41">
        <v>217.0</v>
      </c>
      <c r="K236" s="43">
        <v>268.47</v>
      </c>
      <c r="L236" s="43">
        <v>44.16</v>
      </c>
      <c r="M236" s="43">
        <v>58257.990000000005</v>
      </c>
      <c r="N236" s="43">
        <v>9582.72</v>
      </c>
      <c r="O236" s="43">
        <v>48675.270000000004</v>
      </c>
      <c r="P236" s="44">
        <v>0.8355123477483518</v>
      </c>
    </row>
    <row r="237" ht="14.25" customHeight="1">
      <c r="C237" s="41" t="s">
        <v>259</v>
      </c>
      <c r="D237" s="41" t="s">
        <v>25</v>
      </c>
      <c r="E237" s="41" t="s">
        <v>34</v>
      </c>
      <c r="F237" s="41" t="s">
        <v>30</v>
      </c>
      <c r="G237" s="41" t="s">
        <v>27</v>
      </c>
      <c r="H237" s="41" t="s">
        <v>18</v>
      </c>
      <c r="I237" s="42">
        <v>45153.0</v>
      </c>
      <c r="J237" s="41">
        <v>36.0</v>
      </c>
      <c r="K237" s="43">
        <v>292.56</v>
      </c>
      <c r="L237" s="43">
        <v>62.32</v>
      </c>
      <c r="M237" s="43">
        <v>10532.16</v>
      </c>
      <c r="N237" s="43">
        <v>2243.52</v>
      </c>
      <c r="O237" s="43">
        <v>8288.64</v>
      </c>
      <c r="P237" s="44">
        <v>0.7869838665572874</v>
      </c>
    </row>
    <row r="238" ht="14.25" customHeight="1">
      <c r="C238" s="41" t="s">
        <v>260</v>
      </c>
      <c r="D238" s="41" t="s">
        <v>52</v>
      </c>
      <c r="E238" s="41" t="s">
        <v>54</v>
      </c>
      <c r="F238" s="41" t="s">
        <v>22</v>
      </c>
      <c r="G238" s="41" t="s">
        <v>27</v>
      </c>
      <c r="H238" s="41" t="s">
        <v>31</v>
      </c>
      <c r="I238" s="42">
        <v>45154.0</v>
      </c>
      <c r="J238" s="41">
        <v>255.9029411764706</v>
      </c>
      <c r="K238" s="43">
        <v>49.37</v>
      </c>
      <c r="L238" s="43">
        <v>39.32</v>
      </c>
      <c r="M238" s="43">
        <v>12633.928205882352</v>
      </c>
      <c r="N238" s="43">
        <v>10062.103647058824</v>
      </c>
      <c r="O238" s="43">
        <v>2571.8245588235277</v>
      </c>
      <c r="P238" s="44">
        <v>0.2035649179663762</v>
      </c>
    </row>
    <row r="239" ht="14.25" customHeight="1">
      <c r="C239" s="41" t="s">
        <v>261</v>
      </c>
      <c r="D239" s="41" t="s">
        <v>25</v>
      </c>
      <c r="E239" s="41" t="s">
        <v>15</v>
      </c>
      <c r="F239" s="41" t="s">
        <v>30</v>
      </c>
      <c r="G239" s="41" t="s">
        <v>17</v>
      </c>
      <c r="H239" s="41" t="s">
        <v>31</v>
      </c>
      <c r="I239" s="42">
        <v>45155.0</v>
      </c>
      <c r="J239" s="41">
        <v>69.0</v>
      </c>
      <c r="K239" s="43">
        <v>360.23</v>
      </c>
      <c r="L239" s="43">
        <v>231.71</v>
      </c>
      <c r="M239" s="43">
        <v>24855.870000000003</v>
      </c>
      <c r="N239" s="43">
        <v>15987.99</v>
      </c>
      <c r="O239" s="43">
        <v>8867.880000000003</v>
      </c>
      <c r="P239" s="44">
        <v>0.35677206229353475</v>
      </c>
    </row>
    <row r="240" ht="14.25" customHeight="1">
      <c r="C240" s="41" t="s">
        <v>262</v>
      </c>
      <c r="D240" s="41" t="s">
        <v>25</v>
      </c>
      <c r="E240" s="41" t="s">
        <v>34</v>
      </c>
      <c r="F240" s="41" t="s">
        <v>16</v>
      </c>
      <c r="G240" s="41" t="s">
        <v>17</v>
      </c>
      <c r="H240" s="41" t="s">
        <v>31</v>
      </c>
      <c r="I240" s="42">
        <v>45156.0</v>
      </c>
      <c r="J240" s="41">
        <v>439.0</v>
      </c>
      <c r="K240" s="43">
        <v>202.95</v>
      </c>
      <c r="L240" s="43">
        <v>351.1</v>
      </c>
      <c r="M240" s="43">
        <v>89095.04999999999</v>
      </c>
      <c r="N240" s="43">
        <v>154132.90000000002</v>
      </c>
      <c r="O240" s="43">
        <v>-65037.850000000035</v>
      </c>
      <c r="P240" s="44">
        <v>-0.7299827543729988</v>
      </c>
    </row>
    <row r="241" ht="14.25" customHeight="1">
      <c r="C241" s="41" t="s">
        <v>263</v>
      </c>
      <c r="D241" s="41" t="s">
        <v>52</v>
      </c>
      <c r="E241" s="41" t="s">
        <v>21</v>
      </c>
      <c r="F241" s="41" t="s">
        <v>30</v>
      </c>
      <c r="G241" s="41" t="s">
        <v>17</v>
      </c>
      <c r="H241" s="41" t="s">
        <v>23</v>
      </c>
      <c r="I241" s="42">
        <v>45157.0</v>
      </c>
      <c r="J241" s="41">
        <v>482.0</v>
      </c>
      <c r="K241" s="43">
        <v>488.48</v>
      </c>
      <c r="L241" s="43">
        <v>174.65</v>
      </c>
      <c r="M241" s="43">
        <v>235447.36000000002</v>
      </c>
      <c r="N241" s="43">
        <v>84181.3</v>
      </c>
      <c r="O241" s="43">
        <v>151266.06</v>
      </c>
      <c r="P241" s="44">
        <v>0.6424623321323288</v>
      </c>
    </row>
    <row r="242" ht="14.25" customHeight="1">
      <c r="C242" s="41" t="s">
        <v>264</v>
      </c>
      <c r="D242" s="41" t="s">
        <v>20</v>
      </c>
      <c r="E242" s="41" t="s">
        <v>21</v>
      </c>
      <c r="F242" s="41" t="s">
        <v>26</v>
      </c>
      <c r="G242" s="41" t="s">
        <v>17</v>
      </c>
      <c r="H242" s="41" t="s">
        <v>23</v>
      </c>
      <c r="I242" s="42">
        <v>45158.0</v>
      </c>
      <c r="J242" s="41">
        <v>154.0</v>
      </c>
      <c r="K242" s="43">
        <v>412.47</v>
      </c>
      <c r="L242" s="43">
        <v>66.02</v>
      </c>
      <c r="M242" s="43">
        <v>63520.380000000005</v>
      </c>
      <c r="N242" s="43">
        <v>10167.08</v>
      </c>
      <c r="O242" s="43">
        <v>53353.3</v>
      </c>
      <c r="P242" s="44">
        <v>0.839939874415109</v>
      </c>
    </row>
    <row r="243" ht="14.25" customHeight="1">
      <c r="C243" s="41" t="s">
        <v>265</v>
      </c>
      <c r="D243" s="41" t="s">
        <v>20</v>
      </c>
      <c r="E243" s="41" t="s">
        <v>29</v>
      </c>
      <c r="F243" s="41" t="s">
        <v>26</v>
      </c>
      <c r="G243" s="41" t="s">
        <v>27</v>
      </c>
      <c r="H243" s="41" t="s">
        <v>31</v>
      </c>
      <c r="I243" s="42">
        <v>45159.0</v>
      </c>
      <c r="J243" s="41">
        <v>102.0</v>
      </c>
      <c r="K243" s="43">
        <v>263.63</v>
      </c>
      <c r="L243" s="43">
        <v>224.1</v>
      </c>
      <c r="M243" s="43">
        <v>26890.26</v>
      </c>
      <c r="N243" s="43">
        <v>22858.2</v>
      </c>
      <c r="O243" s="43">
        <v>4032.0599999999977</v>
      </c>
      <c r="P243" s="44">
        <v>0.14994499867238167</v>
      </c>
    </row>
    <row r="244" ht="14.25" customHeight="1">
      <c r="C244" s="41" t="s">
        <v>266</v>
      </c>
      <c r="D244" s="41" t="s">
        <v>20</v>
      </c>
      <c r="E244" s="41" t="s">
        <v>34</v>
      </c>
      <c r="F244" s="41" t="s">
        <v>26</v>
      </c>
      <c r="G244" s="41" t="s">
        <v>17</v>
      </c>
      <c r="H244" s="41" t="s">
        <v>31</v>
      </c>
      <c r="I244" s="42">
        <v>45160.0</v>
      </c>
      <c r="J244" s="41">
        <v>318.0</v>
      </c>
      <c r="K244" s="43">
        <v>66.0</v>
      </c>
      <c r="L244" s="43">
        <v>325.08</v>
      </c>
      <c r="M244" s="43">
        <v>20988.0</v>
      </c>
      <c r="N244" s="43">
        <v>103375.43999999999</v>
      </c>
      <c r="O244" s="43">
        <v>-82387.43999999999</v>
      </c>
      <c r="P244" s="44">
        <v>-3.925454545454545</v>
      </c>
    </row>
    <row r="245" ht="14.25" customHeight="1">
      <c r="C245" s="41" t="s">
        <v>267</v>
      </c>
      <c r="D245" s="41" t="s">
        <v>20</v>
      </c>
      <c r="E245" s="41" t="s">
        <v>15</v>
      </c>
      <c r="F245" s="41" t="s">
        <v>26</v>
      </c>
      <c r="G245" s="41" t="s">
        <v>17</v>
      </c>
      <c r="H245" s="41" t="s">
        <v>31</v>
      </c>
      <c r="I245" s="42">
        <v>45161.0</v>
      </c>
      <c r="J245" s="41">
        <v>17.0</v>
      </c>
      <c r="K245" s="43">
        <v>430.41</v>
      </c>
      <c r="L245" s="43">
        <v>297.2</v>
      </c>
      <c r="M245" s="43">
        <v>7316.97</v>
      </c>
      <c r="N245" s="43">
        <v>5052.4</v>
      </c>
      <c r="O245" s="43">
        <v>2264.5700000000006</v>
      </c>
      <c r="P245" s="44">
        <v>0.30949559722125425</v>
      </c>
    </row>
    <row r="246" ht="14.25" customHeight="1">
      <c r="C246" s="41" t="s">
        <v>268</v>
      </c>
      <c r="D246" s="41" t="s">
        <v>20</v>
      </c>
      <c r="E246" s="41" t="s">
        <v>54</v>
      </c>
      <c r="F246" s="41" t="s">
        <v>22</v>
      </c>
      <c r="G246" s="41" t="s">
        <v>27</v>
      </c>
      <c r="H246" s="41" t="s">
        <v>23</v>
      </c>
      <c r="I246" s="42">
        <v>45162.0</v>
      </c>
      <c r="J246" s="41">
        <v>88.0</v>
      </c>
      <c r="K246" s="43">
        <v>400.89</v>
      </c>
      <c r="L246" s="43">
        <v>352.82</v>
      </c>
      <c r="M246" s="43">
        <v>35278.32</v>
      </c>
      <c r="N246" s="43">
        <v>31048.16</v>
      </c>
      <c r="O246" s="43">
        <v>4230.16</v>
      </c>
      <c r="P246" s="44">
        <v>0.11990820424555364</v>
      </c>
    </row>
    <row r="247" ht="14.25" customHeight="1">
      <c r="C247" s="41" t="s">
        <v>269</v>
      </c>
      <c r="D247" s="41" t="s">
        <v>52</v>
      </c>
      <c r="E247" s="41" t="s">
        <v>54</v>
      </c>
      <c r="F247" s="41" t="s">
        <v>16</v>
      </c>
      <c r="G247" s="41" t="s">
        <v>27</v>
      </c>
      <c r="H247" s="41" t="s">
        <v>23</v>
      </c>
      <c r="I247" s="42">
        <v>45163.0</v>
      </c>
      <c r="J247" s="41">
        <v>36.0</v>
      </c>
      <c r="K247" s="43">
        <v>96.37</v>
      </c>
      <c r="L247" s="43">
        <v>112.61</v>
      </c>
      <c r="M247" s="43">
        <v>3469.32</v>
      </c>
      <c r="N247" s="43">
        <v>4053.96</v>
      </c>
      <c r="O247" s="43">
        <v>-584.6399999999999</v>
      </c>
      <c r="P247" s="44">
        <v>-0.16851717339420977</v>
      </c>
    </row>
    <row r="248" ht="14.25" customHeight="1">
      <c r="C248" s="41" t="s">
        <v>270</v>
      </c>
      <c r="D248" s="41" t="s">
        <v>52</v>
      </c>
      <c r="E248" s="41" t="s">
        <v>15</v>
      </c>
      <c r="F248" s="41" t="s">
        <v>30</v>
      </c>
      <c r="G248" s="41" t="s">
        <v>27</v>
      </c>
      <c r="H248" s="41" t="s">
        <v>18</v>
      </c>
      <c r="I248" s="42">
        <v>45164.0</v>
      </c>
      <c r="J248" s="41">
        <v>183.0</v>
      </c>
      <c r="K248" s="43">
        <v>151.16</v>
      </c>
      <c r="L248" s="43">
        <v>79.19</v>
      </c>
      <c r="M248" s="43">
        <v>27662.28</v>
      </c>
      <c r="N248" s="43">
        <v>14491.77</v>
      </c>
      <c r="O248" s="43">
        <v>13170.509999999998</v>
      </c>
      <c r="P248" s="44">
        <v>0.476118020640381</v>
      </c>
    </row>
    <row r="249" ht="14.25" customHeight="1">
      <c r="C249" s="41" t="s">
        <v>271</v>
      </c>
      <c r="D249" s="41" t="s">
        <v>14</v>
      </c>
      <c r="E249" s="41" t="s">
        <v>29</v>
      </c>
      <c r="F249" s="41" t="s">
        <v>30</v>
      </c>
      <c r="G249" s="41" t="s">
        <v>27</v>
      </c>
      <c r="H249" s="41" t="s">
        <v>18</v>
      </c>
      <c r="I249" s="42">
        <v>45165.0</v>
      </c>
      <c r="J249" s="41">
        <v>59.0</v>
      </c>
      <c r="K249" s="43">
        <v>397.74</v>
      </c>
      <c r="L249" s="43">
        <v>352.17</v>
      </c>
      <c r="M249" s="43">
        <v>23466.66</v>
      </c>
      <c r="N249" s="43">
        <v>20778.030000000002</v>
      </c>
      <c r="O249" s="43">
        <v>2688.6299999999974</v>
      </c>
      <c r="P249" s="44">
        <v>0.11457233368532196</v>
      </c>
    </row>
    <row r="250" ht="14.25" customHeight="1">
      <c r="C250" s="41" t="s">
        <v>272</v>
      </c>
      <c r="D250" s="41" t="s">
        <v>20</v>
      </c>
      <c r="E250" s="41" t="s">
        <v>54</v>
      </c>
      <c r="F250" s="41" t="s">
        <v>26</v>
      </c>
      <c r="G250" s="41" t="s">
        <v>17</v>
      </c>
      <c r="H250" s="41" t="s">
        <v>31</v>
      </c>
      <c r="I250" s="42">
        <v>45166.0</v>
      </c>
      <c r="J250" s="41">
        <v>208.0</v>
      </c>
      <c r="K250" s="43">
        <v>96.69</v>
      </c>
      <c r="L250" s="43">
        <v>263.71</v>
      </c>
      <c r="M250" s="43">
        <v>20111.52</v>
      </c>
      <c r="N250" s="43">
        <v>54851.67999999999</v>
      </c>
      <c r="O250" s="43">
        <v>-34740.15999999999</v>
      </c>
      <c r="P250" s="44">
        <v>-1.727376150584341</v>
      </c>
    </row>
    <row r="251" ht="14.25" customHeight="1">
      <c r="C251" s="41" t="s">
        <v>273</v>
      </c>
      <c r="D251" s="41" t="s">
        <v>52</v>
      </c>
      <c r="E251" s="41" t="s">
        <v>34</v>
      </c>
      <c r="F251" s="41" t="s">
        <v>26</v>
      </c>
      <c r="G251" s="41" t="s">
        <v>17</v>
      </c>
      <c r="H251" s="41" t="s">
        <v>23</v>
      </c>
      <c r="I251" s="42">
        <v>45167.0</v>
      </c>
      <c r="J251" s="41">
        <v>396.0</v>
      </c>
      <c r="K251" s="43">
        <v>459.29</v>
      </c>
      <c r="L251" s="43">
        <v>125.75</v>
      </c>
      <c r="M251" s="43">
        <v>181878.84</v>
      </c>
      <c r="N251" s="43">
        <v>49797.0</v>
      </c>
      <c r="O251" s="43">
        <v>132081.84</v>
      </c>
      <c r="P251" s="44">
        <v>0.7262078425395719</v>
      </c>
    </row>
    <row r="252" ht="14.25" customHeight="1">
      <c r="C252" s="41" t="s">
        <v>274</v>
      </c>
      <c r="D252" s="41" t="s">
        <v>14</v>
      </c>
      <c r="E252" s="41" t="s">
        <v>29</v>
      </c>
      <c r="F252" s="41" t="s">
        <v>46</v>
      </c>
      <c r="G252" s="41" t="s">
        <v>27</v>
      </c>
      <c r="H252" s="41" t="s">
        <v>23</v>
      </c>
      <c r="I252" s="42">
        <v>45168.0</v>
      </c>
      <c r="J252" s="41">
        <v>358.0</v>
      </c>
      <c r="K252" s="43">
        <v>215.14</v>
      </c>
      <c r="L252" s="43">
        <v>297.45</v>
      </c>
      <c r="M252" s="43">
        <v>77020.12</v>
      </c>
      <c r="N252" s="43">
        <v>106487.09999999999</v>
      </c>
      <c r="O252" s="43">
        <v>-29466.979999999996</v>
      </c>
      <c r="P252" s="44">
        <v>-0.38258808217904616</v>
      </c>
    </row>
    <row r="253" ht="14.25" customHeight="1">
      <c r="C253" s="41" t="s">
        <v>275</v>
      </c>
      <c r="D253" s="41" t="s">
        <v>20</v>
      </c>
      <c r="E253" s="41" t="s">
        <v>34</v>
      </c>
      <c r="F253" s="41" t="s">
        <v>16</v>
      </c>
      <c r="G253" s="41" t="s">
        <v>17</v>
      </c>
      <c r="H253" s="41" t="s">
        <v>23</v>
      </c>
      <c r="I253" s="42">
        <v>45169.0</v>
      </c>
      <c r="J253" s="41">
        <v>457.0</v>
      </c>
      <c r="K253" s="43">
        <v>48.08</v>
      </c>
      <c r="L253" s="43">
        <v>326.42</v>
      </c>
      <c r="M253" s="43">
        <v>21972.559999999998</v>
      </c>
      <c r="N253" s="43">
        <v>149173.94</v>
      </c>
      <c r="O253" s="43">
        <v>-127201.38</v>
      </c>
      <c r="P253" s="44">
        <v>-5.78910149750416</v>
      </c>
    </row>
    <row r="254" ht="14.25" customHeight="1">
      <c r="C254" s="41" t="s">
        <v>276</v>
      </c>
      <c r="D254" s="41" t="s">
        <v>25</v>
      </c>
      <c r="E254" s="41" t="s">
        <v>21</v>
      </c>
      <c r="F254" s="41" t="s">
        <v>22</v>
      </c>
      <c r="G254" s="41" t="s">
        <v>17</v>
      </c>
      <c r="H254" s="41" t="s">
        <v>31</v>
      </c>
      <c r="I254" s="42">
        <v>45170.0</v>
      </c>
      <c r="J254" s="41">
        <v>437.0</v>
      </c>
      <c r="K254" s="43">
        <v>408.8</v>
      </c>
      <c r="L254" s="43">
        <v>246.76</v>
      </c>
      <c r="M254" s="43">
        <v>178645.6</v>
      </c>
      <c r="N254" s="43">
        <v>107834.12</v>
      </c>
      <c r="O254" s="43">
        <v>70811.48000000001</v>
      </c>
      <c r="P254" s="44">
        <v>0.3963796477495108</v>
      </c>
    </row>
    <row r="255" ht="14.25" customHeight="1">
      <c r="C255" s="41" t="s">
        <v>277</v>
      </c>
      <c r="D255" s="41" t="s">
        <v>14</v>
      </c>
      <c r="E255" s="41" t="s">
        <v>29</v>
      </c>
      <c r="F255" s="41" t="s">
        <v>30</v>
      </c>
      <c r="G255" s="41" t="s">
        <v>17</v>
      </c>
      <c r="H255" s="41" t="s">
        <v>18</v>
      </c>
      <c r="I255" s="42">
        <v>45171.0</v>
      </c>
      <c r="J255" s="41">
        <v>190.0</v>
      </c>
      <c r="K255" s="43">
        <v>189.89</v>
      </c>
      <c r="L255" s="43">
        <v>275.78</v>
      </c>
      <c r="M255" s="43">
        <v>36079.1</v>
      </c>
      <c r="N255" s="43">
        <v>52398.2</v>
      </c>
      <c r="O255" s="43">
        <v>-16319.099999999999</v>
      </c>
      <c r="P255" s="44">
        <v>-0.45231449786718625</v>
      </c>
    </row>
    <row r="256" ht="14.25" customHeight="1">
      <c r="C256" s="41" t="s">
        <v>278</v>
      </c>
      <c r="D256" s="41" t="s">
        <v>52</v>
      </c>
      <c r="E256" s="41" t="s">
        <v>54</v>
      </c>
      <c r="F256" s="41" t="s">
        <v>46</v>
      </c>
      <c r="G256" s="41" t="s">
        <v>27</v>
      </c>
      <c r="H256" s="41" t="s">
        <v>31</v>
      </c>
      <c r="I256" s="42">
        <v>45172.0</v>
      </c>
      <c r="J256" s="41">
        <v>33.0</v>
      </c>
      <c r="K256" s="43">
        <v>265.62</v>
      </c>
      <c r="L256" s="43">
        <v>151.35</v>
      </c>
      <c r="M256" s="43">
        <v>8765.460000000001</v>
      </c>
      <c r="N256" s="43">
        <v>4994.55</v>
      </c>
      <c r="O256" s="43">
        <v>3770.9100000000008</v>
      </c>
      <c r="P256" s="44">
        <v>0.4302010390783827</v>
      </c>
    </row>
    <row r="257" ht="14.25" customHeight="1">
      <c r="C257" s="41" t="s">
        <v>279</v>
      </c>
      <c r="D257" s="41" t="s">
        <v>25</v>
      </c>
      <c r="E257" s="41" t="s">
        <v>29</v>
      </c>
      <c r="F257" s="41" t="s">
        <v>46</v>
      </c>
      <c r="G257" s="41" t="s">
        <v>17</v>
      </c>
      <c r="H257" s="41" t="s">
        <v>18</v>
      </c>
      <c r="I257" s="42">
        <v>45173.0</v>
      </c>
      <c r="J257" s="41">
        <v>325.0</v>
      </c>
      <c r="K257" s="43">
        <v>60.59</v>
      </c>
      <c r="L257" s="43">
        <v>216.4</v>
      </c>
      <c r="M257" s="43">
        <v>19691.75</v>
      </c>
      <c r="N257" s="43">
        <v>70330.0</v>
      </c>
      <c r="O257" s="43">
        <v>-50638.25</v>
      </c>
      <c r="P257" s="44">
        <v>-2.57154645981185</v>
      </c>
    </row>
    <row r="258" ht="14.25" customHeight="1">
      <c r="C258" s="41" t="s">
        <v>280</v>
      </c>
      <c r="D258" s="41" t="s">
        <v>25</v>
      </c>
      <c r="E258" s="41" t="s">
        <v>29</v>
      </c>
      <c r="F258" s="41" t="s">
        <v>30</v>
      </c>
      <c r="G258" s="41" t="s">
        <v>27</v>
      </c>
      <c r="H258" s="41" t="s">
        <v>18</v>
      </c>
      <c r="I258" s="42">
        <v>45174.0</v>
      </c>
      <c r="J258" s="41">
        <v>387.0</v>
      </c>
      <c r="K258" s="43">
        <v>6.28</v>
      </c>
      <c r="L258" s="43">
        <v>210.62</v>
      </c>
      <c r="M258" s="43">
        <v>2430.36</v>
      </c>
      <c r="N258" s="43">
        <v>81509.94</v>
      </c>
      <c r="O258" s="43">
        <v>-79079.58</v>
      </c>
      <c r="P258" s="44">
        <v>-32.538216560509554</v>
      </c>
    </row>
    <row r="259" ht="14.25" customHeight="1">
      <c r="C259" s="41" t="s">
        <v>281</v>
      </c>
      <c r="D259" s="41" t="s">
        <v>25</v>
      </c>
      <c r="E259" s="41" t="s">
        <v>29</v>
      </c>
      <c r="F259" s="41" t="s">
        <v>22</v>
      </c>
      <c r="G259" s="41" t="s">
        <v>17</v>
      </c>
      <c r="H259" s="41" t="s">
        <v>31</v>
      </c>
      <c r="I259" s="42">
        <v>45175.0</v>
      </c>
      <c r="J259" s="41">
        <v>396.0</v>
      </c>
      <c r="K259" s="43">
        <v>320.8</v>
      </c>
      <c r="L259" s="43">
        <v>339.52</v>
      </c>
      <c r="M259" s="43">
        <v>127036.8</v>
      </c>
      <c r="N259" s="43">
        <v>134449.91999999998</v>
      </c>
      <c r="O259" s="43">
        <v>-7413.119999999981</v>
      </c>
      <c r="P259" s="44">
        <v>-0.058354114713216804</v>
      </c>
    </row>
    <row r="260" ht="14.25" customHeight="1">
      <c r="C260" s="41" t="s">
        <v>282</v>
      </c>
      <c r="D260" s="41" t="s">
        <v>14</v>
      </c>
      <c r="E260" s="41" t="s">
        <v>29</v>
      </c>
      <c r="F260" s="41" t="s">
        <v>46</v>
      </c>
      <c r="G260" s="41" t="s">
        <v>17</v>
      </c>
      <c r="H260" s="41" t="s">
        <v>18</v>
      </c>
      <c r="I260" s="42">
        <v>45176.0</v>
      </c>
      <c r="J260" s="41">
        <v>413.0</v>
      </c>
      <c r="K260" s="43">
        <v>260.01</v>
      </c>
      <c r="L260" s="43">
        <v>336.31</v>
      </c>
      <c r="M260" s="43">
        <v>107384.12999999999</v>
      </c>
      <c r="N260" s="43">
        <v>138896.03</v>
      </c>
      <c r="O260" s="43">
        <v>-31511.90000000001</v>
      </c>
      <c r="P260" s="44">
        <v>-0.2934502519133881</v>
      </c>
    </row>
    <row r="261" ht="14.25" customHeight="1">
      <c r="C261" s="41" t="s">
        <v>283</v>
      </c>
      <c r="D261" s="41" t="s">
        <v>52</v>
      </c>
      <c r="E261" s="41" t="s">
        <v>34</v>
      </c>
      <c r="F261" s="41" t="s">
        <v>46</v>
      </c>
      <c r="G261" s="41" t="s">
        <v>17</v>
      </c>
      <c r="H261" s="41" t="s">
        <v>18</v>
      </c>
      <c r="I261" s="42">
        <v>45177.0</v>
      </c>
      <c r="J261" s="41">
        <v>255.9029411764706</v>
      </c>
      <c r="K261" s="43">
        <v>298.8</v>
      </c>
      <c r="L261" s="43">
        <v>333.41</v>
      </c>
      <c r="M261" s="43">
        <v>76463.79882352942</v>
      </c>
      <c r="N261" s="43">
        <v>85320.59961764707</v>
      </c>
      <c r="O261" s="43">
        <v>-8856.800794117647</v>
      </c>
      <c r="P261" s="44">
        <v>-0.11582998661311913</v>
      </c>
    </row>
    <row r="262" ht="14.25" customHeight="1">
      <c r="C262" s="41" t="s">
        <v>284</v>
      </c>
      <c r="D262" s="41" t="s">
        <v>25</v>
      </c>
      <c r="E262" s="41" t="s">
        <v>21</v>
      </c>
      <c r="F262" s="41" t="s">
        <v>16</v>
      </c>
      <c r="G262" s="41" t="s">
        <v>27</v>
      </c>
      <c r="H262" s="41" t="s">
        <v>23</v>
      </c>
      <c r="I262" s="42">
        <v>45178.0</v>
      </c>
      <c r="J262" s="41">
        <v>24.0</v>
      </c>
      <c r="K262" s="43">
        <v>397.9</v>
      </c>
      <c r="L262" s="43">
        <v>6.39</v>
      </c>
      <c r="M262" s="43">
        <v>9549.599999999999</v>
      </c>
      <c r="N262" s="43">
        <v>153.35999999999999</v>
      </c>
      <c r="O262" s="43">
        <v>9396.239999999998</v>
      </c>
      <c r="P262" s="44">
        <v>0.9839406886152299</v>
      </c>
    </row>
    <row r="263" ht="14.25" customHeight="1">
      <c r="C263" s="41" t="s">
        <v>285</v>
      </c>
      <c r="D263" s="41" t="s">
        <v>20</v>
      </c>
      <c r="E263" s="41" t="s">
        <v>15</v>
      </c>
      <c r="F263" s="41" t="s">
        <v>39</v>
      </c>
      <c r="G263" s="41" t="s">
        <v>17</v>
      </c>
      <c r="H263" s="41" t="s">
        <v>18</v>
      </c>
      <c r="I263" s="42">
        <v>45179.0</v>
      </c>
      <c r="J263" s="41">
        <v>162.0</v>
      </c>
      <c r="K263" s="43">
        <v>325.07</v>
      </c>
      <c r="L263" s="43">
        <v>300.32</v>
      </c>
      <c r="M263" s="43">
        <v>52661.34</v>
      </c>
      <c r="N263" s="43">
        <v>48651.84</v>
      </c>
      <c r="O263" s="43">
        <v>4009.5</v>
      </c>
      <c r="P263" s="44">
        <v>0.07613744731903899</v>
      </c>
    </row>
    <row r="264" ht="14.25" customHeight="1">
      <c r="C264" s="41" t="s">
        <v>286</v>
      </c>
      <c r="D264" s="41" t="s">
        <v>25</v>
      </c>
      <c r="E264" s="41" t="s">
        <v>29</v>
      </c>
      <c r="F264" s="41" t="s">
        <v>46</v>
      </c>
      <c r="G264" s="41" t="s">
        <v>27</v>
      </c>
      <c r="H264" s="41" t="s">
        <v>31</v>
      </c>
      <c r="I264" s="42">
        <v>45180.0</v>
      </c>
      <c r="J264" s="41">
        <v>231.0</v>
      </c>
      <c r="K264" s="43">
        <v>91.51</v>
      </c>
      <c r="L264" s="43">
        <v>303.95</v>
      </c>
      <c r="M264" s="43">
        <v>21138.81</v>
      </c>
      <c r="N264" s="43">
        <v>70212.45</v>
      </c>
      <c r="O264" s="43">
        <v>-49073.64</v>
      </c>
      <c r="P264" s="44">
        <v>-2.321494918588132</v>
      </c>
    </row>
    <row r="265" ht="14.25" customHeight="1">
      <c r="C265" s="41" t="s">
        <v>287</v>
      </c>
      <c r="D265" s="41" t="s">
        <v>25</v>
      </c>
      <c r="E265" s="41" t="s">
        <v>54</v>
      </c>
      <c r="F265" s="41" t="s">
        <v>22</v>
      </c>
      <c r="G265" s="41" t="s">
        <v>27</v>
      </c>
      <c r="H265" s="41" t="s">
        <v>31</v>
      </c>
      <c r="I265" s="42">
        <v>45181.0</v>
      </c>
      <c r="J265" s="41">
        <v>215.0</v>
      </c>
      <c r="K265" s="43">
        <v>183.58</v>
      </c>
      <c r="L265" s="43">
        <v>271.99</v>
      </c>
      <c r="M265" s="43">
        <v>39469.700000000004</v>
      </c>
      <c r="N265" s="43">
        <v>58477.85</v>
      </c>
      <c r="O265" s="43">
        <v>-19008.149999999994</v>
      </c>
      <c r="P265" s="44">
        <v>-0.4815884083233466</v>
      </c>
    </row>
    <row r="266" ht="14.25" customHeight="1">
      <c r="C266" s="41" t="s">
        <v>288</v>
      </c>
      <c r="D266" s="41" t="s">
        <v>14</v>
      </c>
      <c r="E266" s="41" t="s">
        <v>29</v>
      </c>
      <c r="F266" s="41" t="s">
        <v>30</v>
      </c>
      <c r="G266" s="41" t="s">
        <v>27</v>
      </c>
      <c r="H266" s="41" t="s">
        <v>18</v>
      </c>
      <c r="I266" s="42">
        <v>45182.0</v>
      </c>
      <c r="J266" s="41">
        <v>464.0</v>
      </c>
      <c r="K266" s="43">
        <v>453.42</v>
      </c>
      <c r="L266" s="43">
        <v>302.99</v>
      </c>
      <c r="M266" s="43">
        <v>210386.88</v>
      </c>
      <c r="N266" s="43">
        <v>140587.36000000002</v>
      </c>
      <c r="O266" s="43">
        <v>69799.51999999999</v>
      </c>
      <c r="P266" s="44">
        <v>0.33176745622160464</v>
      </c>
    </row>
    <row r="267" ht="14.25" customHeight="1">
      <c r="C267" s="41" t="s">
        <v>289</v>
      </c>
      <c r="D267" s="41" t="s">
        <v>14</v>
      </c>
      <c r="E267" s="41" t="s">
        <v>54</v>
      </c>
      <c r="F267" s="41" t="s">
        <v>26</v>
      </c>
      <c r="G267" s="41" t="s">
        <v>17</v>
      </c>
      <c r="H267" s="41" t="s">
        <v>23</v>
      </c>
      <c r="I267" s="42">
        <v>45183.0</v>
      </c>
      <c r="J267" s="41">
        <v>282.0</v>
      </c>
      <c r="K267" s="43">
        <v>249.64520588235297</v>
      </c>
      <c r="L267" s="43">
        <v>337.1</v>
      </c>
      <c r="M267" s="43">
        <v>70399.94805882353</v>
      </c>
      <c r="N267" s="43">
        <v>95062.20000000001</v>
      </c>
      <c r="O267" s="43">
        <v>-24662.25194117648</v>
      </c>
      <c r="P267" s="44">
        <v>-0.35031633717356775</v>
      </c>
    </row>
    <row r="268" ht="14.25" customHeight="1">
      <c r="C268" s="41" t="s">
        <v>290</v>
      </c>
      <c r="D268" s="41" t="s">
        <v>52</v>
      </c>
      <c r="E268" s="41" t="s">
        <v>34</v>
      </c>
      <c r="F268" s="41" t="s">
        <v>46</v>
      </c>
      <c r="G268" s="41" t="s">
        <v>17</v>
      </c>
      <c r="H268" s="41" t="s">
        <v>23</v>
      </c>
      <c r="I268" s="42">
        <v>45184.0</v>
      </c>
      <c r="J268" s="41">
        <v>391.0</v>
      </c>
      <c r="K268" s="43">
        <v>280.54</v>
      </c>
      <c r="L268" s="43">
        <v>189.19</v>
      </c>
      <c r="M268" s="43">
        <v>109691.14000000001</v>
      </c>
      <c r="N268" s="43">
        <v>73973.29</v>
      </c>
      <c r="O268" s="43">
        <v>35717.85000000002</v>
      </c>
      <c r="P268" s="44">
        <v>0.3256220146859629</v>
      </c>
    </row>
    <row r="269" ht="14.25" customHeight="1">
      <c r="C269" s="41" t="s">
        <v>291</v>
      </c>
      <c r="D269" s="41" t="s">
        <v>20</v>
      </c>
      <c r="E269" s="41" t="s">
        <v>54</v>
      </c>
      <c r="F269" s="41" t="s">
        <v>16</v>
      </c>
      <c r="G269" s="41" t="s">
        <v>17</v>
      </c>
      <c r="H269" s="41" t="s">
        <v>18</v>
      </c>
      <c r="I269" s="42">
        <v>45185.0</v>
      </c>
      <c r="J269" s="41">
        <v>245.0</v>
      </c>
      <c r="K269" s="43">
        <v>131.54</v>
      </c>
      <c r="L269" s="43">
        <v>201.82</v>
      </c>
      <c r="M269" s="43">
        <v>32227.3</v>
      </c>
      <c r="N269" s="43">
        <v>49445.9</v>
      </c>
      <c r="O269" s="43">
        <v>-17218.600000000002</v>
      </c>
      <c r="P269" s="44">
        <v>-0.5342861487000153</v>
      </c>
    </row>
    <row r="270" ht="14.25" customHeight="1">
      <c r="C270" s="41" t="s">
        <v>292</v>
      </c>
      <c r="D270" s="41" t="s">
        <v>14</v>
      </c>
      <c r="E270" s="41" t="s">
        <v>15</v>
      </c>
      <c r="F270" s="41" t="s">
        <v>30</v>
      </c>
      <c r="G270" s="41" t="s">
        <v>17</v>
      </c>
      <c r="H270" s="41" t="s">
        <v>18</v>
      </c>
      <c r="I270" s="42">
        <v>45186.0</v>
      </c>
      <c r="J270" s="41">
        <v>349.0</v>
      </c>
      <c r="K270" s="43">
        <v>154.52</v>
      </c>
      <c r="L270" s="43">
        <v>51.64</v>
      </c>
      <c r="M270" s="43">
        <v>53927.48</v>
      </c>
      <c r="N270" s="43">
        <v>18022.36</v>
      </c>
      <c r="O270" s="43">
        <v>35905.12</v>
      </c>
      <c r="P270" s="44">
        <v>0.6658037794460264</v>
      </c>
    </row>
    <row r="271" ht="14.25" customHeight="1">
      <c r="C271" s="41" t="s">
        <v>293</v>
      </c>
      <c r="D271" s="41" t="s">
        <v>25</v>
      </c>
      <c r="E271" s="41" t="s">
        <v>21</v>
      </c>
      <c r="F271" s="41" t="s">
        <v>22</v>
      </c>
      <c r="G271" s="41" t="s">
        <v>27</v>
      </c>
      <c r="H271" s="41" t="s">
        <v>31</v>
      </c>
      <c r="I271" s="42">
        <v>45187.0</v>
      </c>
      <c r="J271" s="41">
        <v>237.0</v>
      </c>
      <c r="K271" s="43">
        <v>249.64520588235297</v>
      </c>
      <c r="L271" s="43">
        <v>155.38</v>
      </c>
      <c r="M271" s="43">
        <v>59165.91379411765</v>
      </c>
      <c r="N271" s="43">
        <v>36825.06</v>
      </c>
      <c r="O271" s="43">
        <v>22340.853794117655</v>
      </c>
      <c r="P271" s="44">
        <v>0.3775966998812551</v>
      </c>
    </row>
    <row r="272" ht="14.25" customHeight="1">
      <c r="C272" s="41" t="s">
        <v>294</v>
      </c>
      <c r="D272" s="41" t="s">
        <v>52</v>
      </c>
      <c r="E272" s="41" t="s">
        <v>54</v>
      </c>
      <c r="F272" s="41" t="s">
        <v>30</v>
      </c>
      <c r="G272" s="41" t="s">
        <v>27</v>
      </c>
      <c r="H272" s="41" t="s">
        <v>18</v>
      </c>
      <c r="I272" s="42">
        <v>45188.0</v>
      </c>
      <c r="J272" s="41">
        <v>18.0</v>
      </c>
      <c r="K272" s="43">
        <v>426.33</v>
      </c>
      <c r="L272" s="43">
        <v>258.06</v>
      </c>
      <c r="M272" s="43">
        <v>7673.94</v>
      </c>
      <c r="N272" s="43">
        <v>4645.08</v>
      </c>
      <c r="O272" s="43">
        <v>3028.8599999999997</v>
      </c>
      <c r="P272" s="44">
        <v>0.3946942509323763</v>
      </c>
    </row>
    <row r="273" ht="14.25" customHeight="1">
      <c r="C273" s="41" t="s">
        <v>295</v>
      </c>
      <c r="D273" s="41" t="s">
        <v>25</v>
      </c>
      <c r="E273" s="41" t="s">
        <v>54</v>
      </c>
      <c r="F273" s="41" t="s">
        <v>46</v>
      </c>
      <c r="G273" s="41" t="s">
        <v>27</v>
      </c>
      <c r="H273" s="41" t="s">
        <v>23</v>
      </c>
      <c r="I273" s="42">
        <v>45189.0</v>
      </c>
      <c r="J273" s="41">
        <v>175.0</v>
      </c>
      <c r="K273" s="43">
        <v>337.36</v>
      </c>
      <c r="L273" s="43">
        <v>312.6</v>
      </c>
      <c r="M273" s="43">
        <v>59038.0</v>
      </c>
      <c r="N273" s="43">
        <v>54705.00000000001</v>
      </c>
      <c r="O273" s="43">
        <v>4332.999999999993</v>
      </c>
      <c r="P273" s="44">
        <v>0.0733934076357599</v>
      </c>
    </row>
    <row r="274" ht="14.25" customHeight="1">
      <c r="C274" s="41" t="s">
        <v>296</v>
      </c>
      <c r="D274" s="41" t="s">
        <v>25</v>
      </c>
      <c r="E274" s="41" t="s">
        <v>21</v>
      </c>
      <c r="F274" s="41" t="s">
        <v>39</v>
      </c>
      <c r="G274" s="41" t="s">
        <v>17</v>
      </c>
      <c r="H274" s="41" t="s">
        <v>18</v>
      </c>
      <c r="I274" s="42">
        <v>45190.0</v>
      </c>
      <c r="J274" s="41">
        <v>441.0</v>
      </c>
      <c r="K274" s="43">
        <v>405.72</v>
      </c>
      <c r="L274" s="43">
        <v>88.45</v>
      </c>
      <c r="M274" s="43">
        <v>178922.52000000002</v>
      </c>
      <c r="N274" s="43">
        <v>39006.450000000004</v>
      </c>
      <c r="O274" s="43">
        <v>139916.07</v>
      </c>
      <c r="P274" s="44">
        <v>0.7819925071477866</v>
      </c>
    </row>
    <row r="275" ht="14.25" customHeight="1">
      <c r="C275" s="41" t="s">
        <v>297</v>
      </c>
      <c r="D275" s="41" t="s">
        <v>14</v>
      </c>
      <c r="E275" s="41" t="s">
        <v>15</v>
      </c>
      <c r="F275" s="41" t="s">
        <v>26</v>
      </c>
      <c r="G275" s="41" t="s">
        <v>27</v>
      </c>
      <c r="H275" s="41" t="s">
        <v>31</v>
      </c>
      <c r="I275" s="42">
        <v>45191.0</v>
      </c>
      <c r="J275" s="41">
        <v>453.0</v>
      </c>
      <c r="K275" s="43">
        <v>384.49</v>
      </c>
      <c r="L275" s="43">
        <v>56.85</v>
      </c>
      <c r="M275" s="43">
        <v>174173.97</v>
      </c>
      <c r="N275" s="43">
        <v>25753.05</v>
      </c>
      <c r="O275" s="43">
        <v>148420.92</v>
      </c>
      <c r="P275" s="44">
        <v>0.8521417982262218</v>
      </c>
    </row>
    <row r="276" ht="14.25" customHeight="1">
      <c r="C276" s="41" t="s">
        <v>298</v>
      </c>
      <c r="D276" s="41" t="s">
        <v>52</v>
      </c>
      <c r="E276" s="41" t="s">
        <v>29</v>
      </c>
      <c r="F276" s="41" t="s">
        <v>30</v>
      </c>
      <c r="G276" s="41" t="s">
        <v>17</v>
      </c>
      <c r="H276" s="41" t="s">
        <v>31</v>
      </c>
      <c r="I276" s="42">
        <v>45192.0</v>
      </c>
      <c r="J276" s="41">
        <v>328.0</v>
      </c>
      <c r="K276" s="43">
        <v>79.1</v>
      </c>
      <c r="L276" s="43">
        <v>265.89</v>
      </c>
      <c r="M276" s="43">
        <v>25944.8</v>
      </c>
      <c r="N276" s="43">
        <v>87211.92</v>
      </c>
      <c r="O276" s="43">
        <v>-61267.119999999995</v>
      </c>
      <c r="P276" s="44">
        <v>-2.361441213653603</v>
      </c>
    </row>
    <row r="277" ht="14.25" customHeight="1">
      <c r="C277" s="41" t="s">
        <v>299</v>
      </c>
      <c r="D277" s="41" t="s">
        <v>20</v>
      </c>
      <c r="E277" s="41" t="s">
        <v>54</v>
      </c>
      <c r="F277" s="41" t="s">
        <v>46</v>
      </c>
      <c r="G277" s="41" t="s">
        <v>27</v>
      </c>
      <c r="H277" s="41" t="s">
        <v>31</v>
      </c>
      <c r="I277" s="42">
        <v>45193.0</v>
      </c>
      <c r="J277" s="41">
        <v>223.0</v>
      </c>
      <c r="K277" s="43">
        <v>214.85</v>
      </c>
      <c r="L277" s="43">
        <v>2.75</v>
      </c>
      <c r="M277" s="43">
        <v>47911.549999999996</v>
      </c>
      <c r="N277" s="43">
        <v>613.25</v>
      </c>
      <c r="O277" s="43">
        <v>47298.299999999996</v>
      </c>
      <c r="P277" s="44">
        <v>0.9872003723528043</v>
      </c>
    </row>
    <row r="278" ht="14.25" customHeight="1">
      <c r="C278" s="41" t="s">
        <v>300</v>
      </c>
      <c r="D278" s="41" t="s">
        <v>20</v>
      </c>
      <c r="E278" s="41" t="s">
        <v>21</v>
      </c>
      <c r="F278" s="41" t="s">
        <v>16</v>
      </c>
      <c r="G278" s="41" t="s">
        <v>17</v>
      </c>
      <c r="H278" s="41" t="s">
        <v>31</v>
      </c>
      <c r="I278" s="42">
        <v>45194.0</v>
      </c>
      <c r="J278" s="41">
        <v>126.0</v>
      </c>
      <c r="K278" s="43">
        <v>80.73</v>
      </c>
      <c r="L278" s="43">
        <v>72.99</v>
      </c>
      <c r="M278" s="43">
        <v>10171.980000000001</v>
      </c>
      <c r="N278" s="43">
        <v>9196.74</v>
      </c>
      <c r="O278" s="43">
        <v>975.2400000000016</v>
      </c>
      <c r="P278" s="44">
        <v>0.09587513935340036</v>
      </c>
    </row>
    <row r="279" ht="14.25" customHeight="1">
      <c r="C279" s="41" t="s">
        <v>301</v>
      </c>
      <c r="D279" s="41" t="s">
        <v>14</v>
      </c>
      <c r="E279" s="41" t="s">
        <v>34</v>
      </c>
      <c r="F279" s="41" t="s">
        <v>22</v>
      </c>
      <c r="G279" s="41" t="s">
        <v>17</v>
      </c>
      <c r="H279" s="41" t="s">
        <v>31</v>
      </c>
      <c r="I279" s="42">
        <v>45195.0</v>
      </c>
      <c r="J279" s="41">
        <v>395.0</v>
      </c>
      <c r="K279" s="43">
        <v>121.44</v>
      </c>
      <c r="L279" s="43">
        <v>13.57</v>
      </c>
      <c r="M279" s="43">
        <v>47968.799999999996</v>
      </c>
      <c r="N279" s="43">
        <v>5360.150000000001</v>
      </c>
      <c r="O279" s="43">
        <v>42608.649999999994</v>
      </c>
      <c r="P279" s="44">
        <v>0.8882575757575757</v>
      </c>
    </row>
    <row r="280" ht="14.25" customHeight="1">
      <c r="C280" s="41" t="s">
        <v>302</v>
      </c>
      <c r="D280" s="41" t="s">
        <v>14</v>
      </c>
      <c r="E280" s="41" t="s">
        <v>21</v>
      </c>
      <c r="F280" s="41" t="s">
        <v>30</v>
      </c>
      <c r="G280" s="41" t="s">
        <v>27</v>
      </c>
      <c r="H280" s="41" t="s">
        <v>18</v>
      </c>
      <c r="I280" s="42">
        <v>45196.0</v>
      </c>
      <c r="J280" s="41">
        <v>353.0</v>
      </c>
      <c r="K280" s="43">
        <v>435.28</v>
      </c>
      <c r="L280" s="43">
        <v>68.42</v>
      </c>
      <c r="M280" s="43">
        <v>153653.84</v>
      </c>
      <c r="N280" s="43">
        <v>24152.260000000002</v>
      </c>
      <c r="O280" s="43">
        <v>129501.57999999999</v>
      </c>
      <c r="P280" s="44">
        <v>0.8428138209887888</v>
      </c>
    </row>
    <row r="281" ht="14.25" customHeight="1">
      <c r="C281" s="41" t="s">
        <v>303</v>
      </c>
      <c r="D281" s="41" t="s">
        <v>52</v>
      </c>
      <c r="E281" s="41" t="s">
        <v>34</v>
      </c>
      <c r="F281" s="41" t="s">
        <v>30</v>
      </c>
      <c r="G281" s="41" t="s">
        <v>27</v>
      </c>
      <c r="H281" s="41" t="s">
        <v>18</v>
      </c>
      <c r="I281" s="42">
        <v>45197.0</v>
      </c>
      <c r="J281" s="41">
        <v>81.0</v>
      </c>
      <c r="K281" s="43">
        <v>239.08</v>
      </c>
      <c r="L281" s="43">
        <v>74.17</v>
      </c>
      <c r="M281" s="43">
        <v>19365.48</v>
      </c>
      <c r="N281" s="43">
        <v>6007.77</v>
      </c>
      <c r="O281" s="43">
        <v>13357.71</v>
      </c>
      <c r="P281" s="44">
        <v>0.6897691149406057</v>
      </c>
    </row>
    <row r="282" ht="14.25" customHeight="1">
      <c r="C282" s="41" t="s">
        <v>304</v>
      </c>
      <c r="D282" s="41" t="s">
        <v>20</v>
      </c>
      <c r="E282" s="41" t="s">
        <v>15</v>
      </c>
      <c r="F282" s="41" t="s">
        <v>26</v>
      </c>
      <c r="G282" s="41" t="s">
        <v>27</v>
      </c>
      <c r="H282" s="41" t="s">
        <v>18</v>
      </c>
      <c r="I282" s="42">
        <v>45198.0</v>
      </c>
      <c r="J282" s="41">
        <v>404.0</v>
      </c>
      <c r="K282" s="43">
        <v>270.0</v>
      </c>
      <c r="L282" s="43">
        <v>156.29</v>
      </c>
      <c r="M282" s="43">
        <v>109080.0</v>
      </c>
      <c r="N282" s="43">
        <v>63141.159999999996</v>
      </c>
      <c r="O282" s="43">
        <v>45938.840000000004</v>
      </c>
      <c r="P282" s="44">
        <v>0.42114814814814816</v>
      </c>
    </row>
    <row r="283" ht="14.25" customHeight="1">
      <c r="C283" s="41" t="s">
        <v>305</v>
      </c>
      <c r="D283" s="41" t="s">
        <v>20</v>
      </c>
      <c r="E283" s="41" t="s">
        <v>29</v>
      </c>
      <c r="F283" s="41" t="s">
        <v>26</v>
      </c>
      <c r="G283" s="41" t="s">
        <v>27</v>
      </c>
      <c r="H283" s="41" t="s">
        <v>18</v>
      </c>
      <c r="I283" s="42">
        <v>45199.0</v>
      </c>
      <c r="J283" s="41">
        <v>73.0</v>
      </c>
      <c r="K283" s="43">
        <v>93.33</v>
      </c>
      <c r="L283" s="43">
        <v>162.13</v>
      </c>
      <c r="M283" s="43">
        <v>6813.09</v>
      </c>
      <c r="N283" s="43">
        <v>11835.49</v>
      </c>
      <c r="O283" s="43">
        <v>-5022.4</v>
      </c>
      <c r="P283" s="44">
        <v>-0.7371691846137362</v>
      </c>
    </row>
    <row r="284" ht="14.25" customHeight="1">
      <c r="C284" s="41" t="s">
        <v>306</v>
      </c>
      <c r="D284" s="41" t="s">
        <v>20</v>
      </c>
      <c r="E284" s="41" t="s">
        <v>21</v>
      </c>
      <c r="F284" s="41" t="s">
        <v>16</v>
      </c>
      <c r="G284" s="41" t="s">
        <v>17</v>
      </c>
      <c r="H284" s="41" t="s">
        <v>31</v>
      </c>
      <c r="I284" s="42">
        <v>45200.0</v>
      </c>
      <c r="J284" s="41">
        <v>214.0</v>
      </c>
      <c r="K284" s="43">
        <v>159.57</v>
      </c>
      <c r="L284" s="43">
        <v>349.96</v>
      </c>
      <c r="M284" s="43">
        <v>34147.979999999996</v>
      </c>
      <c r="N284" s="43">
        <v>74891.44</v>
      </c>
      <c r="O284" s="43">
        <v>-40743.46000000001</v>
      </c>
      <c r="P284" s="44">
        <v>-1.1931440747007587</v>
      </c>
    </row>
    <row r="285" ht="14.25" customHeight="1">
      <c r="C285" s="41" t="s">
        <v>307</v>
      </c>
      <c r="D285" s="41" t="s">
        <v>25</v>
      </c>
      <c r="E285" s="41" t="s">
        <v>54</v>
      </c>
      <c r="F285" s="41" t="s">
        <v>16</v>
      </c>
      <c r="G285" s="41" t="s">
        <v>27</v>
      </c>
      <c r="H285" s="41" t="s">
        <v>23</v>
      </c>
      <c r="I285" s="42">
        <v>45201.0</v>
      </c>
      <c r="J285" s="41">
        <v>218.0</v>
      </c>
      <c r="K285" s="43">
        <v>118.97</v>
      </c>
      <c r="L285" s="43">
        <v>205.02</v>
      </c>
      <c r="M285" s="43">
        <v>25935.46</v>
      </c>
      <c r="N285" s="43">
        <v>44694.36</v>
      </c>
      <c r="O285" s="43">
        <v>-18758.9</v>
      </c>
      <c r="P285" s="44">
        <v>-0.7232915861141465</v>
      </c>
    </row>
    <row r="286" ht="14.25" customHeight="1">
      <c r="C286" s="41" t="s">
        <v>308</v>
      </c>
      <c r="D286" s="41" t="s">
        <v>20</v>
      </c>
      <c r="E286" s="41" t="s">
        <v>15</v>
      </c>
      <c r="F286" s="41" t="s">
        <v>46</v>
      </c>
      <c r="G286" s="41" t="s">
        <v>27</v>
      </c>
      <c r="H286" s="41" t="s">
        <v>18</v>
      </c>
      <c r="I286" s="42">
        <v>45202.0</v>
      </c>
      <c r="J286" s="41">
        <v>81.0</v>
      </c>
      <c r="K286" s="43">
        <v>107.06</v>
      </c>
      <c r="L286" s="43">
        <v>289.92</v>
      </c>
      <c r="M286" s="43">
        <v>8671.86</v>
      </c>
      <c r="N286" s="43">
        <v>23483.52</v>
      </c>
      <c r="O286" s="43">
        <v>-14811.66</v>
      </c>
      <c r="P286" s="44">
        <v>-1.7080141976461796</v>
      </c>
    </row>
    <row r="287" ht="14.25" customHeight="1">
      <c r="C287" s="41" t="s">
        <v>309</v>
      </c>
      <c r="D287" s="41" t="s">
        <v>25</v>
      </c>
      <c r="E287" s="41" t="s">
        <v>21</v>
      </c>
      <c r="F287" s="41" t="s">
        <v>46</v>
      </c>
      <c r="G287" s="41" t="s">
        <v>27</v>
      </c>
      <c r="H287" s="41" t="s">
        <v>23</v>
      </c>
      <c r="I287" s="42">
        <v>45203.0</v>
      </c>
      <c r="J287" s="41">
        <v>286.0</v>
      </c>
      <c r="K287" s="43">
        <v>320.79</v>
      </c>
      <c r="L287" s="43">
        <v>43.45</v>
      </c>
      <c r="M287" s="43">
        <v>91745.94</v>
      </c>
      <c r="N287" s="43">
        <v>12426.7</v>
      </c>
      <c r="O287" s="43">
        <v>79319.24</v>
      </c>
      <c r="P287" s="44">
        <v>0.8645531344493282</v>
      </c>
    </row>
    <row r="288" ht="14.25" customHeight="1">
      <c r="C288" s="41" t="s">
        <v>310</v>
      </c>
      <c r="D288" s="41" t="s">
        <v>52</v>
      </c>
      <c r="E288" s="41" t="s">
        <v>54</v>
      </c>
      <c r="F288" s="41" t="s">
        <v>16</v>
      </c>
      <c r="G288" s="41" t="s">
        <v>17</v>
      </c>
      <c r="H288" s="41" t="s">
        <v>18</v>
      </c>
      <c r="I288" s="42">
        <v>45204.0</v>
      </c>
      <c r="J288" s="41">
        <v>283.0</v>
      </c>
      <c r="K288" s="43">
        <v>132.16</v>
      </c>
      <c r="L288" s="43">
        <v>91.72</v>
      </c>
      <c r="M288" s="43">
        <v>37401.28</v>
      </c>
      <c r="N288" s="43">
        <v>25956.76</v>
      </c>
      <c r="O288" s="43">
        <v>11444.52</v>
      </c>
      <c r="P288" s="44">
        <v>0.30599273607748184</v>
      </c>
    </row>
    <row r="289" ht="14.25" customHeight="1">
      <c r="C289" s="41" t="s">
        <v>311</v>
      </c>
      <c r="D289" s="41" t="s">
        <v>25</v>
      </c>
      <c r="E289" s="41" t="s">
        <v>21</v>
      </c>
      <c r="F289" s="41" t="s">
        <v>16</v>
      </c>
      <c r="G289" s="41" t="s">
        <v>17</v>
      </c>
      <c r="H289" s="41" t="s">
        <v>18</v>
      </c>
      <c r="I289" s="42">
        <v>45205.0</v>
      </c>
      <c r="J289" s="41">
        <v>487.0</v>
      </c>
      <c r="K289" s="43">
        <v>317.85</v>
      </c>
      <c r="L289" s="43">
        <v>281.77</v>
      </c>
      <c r="M289" s="43">
        <v>154792.95</v>
      </c>
      <c r="N289" s="43">
        <v>137221.99</v>
      </c>
      <c r="O289" s="43">
        <v>17570.96000000002</v>
      </c>
      <c r="P289" s="44">
        <v>0.11351266320591487</v>
      </c>
    </row>
    <row r="290" ht="14.25" customHeight="1">
      <c r="C290" s="41" t="s">
        <v>312</v>
      </c>
      <c r="D290" s="41" t="s">
        <v>52</v>
      </c>
      <c r="E290" s="41" t="s">
        <v>34</v>
      </c>
      <c r="F290" s="41" t="s">
        <v>22</v>
      </c>
      <c r="G290" s="41" t="s">
        <v>27</v>
      </c>
      <c r="H290" s="41" t="s">
        <v>23</v>
      </c>
      <c r="I290" s="42">
        <v>45206.0</v>
      </c>
      <c r="J290" s="41">
        <v>329.0</v>
      </c>
      <c r="K290" s="43">
        <v>33.94</v>
      </c>
      <c r="L290" s="43">
        <v>23.02</v>
      </c>
      <c r="M290" s="43">
        <v>11166.259999999998</v>
      </c>
      <c r="N290" s="43">
        <v>7573.58</v>
      </c>
      <c r="O290" s="43">
        <v>3592.6799999999985</v>
      </c>
      <c r="P290" s="44">
        <v>0.32174425456688266</v>
      </c>
    </row>
    <row r="291" ht="14.25" customHeight="1">
      <c r="C291" s="41" t="s">
        <v>313</v>
      </c>
      <c r="D291" s="41" t="s">
        <v>20</v>
      </c>
      <c r="E291" s="41" t="s">
        <v>21</v>
      </c>
      <c r="F291" s="41" t="s">
        <v>26</v>
      </c>
      <c r="G291" s="41" t="s">
        <v>17</v>
      </c>
      <c r="H291" s="41" t="s">
        <v>31</v>
      </c>
      <c r="I291" s="42">
        <v>45207.0</v>
      </c>
      <c r="J291" s="41">
        <v>347.0</v>
      </c>
      <c r="K291" s="43">
        <v>75.18</v>
      </c>
      <c r="L291" s="43">
        <v>195.67</v>
      </c>
      <c r="M291" s="43">
        <v>26087.460000000003</v>
      </c>
      <c r="N291" s="43">
        <v>67897.48999999999</v>
      </c>
      <c r="O291" s="43">
        <v>-41810.029999999984</v>
      </c>
      <c r="P291" s="44">
        <v>-1.602686884809789</v>
      </c>
    </row>
    <row r="292" ht="14.25" customHeight="1">
      <c r="C292" s="41" t="s">
        <v>314</v>
      </c>
      <c r="D292" s="41" t="s">
        <v>20</v>
      </c>
      <c r="E292" s="41" t="s">
        <v>21</v>
      </c>
      <c r="F292" s="41" t="s">
        <v>46</v>
      </c>
      <c r="G292" s="41" t="s">
        <v>27</v>
      </c>
      <c r="H292" s="41" t="s">
        <v>18</v>
      </c>
      <c r="I292" s="42">
        <v>45208.0</v>
      </c>
      <c r="J292" s="41">
        <v>375.0</v>
      </c>
      <c r="K292" s="43">
        <v>140.9</v>
      </c>
      <c r="L292" s="43">
        <v>240.55</v>
      </c>
      <c r="M292" s="43">
        <v>52837.5</v>
      </c>
      <c r="N292" s="43">
        <v>90206.25</v>
      </c>
      <c r="O292" s="43">
        <v>-37368.75</v>
      </c>
      <c r="P292" s="44">
        <v>-0.7072391767210788</v>
      </c>
    </row>
    <row r="293" ht="14.25" customHeight="1">
      <c r="C293" s="41" t="s">
        <v>315</v>
      </c>
      <c r="D293" s="41" t="s">
        <v>52</v>
      </c>
      <c r="E293" s="41" t="s">
        <v>21</v>
      </c>
      <c r="F293" s="41" t="s">
        <v>26</v>
      </c>
      <c r="G293" s="41" t="s">
        <v>17</v>
      </c>
      <c r="H293" s="41" t="s">
        <v>18</v>
      </c>
      <c r="I293" s="42">
        <v>45209.0</v>
      </c>
      <c r="J293" s="41">
        <v>104.0</v>
      </c>
      <c r="K293" s="43">
        <v>300.54</v>
      </c>
      <c r="L293" s="43">
        <v>241.65</v>
      </c>
      <c r="M293" s="43">
        <v>31256.160000000003</v>
      </c>
      <c r="N293" s="43">
        <v>25131.600000000002</v>
      </c>
      <c r="O293" s="43">
        <v>6124.560000000001</v>
      </c>
      <c r="P293" s="44">
        <v>0.1959472948692354</v>
      </c>
    </row>
    <row r="294" ht="14.25" customHeight="1">
      <c r="C294" s="41" t="s">
        <v>316</v>
      </c>
      <c r="D294" s="41" t="s">
        <v>14</v>
      </c>
      <c r="E294" s="41" t="s">
        <v>15</v>
      </c>
      <c r="F294" s="41" t="s">
        <v>39</v>
      </c>
      <c r="G294" s="41" t="s">
        <v>17</v>
      </c>
      <c r="H294" s="41" t="s">
        <v>18</v>
      </c>
      <c r="I294" s="42">
        <v>45210.0</v>
      </c>
      <c r="J294" s="41">
        <v>175.0</v>
      </c>
      <c r="K294" s="43">
        <v>339.54</v>
      </c>
      <c r="L294" s="43">
        <v>11.13</v>
      </c>
      <c r="M294" s="43">
        <v>59419.5</v>
      </c>
      <c r="N294" s="43">
        <v>1947.7500000000002</v>
      </c>
      <c r="O294" s="43">
        <v>57471.75</v>
      </c>
      <c r="P294" s="44">
        <v>0.9672203569535254</v>
      </c>
    </row>
    <row r="295" ht="14.25" customHeight="1">
      <c r="C295" s="41" t="s">
        <v>317</v>
      </c>
      <c r="D295" s="41" t="s">
        <v>52</v>
      </c>
      <c r="E295" s="41" t="s">
        <v>21</v>
      </c>
      <c r="F295" s="41" t="s">
        <v>16</v>
      </c>
      <c r="G295" s="41" t="s">
        <v>17</v>
      </c>
      <c r="H295" s="41" t="s">
        <v>23</v>
      </c>
      <c r="I295" s="42">
        <v>45211.0</v>
      </c>
      <c r="J295" s="41">
        <v>41.0</v>
      </c>
      <c r="K295" s="43">
        <v>224.14</v>
      </c>
      <c r="L295" s="43">
        <v>130.2</v>
      </c>
      <c r="M295" s="43">
        <v>9189.74</v>
      </c>
      <c r="N295" s="43">
        <v>5338.2</v>
      </c>
      <c r="O295" s="43">
        <v>3851.54</v>
      </c>
      <c r="P295" s="44">
        <v>0.41911305434103685</v>
      </c>
    </row>
    <row r="296" ht="14.25" customHeight="1">
      <c r="C296" s="41" t="s">
        <v>318</v>
      </c>
      <c r="D296" s="41" t="s">
        <v>14</v>
      </c>
      <c r="E296" s="41" t="s">
        <v>54</v>
      </c>
      <c r="F296" s="41" t="s">
        <v>22</v>
      </c>
      <c r="G296" s="41" t="s">
        <v>17</v>
      </c>
      <c r="H296" s="41" t="s">
        <v>31</v>
      </c>
      <c r="I296" s="42">
        <v>45212.0</v>
      </c>
      <c r="J296" s="41">
        <v>20.0</v>
      </c>
      <c r="K296" s="43">
        <v>225.67</v>
      </c>
      <c r="L296" s="43">
        <v>255.32</v>
      </c>
      <c r="M296" s="43">
        <v>4513.4</v>
      </c>
      <c r="N296" s="43">
        <v>5106.4</v>
      </c>
      <c r="O296" s="43">
        <v>-593.0</v>
      </c>
      <c r="P296" s="44">
        <v>-0.13138653786502416</v>
      </c>
    </row>
    <row r="297" ht="14.25" customHeight="1">
      <c r="C297" s="41" t="s">
        <v>319</v>
      </c>
      <c r="D297" s="41" t="s">
        <v>25</v>
      </c>
      <c r="E297" s="41" t="s">
        <v>34</v>
      </c>
      <c r="F297" s="41" t="s">
        <v>30</v>
      </c>
      <c r="G297" s="41" t="s">
        <v>27</v>
      </c>
      <c r="H297" s="41" t="s">
        <v>23</v>
      </c>
      <c r="I297" s="42">
        <v>45213.0</v>
      </c>
      <c r="J297" s="41">
        <v>310.0</v>
      </c>
      <c r="K297" s="43">
        <v>363.64</v>
      </c>
      <c r="L297" s="43">
        <v>61.3</v>
      </c>
      <c r="M297" s="43">
        <v>112728.4</v>
      </c>
      <c r="N297" s="43">
        <v>19003.0</v>
      </c>
      <c r="O297" s="43">
        <v>93725.4</v>
      </c>
      <c r="P297" s="44">
        <v>0.8314266857331427</v>
      </c>
    </row>
    <row r="298" ht="14.25" customHeight="1">
      <c r="C298" s="41" t="s">
        <v>320</v>
      </c>
      <c r="D298" s="41" t="s">
        <v>25</v>
      </c>
      <c r="E298" s="41" t="s">
        <v>34</v>
      </c>
      <c r="F298" s="41" t="s">
        <v>22</v>
      </c>
      <c r="G298" s="41" t="s">
        <v>27</v>
      </c>
      <c r="H298" s="41" t="s">
        <v>23</v>
      </c>
      <c r="I298" s="42">
        <v>45214.0</v>
      </c>
      <c r="J298" s="41">
        <v>226.0</v>
      </c>
      <c r="K298" s="43">
        <v>249.64520588235297</v>
      </c>
      <c r="L298" s="43">
        <v>278.78</v>
      </c>
      <c r="M298" s="43">
        <v>56419.81652941177</v>
      </c>
      <c r="N298" s="43">
        <v>63004.27999999999</v>
      </c>
      <c r="O298" s="43">
        <v>-6584.46347058822</v>
      </c>
      <c r="P298" s="44">
        <v>-0.11670480117842505</v>
      </c>
    </row>
    <row r="299" ht="14.25" customHeight="1">
      <c r="C299" s="41" t="s">
        <v>321</v>
      </c>
      <c r="D299" s="41" t="s">
        <v>25</v>
      </c>
      <c r="E299" s="41" t="s">
        <v>21</v>
      </c>
      <c r="F299" s="41" t="s">
        <v>22</v>
      </c>
      <c r="G299" s="41" t="s">
        <v>27</v>
      </c>
      <c r="H299" s="41" t="s">
        <v>31</v>
      </c>
      <c r="I299" s="42">
        <v>45215.0</v>
      </c>
      <c r="J299" s="41">
        <v>255.9029411764706</v>
      </c>
      <c r="K299" s="43">
        <v>173.84</v>
      </c>
      <c r="L299" s="43">
        <v>298.88</v>
      </c>
      <c r="M299" s="43">
        <v>44486.16729411765</v>
      </c>
      <c r="N299" s="43">
        <v>76484.27105882353</v>
      </c>
      <c r="O299" s="43">
        <v>-31998.103764705884</v>
      </c>
      <c r="P299" s="44">
        <v>-0.7192820984813622</v>
      </c>
    </row>
    <row r="300" ht="14.25" customHeight="1">
      <c r="C300" s="41" t="s">
        <v>322</v>
      </c>
      <c r="D300" s="41" t="s">
        <v>20</v>
      </c>
      <c r="E300" s="41" t="s">
        <v>15</v>
      </c>
      <c r="F300" s="41" t="s">
        <v>26</v>
      </c>
      <c r="G300" s="41" t="s">
        <v>17</v>
      </c>
      <c r="H300" s="41" t="s">
        <v>23</v>
      </c>
      <c r="I300" s="42">
        <v>45216.0</v>
      </c>
      <c r="J300" s="41">
        <v>111.0</v>
      </c>
      <c r="K300" s="43">
        <v>410.26</v>
      </c>
      <c r="L300" s="43">
        <v>392.82</v>
      </c>
      <c r="M300" s="43">
        <v>45538.86</v>
      </c>
      <c r="N300" s="43">
        <v>43603.02</v>
      </c>
      <c r="O300" s="43">
        <v>1935.8400000000038</v>
      </c>
      <c r="P300" s="44">
        <v>0.04250962804075473</v>
      </c>
    </row>
    <row r="301" ht="14.25" customHeight="1">
      <c r="C301" s="41" t="s">
        <v>323</v>
      </c>
      <c r="D301" s="41" t="s">
        <v>25</v>
      </c>
      <c r="E301" s="41" t="s">
        <v>15</v>
      </c>
      <c r="F301" s="41" t="s">
        <v>22</v>
      </c>
      <c r="G301" s="41" t="s">
        <v>27</v>
      </c>
      <c r="H301" s="41" t="s">
        <v>31</v>
      </c>
      <c r="I301" s="42">
        <v>45217.0</v>
      </c>
      <c r="J301" s="41">
        <v>434.0</v>
      </c>
      <c r="K301" s="43">
        <v>303.59</v>
      </c>
      <c r="L301" s="43">
        <v>85.52</v>
      </c>
      <c r="M301" s="43">
        <v>131758.06</v>
      </c>
      <c r="N301" s="43">
        <v>37115.68</v>
      </c>
      <c r="O301" s="43">
        <v>94642.38</v>
      </c>
      <c r="P301" s="44">
        <v>0.7183042919727264</v>
      </c>
    </row>
    <row r="302" ht="14.25" customHeight="1">
      <c r="C302" s="41" t="s">
        <v>324</v>
      </c>
      <c r="D302" s="41" t="s">
        <v>14</v>
      </c>
      <c r="E302" s="41" t="s">
        <v>54</v>
      </c>
      <c r="F302" s="41" t="s">
        <v>46</v>
      </c>
      <c r="G302" s="41" t="s">
        <v>27</v>
      </c>
      <c r="H302" s="41" t="s">
        <v>18</v>
      </c>
      <c r="I302" s="42">
        <v>45218.0</v>
      </c>
      <c r="J302" s="41">
        <v>401.0</v>
      </c>
      <c r="K302" s="43">
        <v>171.93</v>
      </c>
      <c r="L302" s="43">
        <v>330.4</v>
      </c>
      <c r="M302" s="43">
        <v>68943.93000000001</v>
      </c>
      <c r="N302" s="43">
        <v>132490.4</v>
      </c>
      <c r="O302" s="43">
        <v>-63546.46999999999</v>
      </c>
      <c r="P302" s="44">
        <v>-0.9217123247833418</v>
      </c>
    </row>
    <row r="303" ht="14.25" customHeight="1">
      <c r="C303" s="41" t="s">
        <v>325</v>
      </c>
      <c r="D303" s="41" t="s">
        <v>25</v>
      </c>
      <c r="E303" s="41" t="s">
        <v>21</v>
      </c>
      <c r="F303" s="41" t="s">
        <v>26</v>
      </c>
      <c r="G303" s="41" t="s">
        <v>27</v>
      </c>
      <c r="H303" s="41" t="s">
        <v>31</v>
      </c>
      <c r="I303" s="42">
        <v>45219.0</v>
      </c>
      <c r="J303" s="41">
        <v>276.0</v>
      </c>
      <c r="K303" s="43">
        <v>453.23</v>
      </c>
      <c r="L303" s="43">
        <v>209.08</v>
      </c>
      <c r="M303" s="43">
        <v>125091.48000000001</v>
      </c>
      <c r="N303" s="43">
        <v>57706.08</v>
      </c>
      <c r="O303" s="43">
        <v>67385.40000000001</v>
      </c>
      <c r="P303" s="44">
        <v>0.5386889658672197</v>
      </c>
    </row>
    <row r="304" ht="14.25" customHeight="1">
      <c r="C304" s="41" t="s">
        <v>326</v>
      </c>
      <c r="D304" s="41" t="s">
        <v>52</v>
      </c>
      <c r="E304" s="41" t="s">
        <v>34</v>
      </c>
      <c r="F304" s="41" t="s">
        <v>46</v>
      </c>
      <c r="G304" s="41" t="s">
        <v>17</v>
      </c>
      <c r="H304" s="41" t="s">
        <v>18</v>
      </c>
      <c r="I304" s="42">
        <v>45220.0</v>
      </c>
      <c r="J304" s="41">
        <v>255.9029411764706</v>
      </c>
      <c r="K304" s="43">
        <v>387.45</v>
      </c>
      <c r="L304" s="43">
        <v>150.64</v>
      </c>
      <c r="M304" s="43">
        <v>99149.59455882353</v>
      </c>
      <c r="N304" s="43">
        <v>38549.219058823524</v>
      </c>
      <c r="O304" s="43">
        <v>60600.37550000001</v>
      </c>
      <c r="P304" s="44">
        <v>0.6112014453477869</v>
      </c>
    </row>
    <row r="305" ht="14.25" customHeight="1">
      <c r="C305" s="41" t="s">
        <v>327</v>
      </c>
      <c r="D305" s="41" t="s">
        <v>52</v>
      </c>
      <c r="E305" s="41" t="s">
        <v>15</v>
      </c>
      <c r="F305" s="41" t="s">
        <v>30</v>
      </c>
      <c r="G305" s="41" t="s">
        <v>17</v>
      </c>
      <c r="H305" s="41" t="s">
        <v>23</v>
      </c>
      <c r="I305" s="42">
        <v>45221.0</v>
      </c>
      <c r="J305" s="41">
        <v>188.0</v>
      </c>
      <c r="K305" s="43">
        <v>136.12</v>
      </c>
      <c r="L305" s="43">
        <v>50.71</v>
      </c>
      <c r="M305" s="43">
        <v>25590.56</v>
      </c>
      <c r="N305" s="43">
        <v>9533.48</v>
      </c>
      <c r="O305" s="43">
        <v>16057.080000000002</v>
      </c>
      <c r="P305" s="44">
        <v>0.6274610637672642</v>
      </c>
    </row>
    <row r="306" ht="14.25" customHeight="1">
      <c r="C306" s="41" t="s">
        <v>328</v>
      </c>
      <c r="D306" s="41" t="s">
        <v>20</v>
      </c>
      <c r="E306" s="41" t="s">
        <v>21</v>
      </c>
      <c r="F306" s="41" t="s">
        <v>26</v>
      </c>
      <c r="G306" s="41" t="s">
        <v>17</v>
      </c>
      <c r="H306" s="41" t="s">
        <v>23</v>
      </c>
      <c r="I306" s="42">
        <v>45222.0</v>
      </c>
      <c r="J306" s="41">
        <v>97.0</v>
      </c>
      <c r="K306" s="43">
        <v>324.42</v>
      </c>
      <c r="L306" s="43">
        <v>294.73</v>
      </c>
      <c r="M306" s="43">
        <v>31468.74</v>
      </c>
      <c r="N306" s="43">
        <v>28588.81</v>
      </c>
      <c r="O306" s="43">
        <v>2879.9300000000003</v>
      </c>
      <c r="P306" s="44">
        <v>0.09151716910178165</v>
      </c>
    </row>
    <row r="307" ht="14.25" customHeight="1">
      <c r="C307" s="41" t="s">
        <v>329</v>
      </c>
      <c r="D307" s="41" t="s">
        <v>52</v>
      </c>
      <c r="E307" s="41" t="s">
        <v>15</v>
      </c>
      <c r="F307" s="41" t="s">
        <v>30</v>
      </c>
      <c r="G307" s="41" t="s">
        <v>27</v>
      </c>
      <c r="H307" s="41" t="s">
        <v>18</v>
      </c>
      <c r="I307" s="42">
        <v>45223.0</v>
      </c>
      <c r="J307" s="41">
        <v>50.0</v>
      </c>
      <c r="K307" s="43">
        <v>299.9</v>
      </c>
      <c r="L307" s="43">
        <v>95.87</v>
      </c>
      <c r="M307" s="43">
        <v>14994.999999999998</v>
      </c>
      <c r="N307" s="43">
        <v>4793.5</v>
      </c>
      <c r="O307" s="43">
        <v>10201.499999999998</v>
      </c>
      <c r="P307" s="44">
        <v>0.6803267755918639</v>
      </c>
    </row>
    <row r="308" ht="14.25" customHeight="1">
      <c r="C308" s="41" t="s">
        <v>330</v>
      </c>
      <c r="D308" s="41" t="s">
        <v>14</v>
      </c>
      <c r="E308" s="41" t="s">
        <v>15</v>
      </c>
      <c r="F308" s="41" t="s">
        <v>26</v>
      </c>
      <c r="G308" s="41" t="s">
        <v>27</v>
      </c>
      <c r="H308" s="41" t="s">
        <v>23</v>
      </c>
      <c r="I308" s="42">
        <v>45224.0</v>
      </c>
      <c r="J308" s="41">
        <v>410.0</v>
      </c>
      <c r="K308" s="43">
        <v>203.59</v>
      </c>
      <c r="L308" s="43">
        <v>149.83</v>
      </c>
      <c r="M308" s="43">
        <v>83471.9</v>
      </c>
      <c r="N308" s="43">
        <v>61430.3</v>
      </c>
      <c r="O308" s="43">
        <v>22041.59999999999</v>
      </c>
      <c r="P308" s="44">
        <v>0.264060120831082</v>
      </c>
    </row>
    <row r="309" ht="14.25" customHeight="1">
      <c r="C309" s="41" t="s">
        <v>331</v>
      </c>
      <c r="D309" s="41" t="s">
        <v>25</v>
      </c>
      <c r="E309" s="41" t="s">
        <v>34</v>
      </c>
      <c r="F309" s="41" t="s">
        <v>16</v>
      </c>
      <c r="G309" s="41" t="s">
        <v>27</v>
      </c>
      <c r="H309" s="41" t="s">
        <v>31</v>
      </c>
      <c r="I309" s="42">
        <v>45225.0</v>
      </c>
      <c r="J309" s="41">
        <v>85.0</v>
      </c>
      <c r="K309" s="43">
        <v>186.64</v>
      </c>
      <c r="L309" s="43">
        <v>26.89</v>
      </c>
      <c r="M309" s="43">
        <v>15864.4</v>
      </c>
      <c r="N309" s="43">
        <v>2285.65</v>
      </c>
      <c r="O309" s="43">
        <v>13578.75</v>
      </c>
      <c r="P309" s="44">
        <v>0.8559258465495071</v>
      </c>
    </row>
    <row r="310" ht="14.25" customHeight="1">
      <c r="C310" s="41" t="s">
        <v>332</v>
      </c>
      <c r="D310" s="41" t="s">
        <v>20</v>
      </c>
      <c r="E310" s="41" t="s">
        <v>29</v>
      </c>
      <c r="F310" s="41" t="s">
        <v>22</v>
      </c>
      <c r="G310" s="41" t="s">
        <v>17</v>
      </c>
      <c r="H310" s="41" t="s">
        <v>18</v>
      </c>
      <c r="I310" s="42">
        <v>45226.0</v>
      </c>
      <c r="J310" s="41">
        <v>386.0</v>
      </c>
      <c r="K310" s="43">
        <v>175.06</v>
      </c>
      <c r="L310" s="43">
        <v>320.94</v>
      </c>
      <c r="M310" s="43">
        <v>67573.16</v>
      </c>
      <c r="N310" s="43">
        <v>123882.84</v>
      </c>
      <c r="O310" s="43">
        <v>-56309.67999999999</v>
      </c>
      <c r="P310" s="44">
        <v>-0.8333142922426595</v>
      </c>
    </row>
    <row r="311" ht="14.25" customHeight="1">
      <c r="C311" s="41" t="s">
        <v>333</v>
      </c>
      <c r="D311" s="41" t="s">
        <v>25</v>
      </c>
      <c r="E311" s="41" t="s">
        <v>54</v>
      </c>
      <c r="F311" s="41" t="s">
        <v>16</v>
      </c>
      <c r="G311" s="41" t="s">
        <v>17</v>
      </c>
      <c r="H311" s="41" t="s">
        <v>23</v>
      </c>
      <c r="I311" s="42">
        <v>45227.0</v>
      </c>
      <c r="J311" s="41">
        <v>55.0</v>
      </c>
      <c r="K311" s="43">
        <v>310.49</v>
      </c>
      <c r="L311" s="43">
        <v>307.1</v>
      </c>
      <c r="M311" s="43">
        <v>17076.95</v>
      </c>
      <c r="N311" s="43">
        <v>16890.5</v>
      </c>
      <c r="O311" s="43">
        <v>186.45000000000073</v>
      </c>
      <c r="P311" s="44">
        <v>0.010918226029823869</v>
      </c>
    </row>
    <row r="312" ht="14.25" customHeight="1">
      <c r="C312" s="41" t="s">
        <v>334</v>
      </c>
      <c r="D312" s="41" t="s">
        <v>25</v>
      </c>
      <c r="E312" s="41" t="s">
        <v>54</v>
      </c>
      <c r="F312" s="41" t="s">
        <v>30</v>
      </c>
      <c r="G312" s="41" t="s">
        <v>27</v>
      </c>
      <c r="H312" s="41" t="s">
        <v>18</v>
      </c>
      <c r="I312" s="42">
        <v>45228.0</v>
      </c>
      <c r="J312" s="41">
        <v>169.0</v>
      </c>
      <c r="K312" s="43">
        <v>223.99</v>
      </c>
      <c r="L312" s="43">
        <v>293.98</v>
      </c>
      <c r="M312" s="43">
        <v>37854.310000000005</v>
      </c>
      <c r="N312" s="43">
        <v>49682.62</v>
      </c>
      <c r="O312" s="43">
        <v>-11828.309999999998</v>
      </c>
      <c r="P312" s="44">
        <v>-0.312469306665476</v>
      </c>
    </row>
    <row r="313" ht="14.25" customHeight="1">
      <c r="C313" s="41" t="s">
        <v>335</v>
      </c>
      <c r="D313" s="41" t="s">
        <v>14</v>
      </c>
      <c r="E313" s="41" t="s">
        <v>34</v>
      </c>
      <c r="F313" s="41" t="s">
        <v>22</v>
      </c>
      <c r="G313" s="41" t="s">
        <v>17</v>
      </c>
      <c r="H313" s="41" t="s">
        <v>31</v>
      </c>
      <c r="I313" s="42">
        <v>45229.0</v>
      </c>
      <c r="J313" s="41">
        <v>472.0</v>
      </c>
      <c r="K313" s="43">
        <v>416.77</v>
      </c>
      <c r="L313" s="43">
        <v>121.18</v>
      </c>
      <c r="M313" s="43">
        <v>196715.44</v>
      </c>
      <c r="N313" s="43">
        <v>57196.96000000001</v>
      </c>
      <c r="O313" s="43">
        <v>139518.47999999998</v>
      </c>
      <c r="P313" s="44">
        <v>0.7092401084531035</v>
      </c>
    </row>
    <row r="314" ht="14.25" customHeight="1">
      <c r="C314" s="41" t="s">
        <v>336</v>
      </c>
      <c r="D314" s="41" t="s">
        <v>52</v>
      </c>
      <c r="E314" s="41" t="s">
        <v>15</v>
      </c>
      <c r="F314" s="41" t="s">
        <v>26</v>
      </c>
      <c r="G314" s="41" t="s">
        <v>17</v>
      </c>
      <c r="H314" s="41" t="s">
        <v>31</v>
      </c>
      <c r="I314" s="42">
        <v>45230.0</v>
      </c>
      <c r="J314" s="41">
        <v>89.0</v>
      </c>
      <c r="K314" s="43">
        <v>336.45</v>
      </c>
      <c r="L314" s="43">
        <v>71.05</v>
      </c>
      <c r="M314" s="43">
        <v>29944.05</v>
      </c>
      <c r="N314" s="43">
        <v>6323.45</v>
      </c>
      <c r="O314" s="43">
        <v>23620.6</v>
      </c>
      <c r="P314" s="44">
        <v>0.7888244910090653</v>
      </c>
    </row>
    <row r="315" ht="14.25" customHeight="1">
      <c r="C315" s="41" t="s">
        <v>337</v>
      </c>
      <c r="D315" s="41" t="s">
        <v>52</v>
      </c>
      <c r="E315" s="41" t="s">
        <v>21</v>
      </c>
      <c r="F315" s="41" t="s">
        <v>22</v>
      </c>
      <c r="G315" s="41" t="s">
        <v>17</v>
      </c>
      <c r="H315" s="41" t="s">
        <v>23</v>
      </c>
      <c r="I315" s="42">
        <v>45231.0</v>
      </c>
      <c r="J315" s="41">
        <v>319.0</v>
      </c>
      <c r="K315" s="43">
        <v>39.62</v>
      </c>
      <c r="L315" s="43">
        <v>255.75</v>
      </c>
      <c r="M315" s="43">
        <v>12638.779999999999</v>
      </c>
      <c r="N315" s="43">
        <v>81584.25</v>
      </c>
      <c r="O315" s="43">
        <v>-68945.47</v>
      </c>
      <c r="P315" s="44">
        <v>-5.455073195355881</v>
      </c>
    </row>
    <row r="316" ht="14.25" customHeight="1">
      <c r="C316" s="41" t="s">
        <v>338</v>
      </c>
      <c r="D316" s="41" t="s">
        <v>25</v>
      </c>
      <c r="E316" s="41" t="s">
        <v>15</v>
      </c>
      <c r="F316" s="41" t="s">
        <v>39</v>
      </c>
      <c r="G316" s="41" t="s">
        <v>17</v>
      </c>
      <c r="H316" s="41" t="s">
        <v>31</v>
      </c>
      <c r="I316" s="42">
        <v>45232.0</v>
      </c>
      <c r="J316" s="41">
        <v>95.0</v>
      </c>
      <c r="K316" s="43">
        <v>321.88</v>
      </c>
      <c r="L316" s="43">
        <v>199.47</v>
      </c>
      <c r="M316" s="43">
        <v>30578.6</v>
      </c>
      <c r="N316" s="43">
        <v>18949.65</v>
      </c>
      <c r="O316" s="43">
        <v>11628.949999999997</v>
      </c>
      <c r="P316" s="44">
        <v>0.3802970050950664</v>
      </c>
    </row>
    <row r="317" ht="14.25" customHeight="1">
      <c r="C317" s="41" t="s">
        <v>339</v>
      </c>
      <c r="D317" s="41" t="s">
        <v>20</v>
      </c>
      <c r="E317" s="41" t="s">
        <v>34</v>
      </c>
      <c r="F317" s="41" t="s">
        <v>39</v>
      </c>
      <c r="G317" s="41" t="s">
        <v>27</v>
      </c>
      <c r="H317" s="41" t="s">
        <v>18</v>
      </c>
      <c r="I317" s="42">
        <v>45233.0</v>
      </c>
      <c r="J317" s="41">
        <v>101.0</v>
      </c>
      <c r="K317" s="43">
        <v>139.22</v>
      </c>
      <c r="L317" s="43">
        <v>72.94</v>
      </c>
      <c r="M317" s="43">
        <v>14061.22</v>
      </c>
      <c r="N317" s="43">
        <v>7366.94</v>
      </c>
      <c r="O317" s="43">
        <v>6694.28</v>
      </c>
      <c r="P317" s="44">
        <v>0.47608102284154574</v>
      </c>
    </row>
    <row r="318" ht="14.25" customHeight="1">
      <c r="C318" s="41" t="s">
        <v>340</v>
      </c>
      <c r="D318" s="41" t="s">
        <v>52</v>
      </c>
      <c r="E318" s="41" t="s">
        <v>54</v>
      </c>
      <c r="F318" s="41" t="s">
        <v>39</v>
      </c>
      <c r="G318" s="41" t="s">
        <v>17</v>
      </c>
      <c r="H318" s="41" t="s">
        <v>31</v>
      </c>
      <c r="I318" s="42">
        <v>45234.0</v>
      </c>
      <c r="J318" s="41">
        <v>157.0</v>
      </c>
      <c r="K318" s="43">
        <v>249.64520588235297</v>
      </c>
      <c r="L318" s="43">
        <v>274.99</v>
      </c>
      <c r="M318" s="43">
        <v>39194.29732352942</v>
      </c>
      <c r="N318" s="43">
        <v>43173.43</v>
      </c>
      <c r="O318" s="43">
        <v>-3979.132676470581</v>
      </c>
      <c r="P318" s="44">
        <v>-0.10152325588655975</v>
      </c>
    </row>
    <row r="319" ht="14.25" customHeight="1">
      <c r="C319" s="41" t="s">
        <v>341</v>
      </c>
      <c r="D319" s="41" t="s">
        <v>20</v>
      </c>
      <c r="E319" s="41" t="s">
        <v>15</v>
      </c>
      <c r="F319" s="41" t="s">
        <v>22</v>
      </c>
      <c r="G319" s="41" t="s">
        <v>17</v>
      </c>
      <c r="H319" s="41" t="s">
        <v>18</v>
      </c>
      <c r="I319" s="42">
        <v>45235.0</v>
      </c>
      <c r="J319" s="41">
        <v>170.0</v>
      </c>
      <c r="K319" s="43">
        <v>341.67</v>
      </c>
      <c r="L319" s="43">
        <v>396.47</v>
      </c>
      <c r="M319" s="43">
        <v>58083.9</v>
      </c>
      <c r="N319" s="43">
        <v>67399.90000000001</v>
      </c>
      <c r="O319" s="43">
        <v>-9316.000000000007</v>
      </c>
      <c r="P319" s="44">
        <v>-0.16038867913483784</v>
      </c>
    </row>
    <row r="320" ht="14.25" customHeight="1">
      <c r="C320" s="41" t="s">
        <v>342</v>
      </c>
      <c r="D320" s="41" t="s">
        <v>52</v>
      </c>
      <c r="E320" s="41" t="s">
        <v>54</v>
      </c>
      <c r="F320" s="41" t="s">
        <v>46</v>
      </c>
      <c r="G320" s="41" t="s">
        <v>17</v>
      </c>
      <c r="H320" s="41" t="s">
        <v>18</v>
      </c>
      <c r="I320" s="42">
        <v>45236.0</v>
      </c>
      <c r="J320" s="41">
        <v>211.0</v>
      </c>
      <c r="K320" s="43">
        <v>119.26</v>
      </c>
      <c r="L320" s="43">
        <v>299.39</v>
      </c>
      <c r="M320" s="43">
        <v>25163.86</v>
      </c>
      <c r="N320" s="43">
        <v>63171.28999999999</v>
      </c>
      <c r="O320" s="43">
        <v>-38007.42999999999</v>
      </c>
      <c r="P320" s="44">
        <v>-1.5103974509475093</v>
      </c>
    </row>
    <row r="321" ht="14.25" customHeight="1">
      <c r="C321" s="41" t="s">
        <v>343</v>
      </c>
      <c r="D321" s="41" t="s">
        <v>20</v>
      </c>
      <c r="E321" s="41" t="s">
        <v>21</v>
      </c>
      <c r="F321" s="41" t="s">
        <v>30</v>
      </c>
      <c r="G321" s="41" t="s">
        <v>17</v>
      </c>
      <c r="H321" s="41" t="s">
        <v>31</v>
      </c>
      <c r="I321" s="42">
        <v>45237.0</v>
      </c>
      <c r="J321" s="41">
        <v>433.0</v>
      </c>
      <c r="K321" s="43">
        <v>231.15</v>
      </c>
      <c r="L321" s="43">
        <v>296.51</v>
      </c>
      <c r="M321" s="43">
        <v>100087.95</v>
      </c>
      <c r="N321" s="43">
        <v>128388.83</v>
      </c>
      <c r="O321" s="43">
        <v>-28300.880000000005</v>
      </c>
      <c r="P321" s="44">
        <v>-0.28276011248107297</v>
      </c>
    </row>
    <row r="322" ht="14.25" customHeight="1">
      <c r="C322" s="41" t="s">
        <v>344</v>
      </c>
      <c r="D322" s="41" t="s">
        <v>14</v>
      </c>
      <c r="E322" s="41" t="s">
        <v>54</v>
      </c>
      <c r="F322" s="41" t="s">
        <v>16</v>
      </c>
      <c r="G322" s="41" t="s">
        <v>27</v>
      </c>
      <c r="H322" s="41" t="s">
        <v>23</v>
      </c>
      <c r="I322" s="42">
        <v>45238.0</v>
      </c>
      <c r="J322" s="41">
        <v>425.0</v>
      </c>
      <c r="K322" s="43">
        <v>99.21</v>
      </c>
      <c r="L322" s="43">
        <v>380.22</v>
      </c>
      <c r="M322" s="43">
        <v>42164.25</v>
      </c>
      <c r="N322" s="43">
        <v>161593.5</v>
      </c>
      <c r="O322" s="43">
        <v>-119429.25</v>
      </c>
      <c r="P322" s="44">
        <v>-2.832476564862413</v>
      </c>
    </row>
    <row r="323" ht="14.25" customHeight="1">
      <c r="C323" s="41" t="s">
        <v>345</v>
      </c>
      <c r="D323" s="41" t="s">
        <v>20</v>
      </c>
      <c r="E323" s="41" t="s">
        <v>54</v>
      </c>
      <c r="F323" s="41" t="s">
        <v>26</v>
      </c>
      <c r="G323" s="41" t="s">
        <v>27</v>
      </c>
      <c r="H323" s="41" t="s">
        <v>31</v>
      </c>
      <c r="I323" s="42">
        <v>45239.0</v>
      </c>
      <c r="J323" s="41">
        <v>251.0</v>
      </c>
      <c r="K323" s="43">
        <v>30.91</v>
      </c>
      <c r="L323" s="43">
        <v>82.77</v>
      </c>
      <c r="M323" s="43">
        <v>7758.41</v>
      </c>
      <c r="N323" s="43">
        <v>20775.27</v>
      </c>
      <c r="O323" s="43">
        <v>-13016.86</v>
      </c>
      <c r="P323" s="44">
        <v>-1.6777741831122615</v>
      </c>
    </row>
    <row r="324" ht="14.25" customHeight="1">
      <c r="C324" s="41" t="s">
        <v>346</v>
      </c>
      <c r="D324" s="41" t="s">
        <v>14</v>
      </c>
      <c r="E324" s="41" t="s">
        <v>29</v>
      </c>
      <c r="F324" s="41" t="s">
        <v>22</v>
      </c>
      <c r="G324" s="41" t="s">
        <v>17</v>
      </c>
      <c r="H324" s="41" t="s">
        <v>18</v>
      </c>
      <c r="I324" s="42">
        <v>45240.0</v>
      </c>
      <c r="J324" s="41">
        <v>255.9029411764706</v>
      </c>
      <c r="K324" s="43">
        <v>192.35</v>
      </c>
      <c r="L324" s="43">
        <v>227.09</v>
      </c>
      <c r="M324" s="43">
        <v>49222.93073529412</v>
      </c>
      <c r="N324" s="43">
        <v>58112.998911764706</v>
      </c>
      <c r="O324" s="43">
        <v>-8890.068176470588</v>
      </c>
      <c r="P324" s="44">
        <v>-0.18060826618144007</v>
      </c>
    </row>
    <row r="325" ht="14.25" customHeight="1">
      <c r="C325" s="41" t="s">
        <v>347</v>
      </c>
      <c r="D325" s="41" t="s">
        <v>14</v>
      </c>
      <c r="E325" s="41" t="s">
        <v>29</v>
      </c>
      <c r="F325" s="41" t="s">
        <v>16</v>
      </c>
      <c r="G325" s="41" t="s">
        <v>17</v>
      </c>
      <c r="H325" s="41" t="s">
        <v>18</v>
      </c>
      <c r="I325" s="42">
        <v>45241.0</v>
      </c>
      <c r="J325" s="41">
        <v>11.0</v>
      </c>
      <c r="K325" s="43">
        <v>184.66</v>
      </c>
      <c r="L325" s="43">
        <v>391.9</v>
      </c>
      <c r="M325" s="43">
        <v>2031.26</v>
      </c>
      <c r="N325" s="43">
        <v>4310.9</v>
      </c>
      <c r="O325" s="43">
        <v>-2279.6399999999994</v>
      </c>
      <c r="P325" s="44">
        <v>-1.1222787826275313</v>
      </c>
    </row>
    <row r="326" ht="14.25" customHeight="1">
      <c r="C326" s="41" t="s">
        <v>348</v>
      </c>
      <c r="D326" s="41" t="s">
        <v>20</v>
      </c>
      <c r="E326" s="41" t="s">
        <v>29</v>
      </c>
      <c r="F326" s="41" t="s">
        <v>26</v>
      </c>
      <c r="G326" s="41" t="s">
        <v>17</v>
      </c>
      <c r="H326" s="41" t="s">
        <v>31</v>
      </c>
      <c r="I326" s="42">
        <v>45242.0</v>
      </c>
      <c r="J326" s="41">
        <v>234.0</v>
      </c>
      <c r="K326" s="43">
        <v>497.76</v>
      </c>
      <c r="L326" s="43">
        <v>67.79</v>
      </c>
      <c r="M326" s="43">
        <v>116475.84</v>
      </c>
      <c r="N326" s="43">
        <v>15862.86</v>
      </c>
      <c r="O326" s="43">
        <v>100612.98</v>
      </c>
      <c r="P326" s="44">
        <v>0.863809868209579</v>
      </c>
    </row>
    <row r="327" ht="14.25" customHeight="1">
      <c r="C327" s="41" t="s">
        <v>349</v>
      </c>
      <c r="D327" s="41" t="s">
        <v>14</v>
      </c>
      <c r="E327" s="41" t="s">
        <v>54</v>
      </c>
      <c r="F327" s="41" t="s">
        <v>26</v>
      </c>
      <c r="G327" s="41" t="s">
        <v>17</v>
      </c>
      <c r="H327" s="41" t="s">
        <v>23</v>
      </c>
      <c r="I327" s="42">
        <v>45243.0</v>
      </c>
      <c r="J327" s="41">
        <v>255.9029411764706</v>
      </c>
      <c r="K327" s="43">
        <v>225.94</v>
      </c>
      <c r="L327" s="43">
        <v>280.7</v>
      </c>
      <c r="M327" s="43">
        <v>57818.710529411765</v>
      </c>
      <c r="N327" s="43">
        <v>71831.95558823529</v>
      </c>
      <c r="O327" s="43">
        <v>-14013.245058823522</v>
      </c>
      <c r="P327" s="44">
        <v>-0.24236522970700175</v>
      </c>
    </row>
    <row r="328" ht="14.25" customHeight="1">
      <c r="C328" s="41" t="s">
        <v>350</v>
      </c>
      <c r="D328" s="41" t="s">
        <v>25</v>
      </c>
      <c r="E328" s="41" t="s">
        <v>34</v>
      </c>
      <c r="F328" s="41" t="s">
        <v>46</v>
      </c>
      <c r="G328" s="41" t="s">
        <v>17</v>
      </c>
      <c r="H328" s="41" t="s">
        <v>23</v>
      </c>
      <c r="I328" s="42">
        <v>45244.0</v>
      </c>
      <c r="J328" s="41">
        <v>242.0</v>
      </c>
      <c r="K328" s="43">
        <v>170.12</v>
      </c>
      <c r="L328" s="43">
        <v>235.15</v>
      </c>
      <c r="M328" s="43">
        <v>41169.04</v>
      </c>
      <c r="N328" s="43">
        <v>56906.3</v>
      </c>
      <c r="O328" s="43">
        <v>-15737.260000000002</v>
      </c>
      <c r="P328" s="44">
        <v>-0.38225958147190225</v>
      </c>
    </row>
    <row r="329" ht="14.25" customHeight="1">
      <c r="C329" s="41" t="s">
        <v>351</v>
      </c>
      <c r="D329" s="41" t="s">
        <v>14</v>
      </c>
      <c r="E329" s="41" t="s">
        <v>54</v>
      </c>
      <c r="F329" s="41" t="s">
        <v>30</v>
      </c>
      <c r="G329" s="41" t="s">
        <v>17</v>
      </c>
      <c r="H329" s="41" t="s">
        <v>18</v>
      </c>
      <c r="I329" s="42">
        <v>45245.0</v>
      </c>
      <c r="J329" s="41">
        <v>470.0</v>
      </c>
      <c r="K329" s="43">
        <v>292.34</v>
      </c>
      <c r="L329" s="43">
        <v>235.42</v>
      </c>
      <c r="M329" s="43">
        <v>137399.8</v>
      </c>
      <c r="N329" s="43">
        <v>110647.4</v>
      </c>
      <c r="O329" s="43">
        <v>26752.399999999994</v>
      </c>
      <c r="P329" s="44">
        <v>0.1947047957857289</v>
      </c>
    </row>
    <row r="330" ht="14.25" customHeight="1">
      <c r="C330" s="41" t="s">
        <v>352</v>
      </c>
      <c r="D330" s="41" t="s">
        <v>52</v>
      </c>
      <c r="E330" s="41" t="s">
        <v>34</v>
      </c>
      <c r="F330" s="41" t="s">
        <v>30</v>
      </c>
      <c r="G330" s="41" t="s">
        <v>27</v>
      </c>
      <c r="H330" s="41" t="s">
        <v>18</v>
      </c>
      <c r="I330" s="42">
        <v>45246.0</v>
      </c>
      <c r="J330" s="41">
        <v>423.0</v>
      </c>
      <c r="K330" s="43">
        <v>48.94</v>
      </c>
      <c r="L330" s="43">
        <v>279.67</v>
      </c>
      <c r="M330" s="43">
        <v>20701.62</v>
      </c>
      <c r="N330" s="43">
        <v>118300.41</v>
      </c>
      <c r="O330" s="43">
        <v>-97598.79000000001</v>
      </c>
      <c r="P330" s="44">
        <v>-4.714548426644872</v>
      </c>
    </row>
    <row r="331" ht="14.25" customHeight="1">
      <c r="C331" s="41" t="s">
        <v>353</v>
      </c>
      <c r="D331" s="41" t="s">
        <v>20</v>
      </c>
      <c r="E331" s="41" t="s">
        <v>34</v>
      </c>
      <c r="F331" s="41" t="s">
        <v>16</v>
      </c>
      <c r="G331" s="41" t="s">
        <v>17</v>
      </c>
      <c r="H331" s="41" t="s">
        <v>23</v>
      </c>
      <c r="I331" s="42">
        <v>45247.0</v>
      </c>
      <c r="J331" s="41">
        <v>426.0</v>
      </c>
      <c r="K331" s="43">
        <v>481.02</v>
      </c>
      <c r="L331" s="43">
        <v>371.99</v>
      </c>
      <c r="M331" s="43">
        <v>204914.52</v>
      </c>
      <c r="N331" s="43">
        <v>158467.74</v>
      </c>
      <c r="O331" s="43">
        <v>46446.78</v>
      </c>
      <c r="P331" s="44">
        <v>0.22666417196790156</v>
      </c>
    </row>
    <row r="332" ht="14.25" customHeight="1">
      <c r="C332" s="41" t="s">
        <v>354</v>
      </c>
      <c r="D332" s="41" t="s">
        <v>25</v>
      </c>
      <c r="E332" s="41" t="s">
        <v>29</v>
      </c>
      <c r="F332" s="41" t="s">
        <v>30</v>
      </c>
      <c r="G332" s="41" t="s">
        <v>27</v>
      </c>
      <c r="H332" s="41" t="s">
        <v>31</v>
      </c>
      <c r="I332" s="42">
        <v>45248.0</v>
      </c>
      <c r="J332" s="41">
        <v>86.0</v>
      </c>
      <c r="K332" s="43">
        <v>319.31</v>
      </c>
      <c r="L332" s="43">
        <v>313.47</v>
      </c>
      <c r="M332" s="43">
        <v>27460.66</v>
      </c>
      <c r="N332" s="43">
        <v>26958.420000000002</v>
      </c>
      <c r="O332" s="43">
        <v>502.23999999999796</v>
      </c>
      <c r="P332" s="44">
        <v>0.01828943659766364</v>
      </c>
    </row>
    <row r="333" ht="14.25" customHeight="1">
      <c r="C333" s="41" t="s">
        <v>355</v>
      </c>
      <c r="D333" s="41" t="s">
        <v>20</v>
      </c>
      <c r="E333" s="41" t="s">
        <v>15</v>
      </c>
      <c r="F333" s="41" t="s">
        <v>22</v>
      </c>
      <c r="G333" s="41" t="s">
        <v>27</v>
      </c>
      <c r="H333" s="41" t="s">
        <v>18</v>
      </c>
      <c r="I333" s="42">
        <v>45249.0</v>
      </c>
      <c r="J333" s="41">
        <v>125.0</v>
      </c>
      <c r="K333" s="43">
        <v>378.64</v>
      </c>
      <c r="L333" s="43">
        <v>24.34</v>
      </c>
      <c r="M333" s="43">
        <v>47330.0</v>
      </c>
      <c r="N333" s="43">
        <v>3042.5</v>
      </c>
      <c r="O333" s="43">
        <v>44287.5</v>
      </c>
      <c r="P333" s="44">
        <v>0.9357173040354955</v>
      </c>
    </row>
    <row r="334" ht="14.25" customHeight="1">
      <c r="C334" s="41" t="s">
        <v>356</v>
      </c>
      <c r="D334" s="41" t="s">
        <v>52</v>
      </c>
      <c r="E334" s="41" t="s">
        <v>21</v>
      </c>
      <c r="F334" s="41" t="s">
        <v>39</v>
      </c>
      <c r="G334" s="41" t="s">
        <v>17</v>
      </c>
      <c r="H334" s="41" t="s">
        <v>18</v>
      </c>
      <c r="I334" s="42">
        <v>45250.0</v>
      </c>
      <c r="J334" s="41">
        <v>163.0</v>
      </c>
      <c r="K334" s="43">
        <v>89.39</v>
      </c>
      <c r="L334" s="43">
        <v>341.39</v>
      </c>
      <c r="M334" s="43">
        <v>14570.57</v>
      </c>
      <c r="N334" s="43">
        <v>55646.57</v>
      </c>
      <c r="O334" s="43">
        <v>-41076.0</v>
      </c>
      <c r="P334" s="44">
        <v>-2.8191072826938135</v>
      </c>
    </row>
    <row r="335" ht="14.25" customHeight="1">
      <c r="C335" s="41" t="s">
        <v>357</v>
      </c>
      <c r="D335" s="41" t="s">
        <v>52</v>
      </c>
      <c r="E335" s="41" t="s">
        <v>29</v>
      </c>
      <c r="F335" s="41" t="s">
        <v>16</v>
      </c>
      <c r="G335" s="41" t="s">
        <v>27</v>
      </c>
      <c r="H335" s="41" t="s">
        <v>23</v>
      </c>
      <c r="I335" s="42">
        <v>45251.0</v>
      </c>
      <c r="J335" s="41">
        <v>415.0</v>
      </c>
      <c r="K335" s="43">
        <v>207.69</v>
      </c>
      <c r="L335" s="43">
        <v>91.77</v>
      </c>
      <c r="M335" s="43">
        <v>86191.35</v>
      </c>
      <c r="N335" s="43">
        <v>38084.549999999996</v>
      </c>
      <c r="O335" s="43">
        <v>48106.80000000001</v>
      </c>
      <c r="P335" s="44">
        <v>0.558139534883721</v>
      </c>
    </row>
    <row r="336" ht="14.25" customHeight="1">
      <c r="C336" s="41" t="s">
        <v>358</v>
      </c>
      <c r="D336" s="41" t="s">
        <v>52</v>
      </c>
      <c r="E336" s="41" t="s">
        <v>29</v>
      </c>
      <c r="F336" s="41" t="s">
        <v>30</v>
      </c>
      <c r="G336" s="41" t="s">
        <v>27</v>
      </c>
      <c r="H336" s="41" t="s">
        <v>31</v>
      </c>
      <c r="I336" s="42">
        <v>45252.0</v>
      </c>
      <c r="J336" s="41">
        <v>112.0</v>
      </c>
      <c r="K336" s="43">
        <v>214.23</v>
      </c>
      <c r="L336" s="43">
        <v>152.01</v>
      </c>
      <c r="M336" s="43">
        <v>23993.76</v>
      </c>
      <c r="N336" s="43">
        <v>17025.12</v>
      </c>
      <c r="O336" s="43">
        <v>6968.639999999999</v>
      </c>
      <c r="P336" s="44">
        <v>0.2904355132334407</v>
      </c>
    </row>
    <row r="337" ht="14.25" customHeight="1">
      <c r="C337" s="41" t="s">
        <v>359</v>
      </c>
      <c r="D337" s="41" t="s">
        <v>14</v>
      </c>
      <c r="E337" s="41" t="s">
        <v>15</v>
      </c>
      <c r="F337" s="41" t="s">
        <v>22</v>
      </c>
      <c r="G337" s="41" t="s">
        <v>27</v>
      </c>
      <c r="H337" s="41" t="s">
        <v>23</v>
      </c>
      <c r="I337" s="42">
        <v>45253.0</v>
      </c>
      <c r="J337" s="41">
        <v>203.0</v>
      </c>
      <c r="K337" s="43">
        <v>411.79</v>
      </c>
      <c r="L337" s="43">
        <v>185.77</v>
      </c>
      <c r="M337" s="43">
        <v>83593.37000000001</v>
      </c>
      <c r="N337" s="43">
        <v>37711.310000000005</v>
      </c>
      <c r="O337" s="43">
        <v>45882.060000000005</v>
      </c>
      <c r="P337" s="44">
        <v>0.5488719978629885</v>
      </c>
    </row>
    <row r="338" ht="14.25" customHeight="1">
      <c r="C338" s="41" t="s">
        <v>360</v>
      </c>
      <c r="D338" s="41" t="s">
        <v>14</v>
      </c>
      <c r="E338" s="41" t="s">
        <v>21</v>
      </c>
      <c r="F338" s="41" t="s">
        <v>46</v>
      </c>
      <c r="G338" s="41" t="s">
        <v>27</v>
      </c>
      <c r="H338" s="41" t="s">
        <v>31</v>
      </c>
      <c r="I338" s="42">
        <v>45254.0</v>
      </c>
      <c r="J338" s="41">
        <v>255.9029411764706</v>
      </c>
      <c r="K338" s="43">
        <v>5.61</v>
      </c>
      <c r="L338" s="43">
        <v>193.4</v>
      </c>
      <c r="M338" s="43">
        <v>1435.6155</v>
      </c>
      <c r="N338" s="43">
        <v>49491.62882352941</v>
      </c>
      <c r="O338" s="43">
        <v>-48056.01332352941</v>
      </c>
      <c r="P338" s="44">
        <v>-33.474153297682705</v>
      </c>
    </row>
    <row r="339" ht="14.25" customHeight="1">
      <c r="C339" s="41" t="s">
        <v>361</v>
      </c>
      <c r="D339" s="41" t="s">
        <v>20</v>
      </c>
      <c r="E339" s="41" t="s">
        <v>54</v>
      </c>
      <c r="F339" s="41" t="s">
        <v>16</v>
      </c>
      <c r="G339" s="41" t="s">
        <v>27</v>
      </c>
      <c r="H339" s="41" t="s">
        <v>31</v>
      </c>
      <c r="I339" s="42">
        <v>45255.0</v>
      </c>
      <c r="J339" s="41">
        <v>368.0</v>
      </c>
      <c r="K339" s="43">
        <v>153.92</v>
      </c>
      <c r="L339" s="43">
        <v>175.2</v>
      </c>
      <c r="M339" s="43">
        <v>56642.56</v>
      </c>
      <c r="N339" s="43">
        <v>64473.6</v>
      </c>
      <c r="O339" s="43">
        <v>-7831.040000000001</v>
      </c>
      <c r="P339" s="44">
        <v>-0.13825363825363826</v>
      </c>
    </row>
    <row r="340" ht="14.25" customHeight="1">
      <c r="C340" s="41" t="s">
        <v>362</v>
      </c>
      <c r="D340" s="41" t="s">
        <v>20</v>
      </c>
      <c r="E340" s="41" t="s">
        <v>54</v>
      </c>
      <c r="F340" s="41" t="s">
        <v>46</v>
      </c>
      <c r="G340" s="41" t="s">
        <v>27</v>
      </c>
      <c r="H340" s="41" t="s">
        <v>31</v>
      </c>
      <c r="I340" s="42">
        <v>45256.0</v>
      </c>
      <c r="J340" s="41">
        <v>99.0</v>
      </c>
      <c r="K340" s="43">
        <v>490.71</v>
      </c>
      <c r="L340" s="43">
        <v>375.07</v>
      </c>
      <c r="M340" s="43">
        <v>48580.29</v>
      </c>
      <c r="N340" s="43">
        <v>37131.93</v>
      </c>
      <c r="O340" s="43">
        <v>11448.36</v>
      </c>
      <c r="P340" s="44">
        <v>0.2356585355912861</v>
      </c>
    </row>
    <row r="341" ht="14.25" customHeight="1">
      <c r="C341" s="41" t="s">
        <v>363</v>
      </c>
      <c r="D341" s="41" t="s">
        <v>25</v>
      </c>
      <c r="E341" s="41" t="s">
        <v>29</v>
      </c>
      <c r="F341" s="41" t="s">
        <v>46</v>
      </c>
      <c r="G341" s="41" t="s">
        <v>17</v>
      </c>
      <c r="H341" s="41" t="s">
        <v>18</v>
      </c>
      <c r="I341" s="42">
        <v>45257.0</v>
      </c>
      <c r="J341" s="41">
        <v>183.0</v>
      </c>
      <c r="K341" s="43">
        <v>240.07</v>
      </c>
      <c r="L341" s="43">
        <v>283.0</v>
      </c>
      <c r="M341" s="43">
        <v>43932.81</v>
      </c>
      <c r="N341" s="43">
        <v>51789.0</v>
      </c>
      <c r="O341" s="43">
        <v>-7856.190000000002</v>
      </c>
      <c r="P341" s="44">
        <v>-0.17882284333736</v>
      </c>
    </row>
    <row r="342" ht="14.25" customHeight="1">
      <c r="C342" s="41" t="s">
        <v>364</v>
      </c>
      <c r="D342" s="41" t="s">
        <v>39</v>
      </c>
      <c r="E342" s="41" t="s">
        <v>21</v>
      </c>
      <c r="F342" s="41" t="s">
        <v>46</v>
      </c>
      <c r="G342" s="41" t="s">
        <v>27</v>
      </c>
      <c r="H342" s="41" t="s">
        <v>23</v>
      </c>
      <c r="I342" s="42">
        <v>45258.0</v>
      </c>
      <c r="J342" s="41">
        <v>131.0</v>
      </c>
      <c r="K342" s="43">
        <v>194.35</v>
      </c>
      <c r="L342" s="43">
        <v>253.21</v>
      </c>
      <c r="M342" s="43">
        <v>25459.85</v>
      </c>
      <c r="N342" s="43">
        <v>33170.51</v>
      </c>
      <c r="O342" s="43">
        <v>-7710.6600000000035</v>
      </c>
      <c r="P342" s="44">
        <v>-0.3028556727553385</v>
      </c>
    </row>
    <row r="343" ht="14.25" customHeight="1">
      <c r="C343" s="41" t="s">
        <v>365</v>
      </c>
      <c r="D343" s="41" t="s">
        <v>20</v>
      </c>
      <c r="E343" s="41" t="s">
        <v>29</v>
      </c>
      <c r="F343" s="41" t="s">
        <v>26</v>
      </c>
      <c r="G343" s="41" t="s">
        <v>27</v>
      </c>
      <c r="H343" s="41" t="s">
        <v>23</v>
      </c>
      <c r="I343" s="42">
        <v>45259.0</v>
      </c>
      <c r="J343" s="41">
        <v>152.0</v>
      </c>
      <c r="K343" s="43">
        <v>64.32</v>
      </c>
      <c r="L343" s="43">
        <v>21.84</v>
      </c>
      <c r="M343" s="43">
        <v>9776.64</v>
      </c>
      <c r="N343" s="43">
        <v>3319.68</v>
      </c>
      <c r="O343" s="43">
        <v>6456.959999999999</v>
      </c>
      <c r="P343" s="44">
        <v>0.6604477611940298</v>
      </c>
    </row>
    <row r="344" ht="14.25" customHeight="1">
      <c r="C344" s="41" t="s">
        <v>366</v>
      </c>
      <c r="D344" s="41" t="s">
        <v>14</v>
      </c>
      <c r="E344" s="41" t="s">
        <v>34</v>
      </c>
      <c r="F344" s="41" t="s">
        <v>26</v>
      </c>
      <c r="G344" s="41" t="s">
        <v>27</v>
      </c>
      <c r="H344" s="41" t="s">
        <v>31</v>
      </c>
      <c r="I344" s="42">
        <v>45260.0</v>
      </c>
      <c r="J344" s="41">
        <v>491.0</v>
      </c>
      <c r="K344" s="43">
        <v>487.21</v>
      </c>
      <c r="L344" s="43">
        <v>361.76</v>
      </c>
      <c r="M344" s="43">
        <v>239220.11</v>
      </c>
      <c r="N344" s="43">
        <v>177624.16</v>
      </c>
      <c r="O344" s="43">
        <v>61595.94999999998</v>
      </c>
      <c r="P344" s="44">
        <v>0.2574865047925945</v>
      </c>
    </row>
    <row r="345" ht="14.25" customHeight="1">
      <c r="C345" s="41" t="s">
        <v>367</v>
      </c>
      <c r="D345" s="41" t="s">
        <v>52</v>
      </c>
      <c r="E345" s="41" t="s">
        <v>29</v>
      </c>
      <c r="F345" s="41" t="s">
        <v>46</v>
      </c>
      <c r="G345" s="41" t="s">
        <v>17</v>
      </c>
      <c r="H345" s="41" t="s">
        <v>18</v>
      </c>
      <c r="I345" s="42">
        <v>45261.0</v>
      </c>
      <c r="J345" s="41">
        <v>115.0</v>
      </c>
      <c r="K345" s="43">
        <v>14.91</v>
      </c>
      <c r="L345" s="43">
        <v>363.94</v>
      </c>
      <c r="M345" s="43">
        <v>1714.65</v>
      </c>
      <c r="N345" s="43">
        <v>41853.1</v>
      </c>
      <c r="O345" s="43">
        <v>-40138.45</v>
      </c>
      <c r="P345" s="44">
        <v>-23.409121395036884</v>
      </c>
    </row>
    <row r="346" ht="14.25" customHeight="1">
      <c r="C346" s="41" t="s">
        <v>368</v>
      </c>
      <c r="D346" s="41" t="s">
        <v>20</v>
      </c>
      <c r="E346" s="41" t="s">
        <v>29</v>
      </c>
      <c r="F346" s="41" t="s">
        <v>16</v>
      </c>
      <c r="G346" s="41" t="s">
        <v>27</v>
      </c>
      <c r="H346" s="41" t="s">
        <v>18</v>
      </c>
      <c r="I346" s="42">
        <v>45262.0</v>
      </c>
      <c r="J346" s="41">
        <v>384.0</v>
      </c>
      <c r="K346" s="43">
        <v>369.9</v>
      </c>
      <c r="L346" s="43">
        <v>312.52</v>
      </c>
      <c r="M346" s="43">
        <v>142041.59999999998</v>
      </c>
      <c r="N346" s="43">
        <v>120007.68</v>
      </c>
      <c r="O346" s="43">
        <v>22033.919999999984</v>
      </c>
      <c r="P346" s="44">
        <v>0.15512300621789665</v>
      </c>
    </row>
    <row r="347" ht="14.25" customHeight="1">
      <c r="C347" s="41" t="s">
        <v>369</v>
      </c>
      <c r="D347" s="41" t="s">
        <v>25</v>
      </c>
      <c r="E347" s="41" t="s">
        <v>54</v>
      </c>
      <c r="F347" s="41" t="s">
        <v>22</v>
      </c>
      <c r="G347" s="41" t="s">
        <v>17</v>
      </c>
      <c r="H347" s="41" t="s">
        <v>23</v>
      </c>
      <c r="I347" s="42">
        <v>45263.0</v>
      </c>
      <c r="J347" s="41">
        <v>437.0</v>
      </c>
      <c r="K347" s="43">
        <v>385.46</v>
      </c>
      <c r="L347" s="43">
        <v>4.8</v>
      </c>
      <c r="M347" s="43">
        <v>168446.02</v>
      </c>
      <c r="N347" s="43">
        <v>2097.6</v>
      </c>
      <c r="O347" s="43">
        <v>166348.41999999998</v>
      </c>
      <c r="P347" s="44">
        <v>0.9875473460281222</v>
      </c>
    </row>
    <row r="348" ht="14.25" customHeight="1">
      <c r="C348" s="41" t="s">
        <v>370</v>
      </c>
      <c r="D348" s="41" t="s">
        <v>14</v>
      </c>
      <c r="E348" s="41" t="s">
        <v>54</v>
      </c>
      <c r="F348" s="41" t="s">
        <v>22</v>
      </c>
      <c r="G348" s="41" t="s">
        <v>27</v>
      </c>
      <c r="H348" s="41" t="s">
        <v>18</v>
      </c>
      <c r="I348" s="42">
        <v>45264.0</v>
      </c>
      <c r="J348" s="41">
        <v>314.0</v>
      </c>
      <c r="K348" s="43">
        <v>125.61</v>
      </c>
      <c r="L348" s="43">
        <v>24.8</v>
      </c>
      <c r="M348" s="43">
        <v>39441.54</v>
      </c>
      <c r="N348" s="43">
        <v>7787.2</v>
      </c>
      <c r="O348" s="43">
        <v>31654.34</v>
      </c>
      <c r="P348" s="44">
        <v>0.8025634901679802</v>
      </c>
    </row>
    <row r="349" ht="14.25" customHeight="1">
      <c r="C349" s="41" t="s">
        <v>371</v>
      </c>
      <c r="D349" s="41" t="s">
        <v>20</v>
      </c>
      <c r="E349" s="41" t="s">
        <v>54</v>
      </c>
      <c r="F349" s="41" t="s">
        <v>30</v>
      </c>
      <c r="G349" s="41" t="s">
        <v>17</v>
      </c>
      <c r="H349" s="41" t="s">
        <v>18</v>
      </c>
      <c r="I349" s="42">
        <v>45265.0</v>
      </c>
      <c r="J349" s="41">
        <v>369.0</v>
      </c>
      <c r="K349" s="43">
        <v>337.42</v>
      </c>
      <c r="L349" s="43">
        <v>91.64</v>
      </c>
      <c r="M349" s="43">
        <v>124507.98000000001</v>
      </c>
      <c r="N349" s="43">
        <v>33815.16</v>
      </c>
      <c r="O349" s="43">
        <v>90692.82</v>
      </c>
      <c r="P349" s="44">
        <v>0.7284096971133899</v>
      </c>
    </row>
    <row r="350" ht="14.25" customHeight="1">
      <c r="C350" s="41" t="s">
        <v>372</v>
      </c>
      <c r="D350" s="41" t="s">
        <v>20</v>
      </c>
      <c r="E350" s="41" t="s">
        <v>34</v>
      </c>
      <c r="F350" s="41" t="s">
        <v>16</v>
      </c>
      <c r="G350" s="41" t="s">
        <v>17</v>
      </c>
      <c r="H350" s="41" t="s">
        <v>31</v>
      </c>
      <c r="I350" s="42">
        <v>45266.0</v>
      </c>
      <c r="J350" s="41">
        <v>468.0</v>
      </c>
      <c r="K350" s="43">
        <v>51.0</v>
      </c>
      <c r="L350" s="43">
        <v>54.28</v>
      </c>
      <c r="M350" s="43">
        <v>23868.0</v>
      </c>
      <c r="N350" s="43">
        <v>25403.04</v>
      </c>
      <c r="O350" s="43">
        <v>-1535.0400000000009</v>
      </c>
      <c r="P350" s="44">
        <v>-0.06431372549019612</v>
      </c>
    </row>
    <row r="351" ht="14.25" customHeight="1">
      <c r="C351" s="41" t="s">
        <v>373</v>
      </c>
      <c r="D351" s="41" t="s">
        <v>14</v>
      </c>
      <c r="E351" s="41" t="s">
        <v>54</v>
      </c>
      <c r="F351" s="41" t="s">
        <v>26</v>
      </c>
      <c r="G351" s="41" t="s">
        <v>27</v>
      </c>
      <c r="H351" s="41" t="s">
        <v>18</v>
      </c>
      <c r="I351" s="42">
        <v>45267.0</v>
      </c>
      <c r="J351" s="41">
        <v>326.0</v>
      </c>
      <c r="K351" s="43">
        <v>132.24</v>
      </c>
      <c r="L351" s="43">
        <v>160.74</v>
      </c>
      <c r="M351" s="43">
        <v>43110.240000000005</v>
      </c>
      <c r="N351" s="43">
        <v>52401.240000000005</v>
      </c>
      <c r="O351" s="43">
        <v>-9291.0</v>
      </c>
      <c r="P351" s="44">
        <v>-0.21551724137931033</v>
      </c>
    </row>
    <row r="352" ht="14.25" customHeight="1">
      <c r="C352" s="41" t="s">
        <v>374</v>
      </c>
      <c r="D352" s="41" t="s">
        <v>20</v>
      </c>
      <c r="E352" s="41" t="s">
        <v>21</v>
      </c>
      <c r="F352" s="41" t="s">
        <v>46</v>
      </c>
      <c r="G352" s="41" t="s">
        <v>27</v>
      </c>
      <c r="H352" s="41" t="s">
        <v>31</v>
      </c>
      <c r="I352" s="42">
        <v>45268.0</v>
      </c>
      <c r="J352" s="41">
        <v>460.0</v>
      </c>
      <c r="K352" s="43">
        <v>395.01</v>
      </c>
      <c r="L352" s="43">
        <v>369.2</v>
      </c>
      <c r="M352" s="43">
        <v>181704.6</v>
      </c>
      <c r="N352" s="43">
        <v>169832.0</v>
      </c>
      <c r="O352" s="43">
        <v>11872.600000000006</v>
      </c>
      <c r="P352" s="44">
        <v>0.06534011797169695</v>
      </c>
    </row>
    <row r="353" ht="14.25" customHeight="1">
      <c r="C353" s="41" t="s">
        <v>375</v>
      </c>
      <c r="D353" s="41" t="s">
        <v>14</v>
      </c>
      <c r="E353" s="41" t="s">
        <v>15</v>
      </c>
      <c r="F353" s="41" t="s">
        <v>30</v>
      </c>
      <c r="G353" s="41" t="s">
        <v>17</v>
      </c>
      <c r="H353" s="41" t="s">
        <v>23</v>
      </c>
      <c r="I353" s="42">
        <v>45269.0</v>
      </c>
      <c r="J353" s="41">
        <v>132.0</v>
      </c>
      <c r="K353" s="43">
        <v>433.02</v>
      </c>
      <c r="L353" s="43">
        <v>189.88</v>
      </c>
      <c r="M353" s="43">
        <v>57158.64</v>
      </c>
      <c r="N353" s="43">
        <v>25064.16</v>
      </c>
      <c r="O353" s="43">
        <v>32094.48</v>
      </c>
      <c r="P353" s="44">
        <v>0.5614983141656275</v>
      </c>
    </row>
    <row r="354" ht="14.25" customHeight="1">
      <c r="C354" s="41" t="s">
        <v>376</v>
      </c>
      <c r="D354" s="41" t="s">
        <v>52</v>
      </c>
      <c r="E354" s="41" t="s">
        <v>21</v>
      </c>
      <c r="F354" s="41" t="s">
        <v>22</v>
      </c>
      <c r="G354" s="41" t="s">
        <v>27</v>
      </c>
      <c r="H354" s="41" t="s">
        <v>18</v>
      </c>
      <c r="I354" s="42">
        <v>45270.0</v>
      </c>
      <c r="J354" s="41">
        <v>399.0</v>
      </c>
      <c r="K354" s="43">
        <v>306.2</v>
      </c>
      <c r="L354" s="43">
        <v>7.33</v>
      </c>
      <c r="M354" s="43">
        <v>122173.79999999999</v>
      </c>
      <c r="N354" s="43">
        <v>2924.67</v>
      </c>
      <c r="O354" s="43">
        <v>119249.12999999999</v>
      </c>
      <c r="P354" s="44">
        <v>0.9760613977792293</v>
      </c>
    </row>
    <row r="355" ht="14.25" customHeight="1">
      <c r="C355" s="41" t="s">
        <v>377</v>
      </c>
      <c r="D355" s="41" t="s">
        <v>14</v>
      </c>
      <c r="E355" s="41" t="s">
        <v>21</v>
      </c>
      <c r="F355" s="41" t="s">
        <v>26</v>
      </c>
      <c r="G355" s="41" t="s">
        <v>17</v>
      </c>
      <c r="H355" s="41" t="s">
        <v>23</v>
      </c>
      <c r="I355" s="42">
        <v>45271.0</v>
      </c>
      <c r="J355" s="41">
        <v>18.0</v>
      </c>
      <c r="K355" s="43">
        <v>255.89</v>
      </c>
      <c r="L355" s="43">
        <v>114.53</v>
      </c>
      <c r="M355" s="43">
        <v>4606.0199999999995</v>
      </c>
      <c r="N355" s="43">
        <v>2061.54</v>
      </c>
      <c r="O355" s="43">
        <v>2544.4799999999996</v>
      </c>
      <c r="P355" s="44">
        <v>0.5524248700613544</v>
      </c>
    </row>
    <row r="356" ht="14.25" customHeight="1">
      <c r="C356" s="41" t="s">
        <v>378</v>
      </c>
      <c r="D356" s="41" t="s">
        <v>14</v>
      </c>
      <c r="E356" s="41" t="s">
        <v>54</v>
      </c>
      <c r="F356" s="41" t="s">
        <v>26</v>
      </c>
      <c r="G356" s="41" t="s">
        <v>17</v>
      </c>
      <c r="H356" s="41" t="s">
        <v>23</v>
      </c>
      <c r="I356" s="42">
        <v>45272.0</v>
      </c>
      <c r="J356" s="41">
        <v>271.0</v>
      </c>
      <c r="K356" s="43">
        <v>83.86</v>
      </c>
      <c r="L356" s="43">
        <v>19.75</v>
      </c>
      <c r="M356" s="43">
        <v>22726.06</v>
      </c>
      <c r="N356" s="43">
        <v>5352.25</v>
      </c>
      <c r="O356" s="43">
        <v>17373.81</v>
      </c>
      <c r="P356" s="44">
        <v>0.7644884331027904</v>
      </c>
    </row>
    <row r="357" ht="14.25" customHeight="1">
      <c r="C357" s="41" t="s">
        <v>379</v>
      </c>
      <c r="D357" s="41" t="s">
        <v>39</v>
      </c>
      <c r="E357" s="41" t="s">
        <v>15</v>
      </c>
      <c r="F357" s="41" t="s">
        <v>46</v>
      </c>
      <c r="G357" s="41" t="s">
        <v>17</v>
      </c>
      <c r="H357" s="41" t="s">
        <v>18</v>
      </c>
      <c r="I357" s="42">
        <v>45273.0</v>
      </c>
      <c r="J357" s="41">
        <v>82.0</v>
      </c>
      <c r="K357" s="43">
        <v>36.24</v>
      </c>
      <c r="L357" s="43">
        <v>16.44</v>
      </c>
      <c r="M357" s="43">
        <v>2971.6800000000003</v>
      </c>
      <c r="N357" s="43">
        <v>1348.0800000000002</v>
      </c>
      <c r="O357" s="43">
        <v>1623.6000000000001</v>
      </c>
      <c r="P357" s="44">
        <v>0.5463576158940397</v>
      </c>
    </row>
    <row r="358" ht="14.25" customHeight="1">
      <c r="C358" s="41" t="s">
        <v>380</v>
      </c>
      <c r="D358" s="41" t="s">
        <v>20</v>
      </c>
      <c r="E358" s="41" t="s">
        <v>15</v>
      </c>
      <c r="F358" s="41" t="s">
        <v>22</v>
      </c>
      <c r="G358" s="41" t="s">
        <v>17</v>
      </c>
      <c r="H358" s="41" t="s">
        <v>18</v>
      </c>
      <c r="I358" s="42">
        <v>45274.0</v>
      </c>
      <c r="J358" s="41">
        <v>368.0</v>
      </c>
      <c r="K358" s="43">
        <v>63.24</v>
      </c>
      <c r="L358" s="43">
        <v>111.74</v>
      </c>
      <c r="M358" s="43">
        <v>23272.32</v>
      </c>
      <c r="N358" s="43">
        <v>41120.32</v>
      </c>
      <c r="O358" s="43">
        <v>-17848.0</v>
      </c>
      <c r="P358" s="44">
        <v>-0.7669196710942442</v>
      </c>
    </row>
    <row r="359" ht="14.25" customHeight="1">
      <c r="C359" s="41" t="s">
        <v>381</v>
      </c>
      <c r="D359" s="41" t="s">
        <v>20</v>
      </c>
      <c r="E359" s="41" t="s">
        <v>15</v>
      </c>
      <c r="F359" s="41" t="s">
        <v>16</v>
      </c>
      <c r="G359" s="41" t="s">
        <v>17</v>
      </c>
      <c r="H359" s="41" t="s">
        <v>23</v>
      </c>
      <c r="I359" s="42">
        <v>45275.0</v>
      </c>
      <c r="J359" s="41">
        <v>232.0</v>
      </c>
      <c r="K359" s="43">
        <v>117.54</v>
      </c>
      <c r="L359" s="43">
        <v>111.69</v>
      </c>
      <c r="M359" s="43">
        <v>27269.280000000002</v>
      </c>
      <c r="N359" s="43">
        <v>25912.079999999998</v>
      </c>
      <c r="O359" s="43">
        <v>1357.2000000000044</v>
      </c>
      <c r="P359" s="44">
        <v>0.049770290964778106</v>
      </c>
    </row>
    <row r="360" ht="14.25" customHeight="1">
      <c r="C360" s="41" t="s">
        <v>382</v>
      </c>
      <c r="D360" s="41" t="s">
        <v>14</v>
      </c>
      <c r="E360" s="41" t="s">
        <v>34</v>
      </c>
      <c r="F360" s="41" t="s">
        <v>26</v>
      </c>
      <c r="G360" s="41" t="s">
        <v>27</v>
      </c>
      <c r="H360" s="41" t="s">
        <v>18</v>
      </c>
      <c r="I360" s="42">
        <v>45276.0</v>
      </c>
      <c r="J360" s="41">
        <v>425.0</v>
      </c>
      <c r="K360" s="43">
        <v>174.13</v>
      </c>
      <c r="L360" s="43">
        <v>315.28</v>
      </c>
      <c r="M360" s="43">
        <v>74005.25</v>
      </c>
      <c r="N360" s="43">
        <v>133994.0</v>
      </c>
      <c r="O360" s="43">
        <v>-59988.75</v>
      </c>
      <c r="P360" s="44">
        <v>-0.8106012749095504</v>
      </c>
    </row>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C3:I3"/>
    <mergeCell ref="C6:K6"/>
    <mergeCell ref="U17:X17"/>
    <mergeCell ref="U20:X20"/>
    <mergeCell ref="U21:X21"/>
    <mergeCell ref="U22:X22"/>
    <mergeCell ref="U24:Y24"/>
    <mergeCell ref="U31:Z31"/>
    <mergeCell ref="U8:X8"/>
    <mergeCell ref="U9:X9"/>
    <mergeCell ref="U10:X10"/>
    <mergeCell ref="U11:X11"/>
    <mergeCell ref="U12:X12"/>
    <mergeCell ref="U13:X13"/>
    <mergeCell ref="U3:X3"/>
    <mergeCell ref="U4:X4"/>
    <mergeCell ref="U6:X6"/>
    <mergeCell ref="U7:X7"/>
    <mergeCell ref="U15:X15"/>
    <mergeCell ref="U16:X16"/>
    <mergeCell ref="U14:X14"/>
  </mergeCells>
  <dataValidations>
    <dataValidation type="list" allowBlank="1" showErrorMessage="1" sqref="C11:C360">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G11:G360">
      <formula1>"Online,Offline"</formula1>
    </dataValidation>
    <dataValidation type="list" allowBlank="1" showErrorMessage="1" sqref="D11:D360">
      <formula1>"East,West,North,Unknown,South"</formula1>
    </dataValidation>
    <dataValidation type="list" allowBlank="1" showErrorMessage="1" sqref="E11:E360">
      <formula1>"Germany,India,USA,UK,Australia"</formula1>
    </dataValidation>
    <dataValidation type="list" allowBlank="1" showErrorMessage="1" sqref="F11:F360">
      <formula1>"Beverages,Food,Clothing,Furniture,Electronics,Unknown"</formula1>
    </dataValidation>
    <dataValidation type="list" allowBlank="1" showErrorMessage="1" sqref="H11:H360">
      <formula1>"High,Low,Medium"</formula1>
    </dataValidation>
  </dataValidations>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25"/>
    <col customWidth="1" min="3" max="3" width="14.0"/>
    <col customWidth="1" min="4" max="4" width="14.88"/>
    <col customWidth="1" min="5" max="5" width="15.5"/>
    <col customWidth="1" min="6" max="6" width="15.0"/>
    <col customWidth="1" min="7" max="7" width="14.38"/>
    <col customWidth="1" min="8" max="8" width="13.13"/>
    <col customWidth="1" min="9" max="9" width="12.75"/>
    <col customWidth="1" min="11" max="11" width="15.75"/>
    <col customWidth="1" min="12" max="12" width="13.88"/>
  </cols>
  <sheetData>
    <row r="3">
      <c r="B3" s="24" t="s">
        <v>508</v>
      </c>
    </row>
    <row r="6" ht="22.5" customHeight="1">
      <c r="B6" s="38" t="s">
        <v>0</v>
      </c>
      <c r="C6" s="38" t="s">
        <v>1</v>
      </c>
      <c r="D6" s="38" t="s">
        <v>2</v>
      </c>
      <c r="E6" s="38" t="s">
        <v>3</v>
      </c>
      <c r="F6" s="38" t="s">
        <v>4</v>
      </c>
      <c r="G6" s="38" t="s">
        <v>5</v>
      </c>
      <c r="H6" s="38" t="s">
        <v>6</v>
      </c>
      <c r="I6" s="38" t="s">
        <v>7</v>
      </c>
      <c r="J6" s="39" t="s">
        <v>8</v>
      </c>
      <c r="K6" s="39" t="s">
        <v>9</v>
      </c>
      <c r="L6" s="39" t="s">
        <v>10</v>
      </c>
      <c r="M6" s="39" t="s">
        <v>11</v>
      </c>
      <c r="N6" s="39" t="s">
        <v>12</v>
      </c>
      <c r="O6" s="38" t="s">
        <v>383</v>
      </c>
    </row>
    <row r="7" ht="22.5" customHeight="1">
      <c r="B7" s="40" t="s">
        <v>13</v>
      </c>
      <c r="C7" s="41" t="s">
        <v>14</v>
      </c>
      <c r="D7" s="41" t="s">
        <v>15</v>
      </c>
      <c r="E7" s="41" t="s">
        <v>16</v>
      </c>
      <c r="F7" s="41" t="s">
        <v>17</v>
      </c>
      <c r="G7" s="41" t="s">
        <v>18</v>
      </c>
      <c r="H7" s="42">
        <v>44927.0</v>
      </c>
      <c r="I7" s="41">
        <v>235.0</v>
      </c>
      <c r="J7" s="43">
        <v>152.92</v>
      </c>
      <c r="K7" s="43">
        <v>153.6</v>
      </c>
      <c r="L7" s="43">
        <v>35936.2</v>
      </c>
      <c r="M7" s="43">
        <v>36096.0</v>
      </c>
      <c r="N7" s="43">
        <v>-159.8000000000029</v>
      </c>
      <c r="O7" s="44">
        <v>-0.00444676955270738</v>
      </c>
    </row>
    <row r="8" ht="22.5" customHeight="1">
      <c r="B8" s="41" t="s">
        <v>19</v>
      </c>
      <c r="C8" s="41" t="s">
        <v>20</v>
      </c>
      <c r="D8" s="41" t="s">
        <v>21</v>
      </c>
      <c r="E8" s="41" t="s">
        <v>22</v>
      </c>
      <c r="F8" s="41" t="s">
        <v>17</v>
      </c>
      <c r="G8" s="41" t="s">
        <v>23</v>
      </c>
      <c r="H8" s="42">
        <v>44928.0</v>
      </c>
      <c r="I8" s="41">
        <v>341.0</v>
      </c>
      <c r="J8" s="43">
        <v>467.92</v>
      </c>
      <c r="K8" s="43">
        <v>139.84</v>
      </c>
      <c r="L8" s="43">
        <v>159560.72</v>
      </c>
      <c r="M8" s="43">
        <v>47685.44</v>
      </c>
      <c r="N8" s="43">
        <v>111875.28</v>
      </c>
      <c r="O8" s="44">
        <v>0.7011454949564028</v>
      </c>
    </row>
    <row r="9" ht="22.5" customHeight="1">
      <c r="B9" s="41" t="s">
        <v>24</v>
      </c>
      <c r="C9" s="41" t="s">
        <v>25</v>
      </c>
      <c r="D9" s="41" t="s">
        <v>21</v>
      </c>
      <c r="E9" s="41" t="s">
        <v>26</v>
      </c>
      <c r="F9" s="41" t="s">
        <v>27</v>
      </c>
      <c r="G9" s="41" t="s">
        <v>18</v>
      </c>
      <c r="H9" s="42">
        <v>44929.0</v>
      </c>
      <c r="I9" s="41">
        <v>179.0</v>
      </c>
      <c r="J9" s="43">
        <v>473.94</v>
      </c>
      <c r="K9" s="43">
        <v>97.14</v>
      </c>
      <c r="L9" s="43">
        <v>84835.26</v>
      </c>
      <c r="M9" s="43">
        <v>17388.06</v>
      </c>
      <c r="N9" s="43">
        <v>67447.2</v>
      </c>
      <c r="O9" s="44">
        <v>0.7950373464995569</v>
      </c>
    </row>
    <row r="10" ht="22.5" customHeight="1">
      <c r="B10" s="41" t="s">
        <v>28</v>
      </c>
      <c r="C10" s="41" t="s">
        <v>14</v>
      </c>
      <c r="D10" s="41" t="s">
        <v>29</v>
      </c>
      <c r="E10" s="41" t="s">
        <v>30</v>
      </c>
      <c r="F10" s="41" t="s">
        <v>27</v>
      </c>
      <c r="G10" s="41" t="s">
        <v>31</v>
      </c>
      <c r="H10" s="42">
        <v>44930.0</v>
      </c>
      <c r="I10" s="41">
        <v>18.0</v>
      </c>
      <c r="J10" s="43">
        <v>314.53</v>
      </c>
      <c r="K10" s="43">
        <v>204.87</v>
      </c>
      <c r="L10" s="43">
        <v>5661.539999999999</v>
      </c>
      <c r="M10" s="43">
        <v>3687.66</v>
      </c>
      <c r="N10" s="43">
        <v>1973.8799999999992</v>
      </c>
      <c r="O10" s="44">
        <v>0.3486471878676119</v>
      </c>
    </row>
    <row r="11" ht="22.5" customHeight="1">
      <c r="B11" s="41" t="s">
        <v>32</v>
      </c>
      <c r="C11" s="41" t="s">
        <v>14</v>
      </c>
      <c r="D11" s="41" t="s">
        <v>21</v>
      </c>
      <c r="E11" s="41" t="s">
        <v>30</v>
      </c>
      <c r="F11" s="41" t="s">
        <v>27</v>
      </c>
      <c r="G11" s="41" t="s">
        <v>31</v>
      </c>
      <c r="H11" s="42">
        <v>44931.0</v>
      </c>
      <c r="I11" s="41">
        <v>472.0</v>
      </c>
      <c r="J11" s="43">
        <v>392.79</v>
      </c>
      <c r="K11" s="43">
        <v>330.46</v>
      </c>
      <c r="L11" s="43">
        <v>185396.88</v>
      </c>
      <c r="M11" s="43">
        <v>155977.12</v>
      </c>
      <c r="N11" s="43">
        <v>29419.76000000001</v>
      </c>
      <c r="O11" s="44">
        <v>0.15868530257898628</v>
      </c>
    </row>
    <row r="12" ht="22.5" customHeight="1">
      <c r="B12" s="41" t="s">
        <v>33</v>
      </c>
      <c r="C12" s="41" t="s">
        <v>20</v>
      </c>
      <c r="D12" s="41" t="s">
        <v>34</v>
      </c>
      <c r="E12" s="41" t="s">
        <v>26</v>
      </c>
      <c r="F12" s="41" t="s">
        <v>17</v>
      </c>
      <c r="G12" s="41" t="s">
        <v>18</v>
      </c>
      <c r="H12" s="42">
        <v>44932.0</v>
      </c>
      <c r="I12" s="41">
        <v>49.0</v>
      </c>
      <c r="J12" s="43">
        <v>308.07</v>
      </c>
      <c r="K12" s="43">
        <v>113.32</v>
      </c>
      <c r="L12" s="43">
        <v>15095.43</v>
      </c>
      <c r="M12" s="43">
        <v>5552.679999999999</v>
      </c>
      <c r="N12" s="43">
        <v>9542.75</v>
      </c>
      <c r="O12" s="44">
        <v>0.6321615217320739</v>
      </c>
    </row>
    <row r="13" ht="22.5" customHeight="1">
      <c r="B13" s="41" t="s">
        <v>35</v>
      </c>
      <c r="C13" s="41" t="s">
        <v>25</v>
      </c>
      <c r="D13" s="41" t="s">
        <v>15</v>
      </c>
      <c r="E13" s="41" t="s">
        <v>26</v>
      </c>
      <c r="F13" s="41" t="s">
        <v>17</v>
      </c>
      <c r="G13" s="41" t="s">
        <v>23</v>
      </c>
      <c r="H13" s="42">
        <v>44933.0</v>
      </c>
      <c r="I13" s="41">
        <v>34.0</v>
      </c>
      <c r="J13" s="43">
        <v>244.78</v>
      </c>
      <c r="K13" s="43">
        <v>377.07</v>
      </c>
      <c r="L13" s="43">
        <v>8322.52</v>
      </c>
      <c r="M13" s="43">
        <v>12820.38</v>
      </c>
      <c r="N13" s="43">
        <v>-4497.859999999999</v>
      </c>
      <c r="O13" s="44">
        <v>-0.5404444807582317</v>
      </c>
    </row>
    <row r="14" ht="22.5" customHeight="1">
      <c r="B14" s="41" t="s">
        <v>36</v>
      </c>
      <c r="C14" s="41" t="s">
        <v>25</v>
      </c>
      <c r="D14" s="41" t="s">
        <v>21</v>
      </c>
      <c r="E14" s="41" t="s">
        <v>16</v>
      </c>
      <c r="F14" s="41" t="s">
        <v>17</v>
      </c>
      <c r="G14" s="41" t="s">
        <v>18</v>
      </c>
      <c r="H14" s="42">
        <v>44934.0</v>
      </c>
      <c r="I14" s="41">
        <v>270.0</v>
      </c>
      <c r="J14" s="43">
        <v>332.11</v>
      </c>
      <c r="K14" s="43">
        <v>349.59</v>
      </c>
      <c r="L14" s="43">
        <v>89669.7</v>
      </c>
      <c r="M14" s="43">
        <v>94389.29999999999</v>
      </c>
      <c r="N14" s="43">
        <v>-4719.599999999991</v>
      </c>
      <c r="O14" s="44">
        <v>-0.05263316371081861</v>
      </c>
    </row>
    <row r="15" ht="22.5" customHeight="1">
      <c r="B15" s="41" t="s">
        <v>37</v>
      </c>
      <c r="C15" s="41" t="s">
        <v>14</v>
      </c>
      <c r="D15" s="41" t="s">
        <v>21</v>
      </c>
      <c r="E15" s="41" t="s">
        <v>16</v>
      </c>
      <c r="F15" s="41" t="s">
        <v>17</v>
      </c>
      <c r="G15" s="41" t="s">
        <v>23</v>
      </c>
      <c r="H15" s="42">
        <v>44935.0</v>
      </c>
      <c r="I15" s="41">
        <v>404.0</v>
      </c>
      <c r="J15" s="43">
        <v>278.74</v>
      </c>
      <c r="K15" s="43">
        <v>66.38</v>
      </c>
      <c r="L15" s="43">
        <v>112610.96</v>
      </c>
      <c r="M15" s="43">
        <v>26817.519999999997</v>
      </c>
      <c r="N15" s="43">
        <v>85793.44</v>
      </c>
      <c r="O15" s="44">
        <v>0.7618569276027839</v>
      </c>
    </row>
    <row r="16" ht="22.5" customHeight="1">
      <c r="B16" s="41" t="s">
        <v>38</v>
      </c>
      <c r="C16" s="41" t="s">
        <v>39</v>
      </c>
      <c r="D16" s="41" t="s">
        <v>29</v>
      </c>
      <c r="E16" s="41" t="s">
        <v>30</v>
      </c>
      <c r="F16" s="41" t="s">
        <v>17</v>
      </c>
      <c r="G16" s="41" t="s">
        <v>31</v>
      </c>
      <c r="H16" s="42">
        <v>44936.0</v>
      </c>
      <c r="I16" s="41">
        <v>452.0</v>
      </c>
      <c r="J16" s="43">
        <v>300.75</v>
      </c>
      <c r="K16" s="43">
        <v>314.94</v>
      </c>
      <c r="L16" s="43">
        <v>135939.0</v>
      </c>
      <c r="M16" s="43">
        <v>142352.88</v>
      </c>
      <c r="N16" s="43">
        <v>-6413.880000000005</v>
      </c>
      <c r="O16" s="44">
        <v>-0.047182044887780585</v>
      </c>
    </row>
    <row r="17" ht="22.5" customHeight="1">
      <c r="B17" s="41" t="s">
        <v>40</v>
      </c>
      <c r="C17" s="41" t="s">
        <v>14</v>
      </c>
      <c r="D17" s="41" t="s">
        <v>29</v>
      </c>
      <c r="E17" s="41" t="s">
        <v>22</v>
      </c>
      <c r="F17" s="41" t="s">
        <v>17</v>
      </c>
      <c r="G17" s="41" t="s">
        <v>23</v>
      </c>
      <c r="H17" s="42">
        <v>44937.0</v>
      </c>
      <c r="I17" s="41">
        <v>235.0</v>
      </c>
      <c r="J17" s="43">
        <v>393.0</v>
      </c>
      <c r="K17" s="43">
        <v>230.69</v>
      </c>
      <c r="L17" s="43">
        <v>92355.0</v>
      </c>
      <c r="M17" s="43">
        <v>54212.15</v>
      </c>
      <c r="N17" s="43">
        <v>38142.85</v>
      </c>
      <c r="O17" s="44">
        <v>0.41300254452926205</v>
      </c>
    </row>
    <row r="18" ht="22.5" customHeight="1">
      <c r="B18" s="41" t="s">
        <v>41</v>
      </c>
      <c r="C18" s="41" t="s">
        <v>14</v>
      </c>
      <c r="D18" s="41" t="s">
        <v>34</v>
      </c>
      <c r="E18" s="41" t="s">
        <v>30</v>
      </c>
      <c r="F18" s="41" t="s">
        <v>27</v>
      </c>
      <c r="G18" s="41" t="s">
        <v>31</v>
      </c>
      <c r="H18" s="42">
        <v>44938.0</v>
      </c>
      <c r="I18" s="41">
        <v>481.0</v>
      </c>
      <c r="J18" s="43">
        <v>243.05</v>
      </c>
      <c r="K18" s="43">
        <v>227.5</v>
      </c>
      <c r="L18" s="43">
        <v>116907.05</v>
      </c>
      <c r="M18" s="43">
        <v>109427.5</v>
      </c>
      <c r="N18" s="43">
        <v>7479.550000000003</v>
      </c>
      <c r="O18" s="44">
        <v>0.06397860522526232</v>
      </c>
    </row>
    <row r="19" ht="22.5" customHeight="1">
      <c r="B19" s="41" t="s">
        <v>42</v>
      </c>
      <c r="C19" s="41" t="s">
        <v>14</v>
      </c>
      <c r="D19" s="41" t="s">
        <v>15</v>
      </c>
      <c r="E19" s="41" t="s">
        <v>22</v>
      </c>
      <c r="F19" s="41" t="s">
        <v>27</v>
      </c>
      <c r="G19" s="41" t="s">
        <v>23</v>
      </c>
      <c r="H19" s="42">
        <v>44939.0</v>
      </c>
      <c r="I19" s="41">
        <v>133.0</v>
      </c>
      <c r="J19" s="43">
        <v>25.17</v>
      </c>
      <c r="K19" s="43">
        <v>157.64</v>
      </c>
      <c r="L19" s="43">
        <v>3347.61</v>
      </c>
      <c r="M19" s="43">
        <v>20966.12</v>
      </c>
      <c r="N19" s="43">
        <v>-17618.51</v>
      </c>
      <c r="O19" s="44">
        <v>-5.263011521652761</v>
      </c>
    </row>
    <row r="20" ht="22.5" customHeight="1">
      <c r="B20" s="41" t="s">
        <v>43</v>
      </c>
      <c r="C20" s="41" t="s">
        <v>14</v>
      </c>
      <c r="D20" s="41" t="s">
        <v>29</v>
      </c>
      <c r="E20" s="41" t="s">
        <v>22</v>
      </c>
      <c r="F20" s="41" t="s">
        <v>27</v>
      </c>
      <c r="G20" s="41" t="s">
        <v>23</v>
      </c>
      <c r="H20" s="42">
        <v>44940.0</v>
      </c>
      <c r="I20" s="41">
        <v>472.0</v>
      </c>
      <c r="J20" s="43">
        <v>86.18</v>
      </c>
      <c r="K20" s="43">
        <v>201.46</v>
      </c>
      <c r="L20" s="43">
        <v>40676.96000000001</v>
      </c>
      <c r="M20" s="43">
        <v>95089.12000000001</v>
      </c>
      <c r="N20" s="43">
        <v>-54412.16</v>
      </c>
      <c r="O20" s="44">
        <v>-1.337665351589696</v>
      </c>
    </row>
    <row r="21" ht="22.5" customHeight="1">
      <c r="B21" s="41" t="s">
        <v>44</v>
      </c>
      <c r="C21" s="41" t="s">
        <v>20</v>
      </c>
      <c r="D21" s="41" t="s">
        <v>21</v>
      </c>
      <c r="E21" s="41" t="s">
        <v>16</v>
      </c>
      <c r="F21" s="41" t="s">
        <v>27</v>
      </c>
      <c r="G21" s="41" t="s">
        <v>23</v>
      </c>
      <c r="H21" s="42">
        <v>44941.0</v>
      </c>
      <c r="I21" s="41">
        <v>47.0</v>
      </c>
      <c r="J21" s="43">
        <v>222.11</v>
      </c>
      <c r="K21" s="43">
        <v>160.08</v>
      </c>
      <c r="L21" s="43">
        <v>10439.17</v>
      </c>
      <c r="M21" s="43">
        <v>7523.76</v>
      </c>
      <c r="N21" s="43">
        <v>2915.41</v>
      </c>
      <c r="O21" s="44">
        <v>0.27927603439737064</v>
      </c>
    </row>
    <row r="22" ht="22.5" customHeight="1">
      <c r="B22" s="41" t="s">
        <v>45</v>
      </c>
      <c r="C22" s="41" t="s">
        <v>25</v>
      </c>
      <c r="D22" s="41" t="s">
        <v>15</v>
      </c>
      <c r="E22" s="41" t="s">
        <v>46</v>
      </c>
      <c r="F22" s="41" t="s">
        <v>17</v>
      </c>
      <c r="G22" s="41" t="s">
        <v>18</v>
      </c>
      <c r="H22" s="42">
        <v>44942.0</v>
      </c>
      <c r="I22" s="41">
        <v>337.0</v>
      </c>
      <c r="J22" s="43">
        <v>363.79</v>
      </c>
      <c r="K22" s="43">
        <v>216.81</v>
      </c>
      <c r="L22" s="43">
        <v>122597.23000000001</v>
      </c>
      <c r="M22" s="43">
        <v>73064.97</v>
      </c>
      <c r="N22" s="43">
        <v>49532.26000000001</v>
      </c>
      <c r="O22" s="44">
        <v>0.4040242997333627</v>
      </c>
    </row>
    <row r="23" ht="22.5" customHeight="1">
      <c r="B23" s="41" t="s">
        <v>47</v>
      </c>
      <c r="C23" s="41" t="s">
        <v>20</v>
      </c>
      <c r="D23" s="41" t="s">
        <v>15</v>
      </c>
      <c r="E23" s="41" t="s">
        <v>46</v>
      </c>
      <c r="F23" s="41" t="s">
        <v>17</v>
      </c>
      <c r="G23" s="41" t="s">
        <v>18</v>
      </c>
      <c r="H23" s="42">
        <v>44943.0</v>
      </c>
      <c r="I23" s="41">
        <v>260.0</v>
      </c>
      <c r="J23" s="43">
        <v>298.67</v>
      </c>
      <c r="K23" s="43">
        <v>251.92</v>
      </c>
      <c r="L23" s="43">
        <v>77654.2</v>
      </c>
      <c r="M23" s="43">
        <v>65499.2</v>
      </c>
      <c r="N23" s="43">
        <v>12155.0</v>
      </c>
      <c r="O23" s="44">
        <v>0.15652727090099441</v>
      </c>
    </row>
    <row r="24" ht="22.5" customHeight="1">
      <c r="B24" s="41" t="s">
        <v>48</v>
      </c>
      <c r="C24" s="41" t="s">
        <v>39</v>
      </c>
      <c r="D24" s="41" t="s">
        <v>21</v>
      </c>
      <c r="E24" s="41" t="s">
        <v>26</v>
      </c>
      <c r="F24" s="41" t="s">
        <v>27</v>
      </c>
      <c r="G24" s="41" t="s">
        <v>31</v>
      </c>
      <c r="H24" s="42">
        <v>44944.0</v>
      </c>
      <c r="I24" s="41">
        <v>398.0</v>
      </c>
      <c r="J24" s="43">
        <v>326.9</v>
      </c>
      <c r="K24" s="43">
        <v>270.37</v>
      </c>
      <c r="L24" s="43">
        <v>130106.2</v>
      </c>
      <c r="M24" s="43">
        <v>107607.26</v>
      </c>
      <c r="N24" s="43">
        <v>22498.940000000002</v>
      </c>
      <c r="O24" s="44">
        <v>0.17292750076475988</v>
      </c>
    </row>
    <row r="25" ht="22.5" customHeight="1">
      <c r="B25" s="41" t="s">
        <v>49</v>
      </c>
      <c r="C25" s="41" t="s">
        <v>20</v>
      </c>
      <c r="D25" s="41" t="s">
        <v>29</v>
      </c>
      <c r="E25" s="41" t="s">
        <v>16</v>
      </c>
      <c r="F25" s="41" t="s">
        <v>17</v>
      </c>
      <c r="G25" s="41" t="s">
        <v>31</v>
      </c>
      <c r="H25" s="42">
        <v>44945.0</v>
      </c>
      <c r="I25" s="41">
        <v>185.0</v>
      </c>
      <c r="J25" s="43">
        <v>242.24</v>
      </c>
      <c r="K25" s="43">
        <v>213.93</v>
      </c>
      <c r="L25" s="43">
        <v>44814.4</v>
      </c>
      <c r="M25" s="43">
        <v>39577.05</v>
      </c>
      <c r="N25" s="43">
        <v>5237.3499999999985</v>
      </c>
      <c r="O25" s="44">
        <v>0.11686756935270802</v>
      </c>
    </row>
    <row r="26" ht="22.5" customHeight="1">
      <c r="B26" s="41" t="s">
        <v>50</v>
      </c>
      <c r="C26" s="41" t="s">
        <v>14</v>
      </c>
      <c r="D26" s="41" t="s">
        <v>21</v>
      </c>
      <c r="E26" s="41" t="s">
        <v>22</v>
      </c>
      <c r="F26" s="41" t="s">
        <v>27</v>
      </c>
      <c r="G26" s="41" t="s">
        <v>18</v>
      </c>
      <c r="H26" s="42">
        <v>44946.0</v>
      </c>
      <c r="I26" s="41">
        <v>99.0</v>
      </c>
      <c r="J26" s="43">
        <v>309.79</v>
      </c>
      <c r="K26" s="43">
        <v>289.13</v>
      </c>
      <c r="L26" s="43">
        <v>30669.210000000003</v>
      </c>
      <c r="M26" s="43">
        <v>28623.87</v>
      </c>
      <c r="N26" s="43">
        <v>2045.3400000000038</v>
      </c>
      <c r="O26" s="44">
        <v>0.06669033861648226</v>
      </c>
    </row>
    <row r="27" ht="22.5" customHeight="1">
      <c r="B27" s="41" t="s">
        <v>51</v>
      </c>
      <c r="C27" s="41" t="s">
        <v>52</v>
      </c>
      <c r="D27" s="41" t="s">
        <v>15</v>
      </c>
      <c r="E27" s="41" t="s">
        <v>46</v>
      </c>
      <c r="F27" s="41" t="s">
        <v>27</v>
      </c>
      <c r="G27" s="41" t="s">
        <v>31</v>
      </c>
      <c r="H27" s="42">
        <v>44947.0</v>
      </c>
      <c r="I27" s="41">
        <v>411.0</v>
      </c>
      <c r="J27" s="43">
        <v>167.86</v>
      </c>
      <c r="K27" s="43">
        <v>58.23</v>
      </c>
      <c r="L27" s="43">
        <v>68990.46</v>
      </c>
      <c r="M27" s="43">
        <v>23932.53</v>
      </c>
      <c r="N27" s="43">
        <v>45057.93000000001</v>
      </c>
      <c r="O27" s="44">
        <v>0.6531037769569881</v>
      </c>
    </row>
    <row r="28" ht="22.5" customHeight="1">
      <c r="B28" s="41" t="s">
        <v>53</v>
      </c>
      <c r="C28" s="41" t="s">
        <v>25</v>
      </c>
      <c r="D28" s="41" t="s">
        <v>54</v>
      </c>
      <c r="E28" s="41" t="s">
        <v>22</v>
      </c>
      <c r="F28" s="41" t="s">
        <v>27</v>
      </c>
      <c r="G28" s="41" t="s">
        <v>18</v>
      </c>
      <c r="H28" s="42">
        <v>44948.0</v>
      </c>
      <c r="I28" s="41">
        <v>463.0</v>
      </c>
      <c r="J28" s="43">
        <v>237.74</v>
      </c>
      <c r="K28" s="43">
        <v>86.37</v>
      </c>
      <c r="L28" s="43">
        <v>110073.62000000001</v>
      </c>
      <c r="M28" s="43">
        <v>39989.310000000005</v>
      </c>
      <c r="N28" s="43">
        <v>70084.31</v>
      </c>
      <c r="O28" s="44">
        <v>0.6367039623117691</v>
      </c>
    </row>
    <row r="29" ht="22.5" customHeight="1">
      <c r="B29" s="41" t="s">
        <v>55</v>
      </c>
      <c r="C29" s="41" t="s">
        <v>52</v>
      </c>
      <c r="D29" s="41" t="s">
        <v>54</v>
      </c>
      <c r="E29" s="41" t="s">
        <v>46</v>
      </c>
      <c r="F29" s="41" t="s">
        <v>17</v>
      </c>
      <c r="G29" s="41" t="s">
        <v>23</v>
      </c>
      <c r="H29" s="42">
        <v>44949.0</v>
      </c>
      <c r="I29" s="41">
        <v>46.0</v>
      </c>
      <c r="J29" s="43">
        <v>373.42</v>
      </c>
      <c r="K29" s="43">
        <v>327.86</v>
      </c>
      <c r="L29" s="43">
        <v>17177.32</v>
      </c>
      <c r="M29" s="43">
        <v>15081.560000000001</v>
      </c>
      <c r="N29" s="43">
        <v>2095.7599999999984</v>
      </c>
      <c r="O29" s="44">
        <v>0.1220073911413421</v>
      </c>
    </row>
    <row r="30" ht="22.5" customHeight="1">
      <c r="B30" s="41" t="s">
        <v>56</v>
      </c>
      <c r="C30" s="41" t="s">
        <v>20</v>
      </c>
      <c r="D30" s="41" t="s">
        <v>34</v>
      </c>
      <c r="E30" s="41" t="s">
        <v>46</v>
      </c>
      <c r="F30" s="41" t="s">
        <v>27</v>
      </c>
      <c r="G30" s="41" t="s">
        <v>31</v>
      </c>
      <c r="H30" s="42">
        <v>44950.0</v>
      </c>
      <c r="I30" s="41">
        <v>325.0</v>
      </c>
      <c r="J30" s="43">
        <v>436.56</v>
      </c>
      <c r="K30" s="43">
        <v>130.37</v>
      </c>
      <c r="L30" s="43">
        <v>141882.0</v>
      </c>
      <c r="M30" s="43">
        <v>42370.25</v>
      </c>
      <c r="N30" s="43">
        <v>99511.75</v>
      </c>
      <c r="O30" s="44">
        <v>0.7013698002565513</v>
      </c>
    </row>
    <row r="31" ht="22.5" customHeight="1">
      <c r="B31" s="41" t="s">
        <v>57</v>
      </c>
      <c r="C31" s="41" t="s">
        <v>20</v>
      </c>
      <c r="D31" s="41" t="s">
        <v>21</v>
      </c>
      <c r="E31" s="41" t="s">
        <v>39</v>
      </c>
      <c r="F31" s="41" t="s">
        <v>27</v>
      </c>
      <c r="G31" s="41" t="s">
        <v>31</v>
      </c>
      <c r="H31" s="42">
        <v>44951.0</v>
      </c>
      <c r="I31" s="41">
        <v>185.0</v>
      </c>
      <c r="J31" s="43">
        <v>219.66</v>
      </c>
      <c r="K31" s="43">
        <v>11.11</v>
      </c>
      <c r="L31" s="43">
        <v>40637.1</v>
      </c>
      <c r="M31" s="43">
        <v>2055.35</v>
      </c>
      <c r="N31" s="43">
        <v>38581.75</v>
      </c>
      <c r="O31" s="44">
        <v>0.9494218337430574</v>
      </c>
    </row>
    <row r="32" ht="22.5" customHeight="1">
      <c r="B32" s="41" t="s">
        <v>58</v>
      </c>
      <c r="C32" s="41" t="s">
        <v>52</v>
      </c>
      <c r="D32" s="41" t="s">
        <v>21</v>
      </c>
      <c r="E32" s="41" t="s">
        <v>16</v>
      </c>
      <c r="F32" s="41" t="s">
        <v>27</v>
      </c>
      <c r="G32" s="41" t="s">
        <v>18</v>
      </c>
      <c r="H32" s="42">
        <v>44952.0</v>
      </c>
      <c r="I32" s="41">
        <v>470.0</v>
      </c>
      <c r="J32" s="43">
        <v>26.61</v>
      </c>
      <c r="K32" s="43">
        <v>63.21</v>
      </c>
      <c r="L32" s="43">
        <v>12506.699999999999</v>
      </c>
      <c r="M32" s="43">
        <v>29708.7</v>
      </c>
      <c r="N32" s="43">
        <v>-17202.0</v>
      </c>
      <c r="O32" s="44">
        <v>-1.3754227733934612</v>
      </c>
    </row>
    <row r="33" ht="22.5" customHeight="1">
      <c r="B33" s="41" t="s">
        <v>59</v>
      </c>
      <c r="C33" s="41" t="s">
        <v>52</v>
      </c>
      <c r="D33" s="41" t="s">
        <v>34</v>
      </c>
      <c r="E33" s="41" t="s">
        <v>30</v>
      </c>
      <c r="F33" s="41" t="s">
        <v>17</v>
      </c>
      <c r="G33" s="41" t="s">
        <v>31</v>
      </c>
      <c r="H33" s="42">
        <v>44953.0</v>
      </c>
      <c r="I33" s="41">
        <v>293.0</v>
      </c>
      <c r="J33" s="43">
        <v>85.03</v>
      </c>
      <c r="K33" s="43">
        <v>91.0</v>
      </c>
      <c r="L33" s="43">
        <v>24913.79</v>
      </c>
      <c r="M33" s="43">
        <v>26663.0</v>
      </c>
      <c r="N33" s="43">
        <v>-1749.2099999999991</v>
      </c>
      <c r="O33" s="44">
        <v>-0.07021051393625775</v>
      </c>
    </row>
    <row r="34" ht="22.5" customHeight="1">
      <c r="B34" s="41" t="s">
        <v>60</v>
      </c>
      <c r="C34" s="41" t="s">
        <v>52</v>
      </c>
      <c r="D34" s="41" t="s">
        <v>34</v>
      </c>
      <c r="E34" s="41" t="s">
        <v>22</v>
      </c>
      <c r="F34" s="41" t="s">
        <v>17</v>
      </c>
      <c r="G34" s="41" t="s">
        <v>31</v>
      </c>
      <c r="H34" s="42">
        <v>44954.0</v>
      </c>
      <c r="I34" s="41">
        <v>462.0</v>
      </c>
      <c r="J34" s="43">
        <v>249.64520588235297</v>
      </c>
      <c r="K34" s="43">
        <v>383.01</v>
      </c>
      <c r="L34" s="43">
        <v>115336.08511764708</v>
      </c>
      <c r="M34" s="43">
        <v>176950.62</v>
      </c>
      <c r="N34" s="43">
        <v>-61614.53488235292</v>
      </c>
      <c r="O34" s="44">
        <v>-0.5342173251285911</v>
      </c>
    </row>
    <row r="35" ht="22.5" customHeight="1">
      <c r="B35" s="41" t="s">
        <v>61</v>
      </c>
      <c r="C35" s="41" t="s">
        <v>20</v>
      </c>
      <c r="D35" s="41" t="s">
        <v>34</v>
      </c>
      <c r="E35" s="41" t="s">
        <v>16</v>
      </c>
      <c r="F35" s="41" t="s">
        <v>27</v>
      </c>
      <c r="G35" s="41" t="s">
        <v>23</v>
      </c>
      <c r="H35" s="42">
        <v>44955.0</v>
      </c>
      <c r="I35" s="41">
        <v>470.0</v>
      </c>
      <c r="J35" s="43">
        <v>328.37</v>
      </c>
      <c r="K35" s="43">
        <v>230.07</v>
      </c>
      <c r="L35" s="43">
        <v>154333.9</v>
      </c>
      <c r="M35" s="43">
        <v>108132.9</v>
      </c>
      <c r="N35" s="43">
        <v>46201.0</v>
      </c>
      <c r="O35" s="44">
        <v>0.29935743216493593</v>
      </c>
    </row>
    <row r="36" ht="22.5" customHeight="1">
      <c r="B36" s="41" t="s">
        <v>62</v>
      </c>
      <c r="C36" s="41" t="s">
        <v>20</v>
      </c>
      <c r="D36" s="41" t="s">
        <v>15</v>
      </c>
      <c r="E36" s="41" t="s">
        <v>16</v>
      </c>
      <c r="F36" s="41" t="s">
        <v>17</v>
      </c>
      <c r="G36" s="41" t="s">
        <v>31</v>
      </c>
      <c r="H36" s="42">
        <v>44956.0</v>
      </c>
      <c r="I36" s="41">
        <v>90.0</v>
      </c>
      <c r="J36" s="43">
        <v>169.5</v>
      </c>
      <c r="K36" s="43">
        <v>373.23</v>
      </c>
      <c r="L36" s="43">
        <v>15255.0</v>
      </c>
      <c r="M36" s="43">
        <v>33590.700000000004</v>
      </c>
      <c r="N36" s="43">
        <v>-18335.700000000004</v>
      </c>
      <c r="O36" s="44">
        <v>-1.2019469026548675</v>
      </c>
    </row>
    <row r="37" ht="22.5" customHeight="1">
      <c r="B37" s="41" t="s">
        <v>63</v>
      </c>
      <c r="C37" s="41" t="s">
        <v>39</v>
      </c>
      <c r="D37" s="41" t="s">
        <v>21</v>
      </c>
      <c r="E37" s="41" t="s">
        <v>16</v>
      </c>
      <c r="F37" s="41" t="s">
        <v>17</v>
      </c>
      <c r="G37" s="41" t="s">
        <v>23</v>
      </c>
      <c r="H37" s="42">
        <v>44957.0</v>
      </c>
      <c r="I37" s="41">
        <v>123.0</v>
      </c>
      <c r="J37" s="43">
        <v>273.53</v>
      </c>
      <c r="K37" s="43">
        <v>230.92</v>
      </c>
      <c r="L37" s="43">
        <v>33644.189999999995</v>
      </c>
      <c r="M37" s="43">
        <v>28403.16</v>
      </c>
      <c r="N37" s="43">
        <v>5241.029999999995</v>
      </c>
      <c r="O37" s="44">
        <v>0.15577815961686092</v>
      </c>
    </row>
    <row r="38" ht="22.5" customHeight="1">
      <c r="B38" s="41" t="s">
        <v>64</v>
      </c>
      <c r="C38" s="41" t="s">
        <v>25</v>
      </c>
      <c r="D38" s="41" t="s">
        <v>15</v>
      </c>
      <c r="E38" s="41" t="s">
        <v>16</v>
      </c>
      <c r="F38" s="41" t="s">
        <v>17</v>
      </c>
      <c r="G38" s="41" t="s">
        <v>18</v>
      </c>
      <c r="H38" s="42">
        <v>44958.0</v>
      </c>
      <c r="I38" s="41">
        <v>49.0</v>
      </c>
      <c r="J38" s="43">
        <v>249.17</v>
      </c>
      <c r="K38" s="43">
        <v>192.78</v>
      </c>
      <c r="L38" s="43">
        <v>12209.33</v>
      </c>
      <c r="M38" s="43">
        <v>9446.22</v>
      </c>
      <c r="N38" s="43">
        <v>2763.1100000000006</v>
      </c>
      <c r="O38" s="44">
        <v>0.226311353694265</v>
      </c>
    </row>
    <row r="39" ht="22.5" customHeight="1">
      <c r="B39" s="41" t="s">
        <v>65</v>
      </c>
      <c r="C39" s="41" t="s">
        <v>20</v>
      </c>
      <c r="D39" s="41" t="s">
        <v>34</v>
      </c>
      <c r="E39" s="41" t="s">
        <v>16</v>
      </c>
      <c r="F39" s="41" t="s">
        <v>17</v>
      </c>
      <c r="G39" s="41" t="s">
        <v>31</v>
      </c>
      <c r="H39" s="42">
        <v>44959.0</v>
      </c>
      <c r="I39" s="41">
        <v>310.0</v>
      </c>
      <c r="J39" s="43">
        <v>45.36</v>
      </c>
      <c r="K39" s="43">
        <v>126.86</v>
      </c>
      <c r="L39" s="43">
        <v>14061.6</v>
      </c>
      <c r="M39" s="43">
        <v>39326.6</v>
      </c>
      <c r="N39" s="43">
        <v>-25265.0</v>
      </c>
      <c r="O39" s="44">
        <v>-1.79673721340388</v>
      </c>
    </row>
    <row r="40" ht="22.5" customHeight="1">
      <c r="B40" s="41" t="s">
        <v>66</v>
      </c>
      <c r="C40" s="41" t="s">
        <v>52</v>
      </c>
      <c r="D40" s="41" t="s">
        <v>21</v>
      </c>
      <c r="E40" s="41" t="s">
        <v>26</v>
      </c>
      <c r="F40" s="41" t="s">
        <v>17</v>
      </c>
      <c r="G40" s="41" t="s">
        <v>23</v>
      </c>
      <c r="H40" s="42">
        <v>44960.0</v>
      </c>
      <c r="I40" s="41">
        <v>233.0</v>
      </c>
      <c r="J40" s="43">
        <v>204.61</v>
      </c>
      <c r="K40" s="43">
        <v>243.34</v>
      </c>
      <c r="L40" s="43">
        <v>47674.130000000005</v>
      </c>
      <c r="M40" s="43">
        <v>56698.22</v>
      </c>
      <c r="N40" s="43">
        <v>-9024.089999999997</v>
      </c>
      <c r="O40" s="44">
        <v>-0.18928693612237907</v>
      </c>
    </row>
    <row r="41" ht="22.5" customHeight="1">
      <c r="B41" s="41" t="s">
        <v>67</v>
      </c>
      <c r="C41" s="41" t="s">
        <v>52</v>
      </c>
      <c r="D41" s="41" t="s">
        <v>15</v>
      </c>
      <c r="E41" s="41" t="s">
        <v>22</v>
      </c>
      <c r="F41" s="41" t="s">
        <v>17</v>
      </c>
      <c r="G41" s="41" t="s">
        <v>18</v>
      </c>
      <c r="H41" s="42">
        <v>44961.0</v>
      </c>
      <c r="I41" s="41">
        <v>327.0</v>
      </c>
      <c r="J41" s="43">
        <v>114.18</v>
      </c>
      <c r="K41" s="43">
        <v>57.4</v>
      </c>
      <c r="L41" s="43">
        <v>37336.86</v>
      </c>
      <c r="M41" s="43">
        <v>18769.8</v>
      </c>
      <c r="N41" s="43">
        <v>18567.06</v>
      </c>
      <c r="O41" s="44">
        <v>0.4972849886144684</v>
      </c>
    </row>
    <row r="42" ht="22.5" customHeight="1">
      <c r="B42" s="41" t="s">
        <v>68</v>
      </c>
      <c r="C42" s="41" t="s">
        <v>25</v>
      </c>
      <c r="D42" s="41" t="s">
        <v>15</v>
      </c>
      <c r="E42" s="41" t="s">
        <v>16</v>
      </c>
      <c r="F42" s="41" t="s">
        <v>17</v>
      </c>
      <c r="G42" s="41" t="s">
        <v>31</v>
      </c>
      <c r="H42" s="42">
        <v>44962.0</v>
      </c>
      <c r="I42" s="41">
        <v>358.0</v>
      </c>
      <c r="J42" s="43">
        <v>212.11</v>
      </c>
      <c r="K42" s="43">
        <v>359.51</v>
      </c>
      <c r="L42" s="43">
        <v>75935.38</v>
      </c>
      <c r="M42" s="43">
        <v>128704.58</v>
      </c>
      <c r="N42" s="43">
        <v>-52769.2</v>
      </c>
      <c r="O42" s="44">
        <v>-0.6949224459007118</v>
      </c>
    </row>
    <row r="43" ht="22.5" customHeight="1">
      <c r="B43" s="41" t="s">
        <v>69</v>
      </c>
      <c r="C43" s="41" t="s">
        <v>20</v>
      </c>
      <c r="D43" s="41" t="s">
        <v>34</v>
      </c>
      <c r="E43" s="41" t="s">
        <v>22</v>
      </c>
      <c r="F43" s="41" t="s">
        <v>17</v>
      </c>
      <c r="G43" s="41" t="s">
        <v>18</v>
      </c>
      <c r="H43" s="42">
        <v>44963.0</v>
      </c>
      <c r="I43" s="41">
        <v>124.0</v>
      </c>
      <c r="J43" s="43">
        <v>249.64520588235297</v>
      </c>
      <c r="K43" s="43">
        <v>332.07</v>
      </c>
      <c r="L43" s="43">
        <v>30956.005529411766</v>
      </c>
      <c r="M43" s="43">
        <v>41176.68</v>
      </c>
      <c r="N43" s="43">
        <v>-10220.674470588234</v>
      </c>
      <c r="O43" s="44">
        <v>-0.3301677427624639</v>
      </c>
    </row>
    <row r="44" ht="22.5" customHeight="1">
      <c r="B44" s="41" t="s">
        <v>70</v>
      </c>
      <c r="C44" s="41" t="s">
        <v>25</v>
      </c>
      <c r="D44" s="41" t="s">
        <v>21</v>
      </c>
      <c r="E44" s="41" t="s">
        <v>26</v>
      </c>
      <c r="F44" s="41" t="s">
        <v>17</v>
      </c>
      <c r="G44" s="41" t="s">
        <v>31</v>
      </c>
      <c r="H44" s="42">
        <v>44964.0</v>
      </c>
      <c r="I44" s="41">
        <v>195.0</v>
      </c>
      <c r="J44" s="43">
        <v>421.02</v>
      </c>
      <c r="K44" s="43">
        <v>128.38</v>
      </c>
      <c r="L44" s="43">
        <v>82098.9</v>
      </c>
      <c r="M44" s="43">
        <v>25034.1</v>
      </c>
      <c r="N44" s="43">
        <v>57064.799999999996</v>
      </c>
      <c r="O44" s="44">
        <v>0.6950738682247875</v>
      </c>
    </row>
    <row r="45" ht="22.5" customHeight="1">
      <c r="B45" s="41" t="s">
        <v>71</v>
      </c>
      <c r="C45" s="41" t="s">
        <v>25</v>
      </c>
      <c r="D45" s="41" t="s">
        <v>34</v>
      </c>
      <c r="E45" s="41" t="s">
        <v>26</v>
      </c>
      <c r="F45" s="41" t="s">
        <v>17</v>
      </c>
      <c r="G45" s="41" t="s">
        <v>18</v>
      </c>
      <c r="H45" s="42">
        <v>44965.0</v>
      </c>
      <c r="I45" s="45">
        <v>255.9029411764706</v>
      </c>
      <c r="J45" s="43">
        <v>91.23</v>
      </c>
      <c r="K45" s="43">
        <v>381.21</v>
      </c>
      <c r="L45" s="43">
        <v>23346.02532352941</v>
      </c>
      <c r="M45" s="43">
        <v>97552.76020588235</v>
      </c>
      <c r="N45" s="43">
        <v>-74206.73488235295</v>
      </c>
      <c r="O45" s="44">
        <v>-3.1785596843143704</v>
      </c>
    </row>
    <row r="46" ht="22.5" customHeight="1">
      <c r="B46" s="41" t="s">
        <v>72</v>
      </c>
      <c r="C46" s="41" t="s">
        <v>14</v>
      </c>
      <c r="D46" s="41" t="s">
        <v>21</v>
      </c>
      <c r="E46" s="41" t="s">
        <v>22</v>
      </c>
      <c r="F46" s="41" t="s">
        <v>27</v>
      </c>
      <c r="G46" s="41" t="s">
        <v>18</v>
      </c>
      <c r="H46" s="42">
        <v>44966.0</v>
      </c>
      <c r="I46" s="41">
        <v>65.0</v>
      </c>
      <c r="J46" s="43">
        <v>480.59</v>
      </c>
      <c r="K46" s="43">
        <v>330.43</v>
      </c>
      <c r="L46" s="43">
        <v>31238.35</v>
      </c>
      <c r="M46" s="43">
        <v>21477.95</v>
      </c>
      <c r="N46" s="43">
        <v>9760.399999999998</v>
      </c>
      <c r="O46" s="44">
        <v>0.31244928109199105</v>
      </c>
    </row>
    <row r="47" ht="22.5" customHeight="1">
      <c r="B47" s="41" t="s">
        <v>73</v>
      </c>
      <c r="C47" s="41" t="s">
        <v>14</v>
      </c>
      <c r="D47" s="41" t="s">
        <v>54</v>
      </c>
      <c r="E47" s="41" t="s">
        <v>46</v>
      </c>
      <c r="F47" s="41" t="s">
        <v>27</v>
      </c>
      <c r="G47" s="41" t="s">
        <v>23</v>
      </c>
      <c r="H47" s="42">
        <v>44967.0</v>
      </c>
      <c r="I47" s="41">
        <v>49.0</v>
      </c>
      <c r="J47" s="43">
        <v>210.87</v>
      </c>
      <c r="K47" s="43">
        <v>267.19</v>
      </c>
      <c r="L47" s="43">
        <v>10332.630000000001</v>
      </c>
      <c r="M47" s="43">
        <v>13092.31</v>
      </c>
      <c r="N47" s="43">
        <v>-2759.6799999999985</v>
      </c>
      <c r="O47" s="44">
        <v>-0.26708398539384437</v>
      </c>
    </row>
    <row r="48" ht="22.5" customHeight="1">
      <c r="B48" s="41" t="s">
        <v>74</v>
      </c>
      <c r="C48" s="41" t="s">
        <v>14</v>
      </c>
      <c r="D48" s="41" t="s">
        <v>29</v>
      </c>
      <c r="E48" s="41" t="s">
        <v>30</v>
      </c>
      <c r="F48" s="41" t="s">
        <v>17</v>
      </c>
      <c r="G48" s="41" t="s">
        <v>18</v>
      </c>
      <c r="H48" s="42">
        <v>44968.0</v>
      </c>
      <c r="I48" s="41">
        <v>363.0</v>
      </c>
      <c r="J48" s="43">
        <v>423.89</v>
      </c>
      <c r="K48" s="43">
        <v>50.46</v>
      </c>
      <c r="L48" s="43">
        <v>153872.07</v>
      </c>
      <c r="M48" s="43">
        <v>18316.98</v>
      </c>
      <c r="N48" s="43">
        <v>135555.09</v>
      </c>
      <c r="O48" s="44">
        <v>0.8809596829366109</v>
      </c>
    </row>
    <row r="49" ht="22.5" customHeight="1">
      <c r="B49" s="41" t="s">
        <v>75</v>
      </c>
      <c r="C49" s="41" t="s">
        <v>52</v>
      </c>
      <c r="D49" s="41" t="s">
        <v>29</v>
      </c>
      <c r="E49" s="41" t="s">
        <v>46</v>
      </c>
      <c r="F49" s="41" t="s">
        <v>27</v>
      </c>
      <c r="G49" s="41" t="s">
        <v>31</v>
      </c>
      <c r="H49" s="42">
        <v>44969.0</v>
      </c>
      <c r="I49" s="41">
        <v>49.0</v>
      </c>
      <c r="J49" s="43">
        <v>316.24</v>
      </c>
      <c r="K49" s="43">
        <v>192.34</v>
      </c>
      <c r="L49" s="43">
        <v>15495.76</v>
      </c>
      <c r="M49" s="43">
        <v>9424.66</v>
      </c>
      <c r="N49" s="43">
        <v>6071.1</v>
      </c>
      <c r="O49" s="44">
        <v>0.3917910447761194</v>
      </c>
    </row>
    <row r="50" ht="22.5" customHeight="1">
      <c r="B50" s="41" t="s">
        <v>76</v>
      </c>
      <c r="C50" s="41" t="s">
        <v>20</v>
      </c>
      <c r="D50" s="41" t="s">
        <v>29</v>
      </c>
      <c r="E50" s="41" t="s">
        <v>46</v>
      </c>
      <c r="F50" s="41" t="s">
        <v>27</v>
      </c>
      <c r="G50" s="41" t="s">
        <v>31</v>
      </c>
      <c r="H50" s="42">
        <v>44970.0</v>
      </c>
      <c r="I50" s="41">
        <v>356.0</v>
      </c>
      <c r="J50" s="43">
        <v>369.0</v>
      </c>
      <c r="K50" s="43">
        <v>203.43</v>
      </c>
      <c r="L50" s="43">
        <v>131364.0</v>
      </c>
      <c r="M50" s="43">
        <v>72421.08</v>
      </c>
      <c r="N50" s="43">
        <v>58942.92</v>
      </c>
      <c r="O50" s="44">
        <v>0.4486991869918699</v>
      </c>
    </row>
    <row r="51" ht="22.5" customHeight="1">
      <c r="B51" s="41" t="s">
        <v>77</v>
      </c>
      <c r="C51" s="41" t="s">
        <v>20</v>
      </c>
      <c r="D51" s="41" t="s">
        <v>34</v>
      </c>
      <c r="E51" s="41" t="s">
        <v>46</v>
      </c>
      <c r="F51" s="41" t="s">
        <v>17</v>
      </c>
      <c r="G51" s="41" t="s">
        <v>23</v>
      </c>
      <c r="H51" s="42">
        <v>44971.0</v>
      </c>
      <c r="I51" s="41">
        <v>470.0</v>
      </c>
      <c r="J51" s="43">
        <v>249.64520588235297</v>
      </c>
      <c r="K51" s="43">
        <v>94.56</v>
      </c>
      <c r="L51" s="43">
        <v>117333.2467647059</v>
      </c>
      <c r="M51" s="43">
        <v>44443.200000000004</v>
      </c>
      <c r="N51" s="43">
        <v>72890.04676470588</v>
      </c>
      <c r="O51" s="44">
        <v>0.6212224478103454</v>
      </c>
    </row>
    <row r="52" ht="22.5" customHeight="1">
      <c r="B52" s="41" t="s">
        <v>78</v>
      </c>
      <c r="C52" s="41" t="s">
        <v>20</v>
      </c>
      <c r="D52" s="41" t="s">
        <v>54</v>
      </c>
      <c r="E52" s="41" t="s">
        <v>16</v>
      </c>
      <c r="F52" s="41" t="s">
        <v>17</v>
      </c>
      <c r="G52" s="41" t="s">
        <v>31</v>
      </c>
      <c r="H52" s="42">
        <v>44972.0</v>
      </c>
      <c r="I52" s="41">
        <v>246.0</v>
      </c>
      <c r="J52" s="43">
        <v>254.9</v>
      </c>
      <c r="K52" s="43">
        <v>33.83</v>
      </c>
      <c r="L52" s="43">
        <v>62705.4</v>
      </c>
      <c r="M52" s="43">
        <v>8322.18</v>
      </c>
      <c r="N52" s="43">
        <v>54383.22</v>
      </c>
      <c r="O52" s="44">
        <v>0.8672812867791291</v>
      </c>
    </row>
    <row r="53" ht="22.5" customHeight="1">
      <c r="B53" s="41" t="s">
        <v>79</v>
      </c>
      <c r="C53" s="41" t="s">
        <v>20</v>
      </c>
      <c r="D53" s="41" t="s">
        <v>21</v>
      </c>
      <c r="E53" s="41" t="s">
        <v>26</v>
      </c>
      <c r="F53" s="41" t="s">
        <v>17</v>
      </c>
      <c r="G53" s="41" t="s">
        <v>31</v>
      </c>
      <c r="H53" s="42">
        <v>44973.0</v>
      </c>
      <c r="I53" s="41">
        <v>298.0</v>
      </c>
      <c r="J53" s="43">
        <v>273.93</v>
      </c>
      <c r="K53" s="43">
        <v>311.14</v>
      </c>
      <c r="L53" s="43">
        <v>81631.14</v>
      </c>
      <c r="M53" s="43">
        <v>92719.72</v>
      </c>
      <c r="N53" s="43">
        <v>-11088.580000000002</v>
      </c>
      <c r="O53" s="44">
        <v>-0.1358376227503377</v>
      </c>
    </row>
    <row r="54" ht="22.5" customHeight="1">
      <c r="B54" s="41" t="s">
        <v>80</v>
      </c>
      <c r="C54" s="41" t="s">
        <v>14</v>
      </c>
      <c r="D54" s="41" t="s">
        <v>15</v>
      </c>
      <c r="E54" s="41" t="s">
        <v>46</v>
      </c>
      <c r="F54" s="41" t="s">
        <v>27</v>
      </c>
      <c r="G54" s="41" t="s">
        <v>31</v>
      </c>
      <c r="H54" s="42">
        <v>44974.0</v>
      </c>
      <c r="I54" s="41">
        <v>271.0</v>
      </c>
      <c r="J54" s="43">
        <v>259.43</v>
      </c>
      <c r="K54" s="43">
        <v>50.57</v>
      </c>
      <c r="L54" s="43">
        <v>70305.53</v>
      </c>
      <c r="M54" s="43">
        <v>13704.47</v>
      </c>
      <c r="N54" s="43">
        <v>56601.06</v>
      </c>
      <c r="O54" s="44">
        <v>0.8050726592915237</v>
      </c>
    </row>
    <row r="55" ht="22.5" customHeight="1">
      <c r="B55" s="41" t="s">
        <v>81</v>
      </c>
      <c r="C55" s="41" t="s">
        <v>52</v>
      </c>
      <c r="D55" s="41" t="s">
        <v>21</v>
      </c>
      <c r="E55" s="41" t="s">
        <v>26</v>
      </c>
      <c r="F55" s="41" t="s">
        <v>27</v>
      </c>
      <c r="G55" s="41" t="s">
        <v>18</v>
      </c>
      <c r="H55" s="42">
        <v>44975.0</v>
      </c>
      <c r="I55" s="41">
        <v>225.0</v>
      </c>
      <c r="J55" s="43">
        <v>296.09</v>
      </c>
      <c r="K55" s="43">
        <v>238.53</v>
      </c>
      <c r="L55" s="43">
        <v>66620.25</v>
      </c>
      <c r="M55" s="43">
        <v>53669.25</v>
      </c>
      <c r="N55" s="43">
        <v>12951.0</v>
      </c>
      <c r="O55" s="44">
        <v>0.19440035124455401</v>
      </c>
    </row>
    <row r="56" ht="22.5" customHeight="1">
      <c r="B56" s="41" t="s">
        <v>82</v>
      </c>
      <c r="C56" s="41" t="s">
        <v>39</v>
      </c>
      <c r="D56" s="41" t="s">
        <v>15</v>
      </c>
      <c r="E56" s="41" t="s">
        <v>22</v>
      </c>
      <c r="F56" s="41" t="s">
        <v>17</v>
      </c>
      <c r="G56" s="41" t="s">
        <v>18</v>
      </c>
      <c r="H56" s="42">
        <v>44976.0</v>
      </c>
      <c r="I56" s="41">
        <v>156.0</v>
      </c>
      <c r="J56" s="43">
        <v>19.55</v>
      </c>
      <c r="K56" s="43">
        <v>374.71</v>
      </c>
      <c r="L56" s="43">
        <v>3049.8</v>
      </c>
      <c r="M56" s="43">
        <v>58454.759999999995</v>
      </c>
      <c r="N56" s="43">
        <v>-55404.95999999999</v>
      </c>
      <c r="O56" s="44">
        <v>-18.166751918158564</v>
      </c>
    </row>
    <row r="57" ht="22.5" customHeight="1">
      <c r="B57" s="41" t="s">
        <v>83</v>
      </c>
      <c r="C57" s="41" t="s">
        <v>14</v>
      </c>
      <c r="D57" s="41" t="s">
        <v>21</v>
      </c>
      <c r="E57" s="41" t="s">
        <v>30</v>
      </c>
      <c r="F57" s="41" t="s">
        <v>17</v>
      </c>
      <c r="G57" s="41" t="s">
        <v>31</v>
      </c>
      <c r="H57" s="42">
        <v>44977.0</v>
      </c>
      <c r="I57" s="41">
        <v>345.0</v>
      </c>
      <c r="J57" s="43">
        <v>200.78</v>
      </c>
      <c r="K57" s="43">
        <v>350.69</v>
      </c>
      <c r="L57" s="43">
        <v>69269.1</v>
      </c>
      <c r="M57" s="43">
        <v>120988.05</v>
      </c>
      <c r="N57" s="43">
        <v>-51718.95</v>
      </c>
      <c r="O57" s="44">
        <v>-0.7466381113656738</v>
      </c>
    </row>
    <row r="58" ht="22.5" customHeight="1">
      <c r="B58" s="41" t="s">
        <v>84</v>
      </c>
      <c r="C58" s="41" t="s">
        <v>52</v>
      </c>
      <c r="D58" s="41" t="s">
        <v>54</v>
      </c>
      <c r="E58" s="41" t="s">
        <v>22</v>
      </c>
      <c r="F58" s="41" t="s">
        <v>17</v>
      </c>
      <c r="G58" s="41" t="s">
        <v>23</v>
      </c>
      <c r="H58" s="42">
        <v>44978.0</v>
      </c>
      <c r="I58" s="41">
        <v>177.0</v>
      </c>
      <c r="J58" s="43">
        <v>305.06</v>
      </c>
      <c r="K58" s="43">
        <v>112.55</v>
      </c>
      <c r="L58" s="43">
        <v>53995.62</v>
      </c>
      <c r="M58" s="43">
        <v>19921.35</v>
      </c>
      <c r="N58" s="43">
        <v>34074.270000000004</v>
      </c>
      <c r="O58" s="44">
        <v>0.6310561856683932</v>
      </c>
    </row>
    <row r="59" ht="22.5" customHeight="1">
      <c r="B59" s="41" t="s">
        <v>85</v>
      </c>
      <c r="C59" s="41" t="s">
        <v>14</v>
      </c>
      <c r="D59" s="41" t="s">
        <v>15</v>
      </c>
      <c r="E59" s="41" t="s">
        <v>22</v>
      </c>
      <c r="F59" s="41" t="s">
        <v>27</v>
      </c>
      <c r="G59" s="41" t="s">
        <v>18</v>
      </c>
      <c r="H59" s="42">
        <v>44979.0</v>
      </c>
      <c r="I59" s="41">
        <v>101.0</v>
      </c>
      <c r="J59" s="43">
        <v>300.87</v>
      </c>
      <c r="K59" s="43">
        <v>340.88</v>
      </c>
      <c r="L59" s="43">
        <v>30387.87</v>
      </c>
      <c r="M59" s="43">
        <v>34428.88</v>
      </c>
      <c r="N59" s="43">
        <v>-4041.0099999999984</v>
      </c>
      <c r="O59" s="44">
        <v>-0.1329810217037258</v>
      </c>
    </row>
    <row r="60" ht="22.5" customHeight="1">
      <c r="B60" s="41" t="s">
        <v>86</v>
      </c>
      <c r="C60" s="41" t="s">
        <v>20</v>
      </c>
      <c r="D60" s="41" t="s">
        <v>34</v>
      </c>
      <c r="E60" s="41" t="s">
        <v>16</v>
      </c>
      <c r="F60" s="41" t="s">
        <v>27</v>
      </c>
      <c r="G60" s="41" t="s">
        <v>23</v>
      </c>
      <c r="H60" s="42">
        <v>44980.0</v>
      </c>
      <c r="I60" s="41">
        <v>362.0</v>
      </c>
      <c r="J60" s="43">
        <v>397.51</v>
      </c>
      <c r="K60" s="43">
        <v>2.13</v>
      </c>
      <c r="L60" s="43">
        <v>143898.62</v>
      </c>
      <c r="M60" s="43">
        <v>771.06</v>
      </c>
      <c r="N60" s="43">
        <v>143127.56</v>
      </c>
      <c r="O60" s="44">
        <v>0.9946416442353652</v>
      </c>
    </row>
    <row r="61" ht="22.5" customHeight="1">
      <c r="B61" s="41" t="s">
        <v>87</v>
      </c>
      <c r="C61" s="41" t="s">
        <v>14</v>
      </c>
      <c r="D61" s="41" t="s">
        <v>21</v>
      </c>
      <c r="E61" s="41" t="s">
        <v>30</v>
      </c>
      <c r="F61" s="41" t="s">
        <v>27</v>
      </c>
      <c r="G61" s="41" t="s">
        <v>31</v>
      </c>
      <c r="H61" s="42">
        <v>44981.0</v>
      </c>
      <c r="I61" s="41">
        <v>68.0</v>
      </c>
      <c r="J61" s="43">
        <v>329.23</v>
      </c>
      <c r="K61" s="43">
        <v>9.04</v>
      </c>
      <c r="L61" s="43">
        <v>22387.64</v>
      </c>
      <c r="M61" s="43">
        <v>614.7199999999999</v>
      </c>
      <c r="N61" s="43">
        <v>21772.92</v>
      </c>
      <c r="O61" s="44">
        <v>0.9725419919205418</v>
      </c>
    </row>
    <row r="62" ht="22.5" customHeight="1">
      <c r="B62" s="41" t="s">
        <v>88</v>
      </c>
      <c r="C62" s="41" t="s">
        <v>20</v>
      </c>
      <c r="D62" s="41" t="s">
        <v>21</v>
      </c>
      <c r="E62" s="41" t="s">
        <v>22</v>
      </c>
      <c r="F62" s="41" t="s">
        <v>27</v>
      </c>
      <c r="G62" s="41" t="s">
        <v>31</v>
      </c>
      <c r="H62" s="42">
        <v>44982.0</v>
      </c>
      <c r="I62" s="41">
        <v>68.0</v>
      </c>
      <c r="J62" s="43">
        <v>496.11</v>
      </c>
      <c r="K62" s="43">
        <v>241.82</v>
      </c>
      <c r="L62" s="43">
        <v>33735.48</v>
      </c>
      <c r="M62" s="43">
        <v>16443.76</v>
      </c>
      <c r="N62" s="43">
        <v>17291.720000000005</v>
      </c>
      <c r="O62" s="44">
        <v>0.5125677773074521</v>
      </c>
    </row>
    <row r="63" ht="22.5" customHeight="1">
      <c r="B63" s="41" t="s">
        <v>89</v>
      </c>
      <c r="C63" s="41" t="s">
        <v>20</v>
      </c>
      <c r="D63" s="41" t="s">
        <v>15</v>
      </c>
      <c r="E63" s="41" t="s">
        <v>22</v>
      </c>
      <c r="F63" s="41" t="s">
        <v>17</v>
      </c>
      <c r="G63" s="41" t="s">
        <v>18</v>
      </c>
      <c r="H63" s="42">
        <v>44983.0</v>
      </c>
      <c r="I63" s="41">
        <v>313.0</v>
      </c>
      <c r="J63" s="43">
        <v>145.51</v>
      </c>
      <c r="K63" s="43">
        <v>147.19</v>
      </c>
      <c r="L63" s="43">
        <v>45544.63</v>
      </c>
      <c r="M63" s="43">
        <v>46070.47</v>
      </c>
      <c r="N63" s="43">
        <v>-525.8400000000038</v>
      </c>
      <c r="O63" s="44">
        <v>-0.011545598240670828</v>
      </c>
    </row>
    <row r="64" ht="22.5" customHeight="1">
      <c r="B64" s="41" t="s">
        <v>90</v>
      </c>
      <c r="C64" s="41" t="s">
        <v>25</v>
      </c>
      <c r="D64" s="41" t="s">
        <v>34</v>
      </c>
      <c r="E64" s="41" t="s">
        <v>30</v>
      </c>
      <c r="F64" s="41" t="s">
        <v>17</v>
      </c>
      <c r="G64" s="41" t="s">
        <v>31</v>
      </c>
      <c r="H64" s="42">
        <v>44984.0</v>
      </c>
      <c r="I64" s="41">
        <v>178.0</v>
      </c>
      <c r="J64" s="43">
        <v>182.78</v>
      </c>
      <c r="K64" s="43">
        <v>155.81</v>
      </c>
      <c r="L64" s="43">
        <v>32534.84</v>
      </c>
      <c r="M64" s="43">
        <v>27734.18</v>
      </c>
      <c r="N64" s="43">
        <v>4800.66</v>
      </c>
      <c r="O64" s="44">
        <v>0.14755443702812124</v>
      </c>
    </row>
    <row r="65" ht="22.5" customHeight="1">
      <c r="B65" s="41" t="s">
        <v>91</v>
      </c>
      <c r="C65" s="41" t="s">
        <v>14</v>
      </c>
      <c r="D65" s="41" t="s">
        <v>34</v>
      </c>
      <c r="E65" s="41" t="s">
        <v>30</v>
      </c>
      <c r="F65" s="41" t="s">
        <v>17</v>
      </c>
      <c r="G65" s="41" t="s">
        <v>18</v>
      </c>
      <c r="H65" s="42">
        <v>44985.0</v>
      </c>
      <c r="I65" s="41">
        <v>278.0</v>
      </c>
      <c r="J65" s="43">
        <v>195.0</v>
      </c>
      <c r="K65" s="43">
        <v>226.65</v>
      </c>
      <c r="L65" s="43">
        <v>54210.0</v>
      </c>
      <c r="M65" s="43">
        <v>63008.700000000004</v>
      </c>
      <c r="N65" s="43">
        <v>-8798.700000000004</v>
      </c>
      <c r="O65" s="44">
        <v>-0.16230769230769237</v>
      </c>
    </row>
    <row r="66" ht="22.5" customHeight="1">
      <c r="B66" s="41" t="s">
        <v>92</v>
      </c>
      <c r="C66" s="41" t="s">
        <v>25</v>
      </c>
      <c r="D66" s="41" t="s">
        <v>54</v>
      </c>
      <c r="E66" s="41" t="s">
        <v>22</v>
      </c>
      <c r="F66" s="41" t="s">
        <v>17</v>
      </c>
      <c r="G66" s="41" t="s">
        <v>31</v>
      </c>
      <c r="H66" s="42">
        <v>44986.0</v>
      </c>
      <c r="I66" s="41">
        <v>372.0</v>
      </c>
      <c r="J66" s="43">
        <v>235.58</v>
      </c>
      <c r="K66" s="43">
        <v>78.33</v>
      </c>
      <c r="L66" s="43">
        <v>87635.76000000001</v>
      </c>
      <c r="M66" s="43">
        <v>29138.76</v>
      </c>
      <c r="N66" s="43">
        <v>58497.000000000015</v>
      </c>
      <c r="O66" s="44">
        <v>0.6675014856948808</v>
      </c>
    </row>
    <row r="67" ht="22.5" customHeight="1">
      <c r="B67" s="41" t="s">
        <v>93</v>
      </c>
      <c r="C67" s="41" t="s">
        <v>14</v>
      </c>
      <c r="D67" s="41" t="s">
        <v>34</v>
      </c>
      <c r="E67" s="41" t="s">
        <v>30</v>
      </c>
      <c r="F67" s="41" t="s">
        <v>27</v>
      </c>
      <c r="G67" s="41" t="s">
        <v>31</v>
      </c>
      <c r="H67" s="42">
        <v>44987.0</v>
      </c>
      <c r="I67" s="41">
        <v>54.0</v>
      </c>
      <c r="J67" s="43">
        <v>418.82</v>
      </c>
      <c r="K67" s="43">
        <v>86.28</v>
      </c>
      <c r="L67" s="43">
        <v>22616.28</v>
      </c>
      <c r="M67" s="43">
        <v>4659.12</v>
      </c>
      <c r="N67" s="43">
        <v>17957.16</v>
      </c>
      <c r="O67" s="44">
        <v>0.793992646005444</v>
      </c>
    </row>
    <row r="68" ht="22.5" customHeight="1">
      <c r="B68" s="41" t="s">
        <v>94</v>
      </c>
      <c r="C68" s="41" t="s">
        <v>14</v>
      </c>
      <c r="D68" s="41" t="s">
        <v>34</v>
      </c>
      <c r="E68" s="41" t="s">
        <v>22</v>
      </c>
      <c r="F68" s="41" t="s">
        <v>27</v>
      </c>
      <c r="G68" s="41" t="s">
        <v>18</v>
      </c>
      <c r="H68" s="42">
        <v>44988.0</v>
      </c>
      <c r="I68" s="41">
        <v>354.0</v>
      </c>
      <c r="J68" s="43">
        <v>121.72</v>
      </c>
      <c r="K68" s="43">
        <v>194.87</v>
      </c>
      <c r="L68" s="43">
        <v>43088.88</v>
      </c>
      <c r="M68" s="43">
        <v>68983.98</v>
      </c>
      <c r="N68" s="43">
        <v>-25895.1</v>
      </c>
      <c r="O68" s="44">
        <v>-0.6009694380545514</v>
      </c>
    </row>
    <row r="69" ht="22.5" customHeight="1">
      <c r="B69" s="41" t="s">
        <v>95</v>
      </c>
      <c r="C69" s="41" t="s">
        <v>25</v>
      </c>
      <c r="D69" s="41" t="s">
        <v>34</v>
      </c>
      <c r="E69" s="41" t="s">
        <v>22</v>
      </c>
      <c r="F69" s="41" t="s">
        <v>17</v>
      </c>
      <c r="G69" s="41" t="s">
        <v>18</v>
      </c>
      <c r="H69" s="42">
        <v>44989.0</v>
      </c>
      <c r="I69" s="41">
        <v>190.0</v>
      </c>
      <c r="J69" s="43">
        <v>389.12</v>
      </c>
      <c r="K69" s="43">
        <v>302.19</v>
      </c>
      <c r="L69" s="43">
        <v>73932.8</v>
      </c>
      <c r="M69" s="43">
        <v>57416.1</v>
      </c>
      <c r="N69" s="43">
        <v>16516.700000000004</v>
      </c>
      <c r="O69" s="44">
        <v>0.223401521381579</v>
      </c>
    </row>
    <row r="70" ht="22.5" customHeight="1">
      <c r="B70" s="41" t="s">
        <v>96</v>
      </c>
      <c r="C70" s="41" t="s">
        <v>39</v>
      </c>
      <c r="D70" s="41" t="s">
        <v>29</v>
      </c>
      <c r="E70" s="41" t="s">
        <v>16</v>
      </c>
      <c r="F70" s="41" t="s">
        <v>17</v>
      </c>
      <c r="G70" s="41" t="s">
        <v>18</v>
      </c>
      <c r="H70" s="42">
        <v>44990.0</v>
      </c>
      <c r="I70" s="41">
        <v>179.0</v>
      </c>
      <c r="J70" s="43">
        <v>205.63</v>
      </c>
      <c r="K70" s="43">
        <v>248.56</v>
      </c>
      <c r="L70" s="43">
        <v>36807.77</v>
      </c>
      <c r="M70" s="43">
        <v>44492.24</v>
      </c>
      <c r="N70" s="43">
        <v>-7684.470000000001</v>
      </c>
      <c r="O70" s="44">
        <v>-0.20877303895346014</v>
      </c>
    </row>
    <row r="71" ht="22.5" customHeight="1">
      <c r="B71" s="41" t="s">
        <v>97</v>
      </c>
      <c r="C71" s="41" t="s">
        <v>14</v>
      </c>
      <c r="D71" s="41" t="s">
        <v>54</v>
      </c>
      <c r="E71" s="41" t="s">
        <v>46</v>
      </c>
      <c r="F71" s="41" t="s">
        <v>27</v>
      </c>
      <c r="G71" s="41" t="s">
        <v>31</v>
      </c>
      <c r="H71" s="42">
        <v>44991.0</v>
      </c>
      <c r="I71" s="41">
        <v>365.0</v>
      </c>
      <c r="J71" s="43">
        <v>302.92</v>
      </c>
      <c r="K71" s="43">
        <v>120.35</v>
      </c>
      <c r="L71" s="43">
        <v>110565.8</v>
      </c>
      <c r="M71" s="43">
        <v>43927.75</v>
      </c>
      <c r="N71" s="43">
        <v>66638.05</v>
      </c>
      <c r="O71" s="44">
        <v>0.60270038293939</v>
      </c>
    </row>
    <row r="72" ht="22.5" customHeight="1">
      <c r="B72" s="41" t="s">
        <v>98</v>
      </c>
      <c r="C72" s="41" t="s">
        <v>52</v>
      </c>
      <c r="D72" s="41" t="s">
        <v>21</v>
      </c>
      <c r="E72" s="41" t="s">
        <v>22</v>
      </c>
      <c r="F72" s="41" t="s">
        <v>17</v>
      </c>
      <c r="G72" s="41" t="s">
        <v>31</v>
      </c>
      <c r="H72" s="42">
        <v>44992.0</v>
      </c>
      <c r="I72" s="41">
        <v>200.0</v>
      </c>
      <c r="J72" s="43">
        <v>318.11</v>
      </c>
      <c r="K72" s="43">
        <v>173.27</v>
      </c>
      <c r="L72" s="43">
        <v>63622.0</v>
      </c>
      <c r="M72" s="43">
        <v>34654.0</v>
      </c>
      <c r="N72" s="43">
        <v>28968.0</v>
      </c>
      <c r="O72" s="44">
        <v>0.4553141994907422</v>
      </c>
    </row>
    <row r="73" ht="22.5" customHeight="1">
      <c r="B73" s="41" t="s">
        <v>99</v>
      </c>
      <c r="C73" s="41" t="s">
        <v>20</v>
      </c>
      <c r="D73" s="41" t="s">
        <v>15</v>
      </c>
      <c r="E73" s="41" t="s">
        <v>26</v>
      </c>
      <c r="F73" s="41" t="s">
        <v>27</v>
      </c>
      <c r="G73" s="41" t="s">
        <v>23</v>
      </c>
      <c r="H73" s="42">
        <v>44993.0</v>
      </c>
      <c r="I73" s="41">
        <v>164.0</v>
      </c>
      <c r="J73" s="43">
        <v>189.56</v>
      </c>
      <c r="K73" s="43">
        <v>69.92</v>
      </c>
      <c r="L73" s="43">
        <v>31087.84</v>
      </c>
      <c r="M73" s="43">
        <v>11466.880000000001</v>
      </c>
      <c r="N73" s="43">
        <v>19620.96</v>
      </c>
      <c r="O73" s="44">
        <v>0.6311458113526061</v>
      </c>
    </row>
    <row r="74" ht="22.5" customHeight="1">
      <c r="B74" s="41" t="s">
        <v>100</v>
      </c>
      <c r="C74" s="41" t="s">
        <v>25</v>
      </c>
      <c r="D74" s="41" t="s">
        <v>21</v>
      </c>
      <c r="E74" s="41" t="s">
        <v>46</v>
      </c>
      <c r="F74" s="41" t="s">
        <v>17</v>
      </c>
      <c r="G74" s="41" t="s">
        <v>18</v>
      </c>
      <c r="H74" s="42">
        <v>44994.0</v>
      </c>
      <c r="I74" s="41">
        <v>431.0</v>
      </c>
      <c r="J74" s="43">
        <v>258.74</v>
      </c>
      <c r="K74" s="43">
        <v>31.7</v>
      </c>
      <c r="L74" s="43">
        <v>111516.94</v>
      </c>
      <c r="M74" s="43">
        <v>13662.699999999999</v>
      </c>
      <c r="N74" s="43">
        <v>97854.24</v>
      </c>
      <c r="O74" s="44">
        <v>0.8774831877560486</v>
      </c>
    </row>
    <row r="75" ht="22.5" customHeight="1">
      <c r="B75" s="41" t="s">
        <v>101</v>
      </c>
      <c r="C75" s="41" t="s">
        <v>20</v>
      </c>
      <c r="D75" s="41" t="s">
        <v>54</v>
      </c>
      <c r="E75" s="41" t="s">
        <v>46</v>
      </c>
      <c r="F75" s="41" t="s">
        <v>17</v>
      </c>
      <c r="G75" s="41" t="s">
        <v>31</v>
      </c>
      <c r="H75" s="42">
        <v>44995.0</v>
      </c>
      <c r="I75" s="41">
        <v>197.0</v>
      </c>
      <c r="J75" s="43">
        <v>209.45</v>
      </c>
      <c r="K75" s="43">
        <v>313.51</v>
      </c>
      <c r="L75" s="43">
        <v>41261.649999999994</v>
      </c>
      <c r="M75" s="43">
        <v>61761.47</v>
      </c>
      <c r="N75" s="43">
        <v>-20499.820000000007</v>
      </c>
      <c r="O75" s="44">
        <v>-0.4968250179040346</v>
      </c>
    </row>
    <row r="76" ht="22.5" customHeight="1">
      <c r="B76" s="41" t="s">
        <v>102</v>
      </c>
      <c r="C76" s="41" t="s">
        <v>52</v>
      </c>
      <c r="D76" s="41" t="s">
        <v>15</v>
      </c>
      <c r="E76" s="41" t="s">
        <v>46</v>
      </c>
      <c r="F76" s="41" t="s">
        <v>17</v>
      </c>
      <c r="G76" s="41" t="s">
        <v>31</v>
      </c>
      <c r="H76" s="42">
        <v>44996.0</v>
      </c>
      <c r="I76" s="41">
        <v>16.0</v>
      </c>
      <c r="J76" s="43">
        <v>39.22</v>
      </c>
      <c r="K76" s="43">
        <v>107.62</v>
      </c>
      <c r="L76" s="43">
        <v>627.52</v>
      </c>
      <c r="M76" s="43">
        <v>1721.92</v>
      </c>
      <c r="N76" s="43">
        <v>-1094.4</v>
      </c>
      <c r="O76" s="44">
        <v>-1.744008159102499</v>
      </c>
    </row>
    <row r="77" ht="22.5" customHeight="1">
      <c r="B77" s="41" t="s">
        <v>103</v>
      </c>
      <c r="C77" s="41" t="s">
        <v>52</v>
      </c>
      <c r="D77" s="41" t="s">
        <v>54</v>
      </c>
      <c r="E77" s="41" t="s">
        <v>16</v>
      </c>
      <c r="F77" s="41" t="s">
        <v>17</v>
      </c>
      <c r="G77" s="41" t="s">
        <v>18</v>
      </c>
      <c r="H77" s="42">
        <v>44997.0</v>
      </c>
      <c r="I77" s="41">
        <v>142.0</v>
      </c>
      <c r="J77" s="43">
        <v>221.4</v>
      </c>
      <c r="K77" s="43">
        <v>72.75</v>
      </c>
      <c r="L77" s="43">
        <v>31438.8</v>
      </c>
      <c r="M77" s="43">
        <v>10330.5</v>
      </c>
      <c r="N77" s="43">
        <v>21108.3</v>
      </c>
      <c r="O77" s="44">
        <v>0.6714092140921409</v>
      </c>
    </row>
    <row r="78" ht="22.5" customHeight="1">
      <c r="B78" s="41" t="s">
        <v>104</v>
      </c>
      <c r="C78" s="41" t="s">
        <v>52</v>
      </c>
      <c r="D78" s="41" t="s">
        <v>34</v>
      </c>
      <c r="E78" s="41" t="s">
        <v>22</v>
      </c>
      <c r="F78" s="41" t="s">
        <v>17</v>
      </c>
      <c r="G78" s="41" t="s">
        <v>23</v>
      </c>
      <c r="H78" s="42">
        <v>44998.0</v>
      </c>
      <c r="I78" s="41">
        <v>244.0</v>
      </c>
      <c r="J78" s="43">
        <v>53.21</v>
      </c>
      <c r="K78" s="43">
        <v>277.26</v>
      </c>
      <c r="L78" s="43">
        <v>12983.24</v>
      </c>
      <c r="M78" s="43">
        <v>67651.44</v>
      </c>
      <c r="N78" s="43">
        <v>-54668.200000000004</v>
      </c>
      <c r="O78" s="44">
        <v>-4.210674685209548</v>
      </c>
    </row>
    <row r="79" ht="22.5" customHeight="1">
      <c r="B79" s="41" t="s">
        <v>105</v>
      </c>
      <c r="C79" s="41" t="s">
        <v>25</v>
      </c>
      <c r="D79" s="41" t="s">
        <v>15</v>
      </c>
      <c r="E79" s="41" t="s">
        <v>16</v>
      </c>
      <c r="F79" s="41" t="s">
        <v>17</v>
      </c>
      <c r="G79" s="41" t="s">
        <v>18</v>
      </c>
      <c r="H79" s="42">
        <v>44999.0</v>
      </c>
      <c r="I79" s="41">
        <v>54.0</v>
      </c>
      <c r="J79" s="43">
        <v>205.49</v>
      </c>
      <c r="K79" s="43">
        <v>247.98</v>
      </c>
      <c r="L79" s="43">
        <v>11096.460000000001</v>
      </c>
      <c r="M79" s="43">
        <v>13390.92</v>
      </c>
      <c r="N79" s="43">
        <v>-2294.459999999999</v>
      </c>
      <c r="O79" s="44">
        <v>-0.20677405226531695</v>
      </c>
    </row>
    <row r="80" ht="22.5" customHeight="1">
      <c r="B80" s="41" t="s">
        <v>106</v>
      </c>
      <c r="C80" s="41" t="s">
        <v>52</v>
      </c>
      <c r="D80" s="41" t="s">
        <v>34</v>
      </c>
      <c r="E80" s="41" t="s">
        <v>22</v>
      </c>
      <c r="F80" s="41" t="s">
        <v>17</v>
      </c>
      <c r="G80" s="41" t="s">
        <v>23</v>
      </c>
      <c r="H80" s="42">
        <v>45000.0</v>
      </c>
      <c r="I80" s="41">
        <v>323.0</v>
      </c>
      <c r="J80" s="43">
        <v>298.49</v>
      </c>
      <c r="K80" s="43">
        <v>254.01</v>
      </c>
      <c r="L80" s="43">
        <v>96412.27</v>
      </c>
      <c r="M80" s="43">
        <v>82045.23</v>
      </c>
      <c r="N80" s="43">
        <v>14367.040000000008</v>
      </c>
      <c r="O80" s="44">
        <v>0.14901671747797254</v>
      </c>
    </row>
    <row r="81" ht="22.5" customHeight="1">
      <c r="B81" s="41" t="s">
        <v>107</v>
      </c>
      <c r="C81" s="41" t="s">
        <v>25</v>
      </c>
      <c r="D81" s="41" t="s">
        <v>21</v>
      </c>
      <c r="E81" s="41" t="s">
        <v>16</v>
      </c>
      <c r="F81" s="41" t="s">
        <v>27</v>
      </c>
      <c r="G81" s="41" t="s">
        <v>31</v>
      </c>
      <c r="H81" s="42">
        <v>45001.0</v>
      </c>
      <c r="I81" s="41">
        <v>258.0</v>
      </c>
      <c r="J81" s="43">
        <v>291.81</v>
      </c>
      <c r="K81" s="43">
        <v>93.1</v>
      </c>
      <c r="L81" s="43">
        <v>75286.98</v>
      </c>
      <c r="M81" s="43">
        <v>24019.8</v>
      </c>
      <c r="N81" s="43">
        <v>51267.17999999999</v>
      </c>
      <c r="O81" s="44">
        <v>0.6809567869504128</v>
      </c>
    </row>
    <row r="82" ht="22.5" customHeight="1">
      <c r="B82" s="41" t="s">
        <v>108</v>
      </c>
      <c r="C82" s="41" t="s">
        <v>52</v>
      </c>
      <c r="D82" s="41" t="s">
        <v>21</v>
      </c>
      <c r="E82" s="41" t="s">
        <v>16</v>
      </c>
      <c r="F82" s="41" t="s">
        <v>27</v>
      </c>
      <c r="G82" s="41" t="s">
        <v>23</v>
      </c>
      <c r="H82" s="42">
        <v>45002.0</v>
      </c>
      <c r="I82" s="41">
        <v>40.0</v>
      </c>
      <c r="J82" s="43">
        <v>333.0</v>
      </c>
      <c r="K82" s="43">
        <v>94.59</v>
      </c>
      <c r="L82" s="43">
        <v>13320.0</v>
      </c>
      <c r="M82" s="43">
        <v>3783.6000000000004</v>
      </c>
      <c r="N82" s="43">
        <v>9536.4</v>
      </c>
      <c r="O82" s="44">
        <v>0.715945945945946</v>
      </c>
    </row>
    <row r="83" ht="22.5" customHeight="1">
      <c r="B83" s="41" t="s">
        <v>109</v>
      </c>
      <c r="C83" s="41" t="s">
        <v>20</v>
      </c>
      <c r="D83" s="41" t="s">
        <v>15</v>
      </c>
      <c r="E83" s="41" t="s">
        <v>26</v>
      </c>
      <c r="F83" s="41" t="s">
        <v>27</v>
      </c>
      <c r="G83" s="41" t="s">
        <v>31</v>
      </c>
      <c r="H83" s="42">
        <v>45003.0</v>
      </c>
      <c r="I83" s="41">
        <v>32.0</v>
      </c>
      <c r="J83" s="43">
        <v>52.15</v>
      </c>
      <c r="K83" s="43">
        <v>89.88</v>
      </c>
      <c r="L83" s="43">
        <v>1668.8</v>
      </c>
      <c r="M83" s="43">
        <v>2876.16</v>
      </c>
      <c r="N83" s="43">
        <v>-1207.36</v>
      </c>
      <c r="O83" s="44">
        <v>-0.723489932885906</v>
      </c>
    </row>
    <row r="84" ht="22.5" customHeight="1">
      <c r="B84" s="41" t="s">
        <v>110</v>
      </c>
      <c r="C84" s="41" t="s">
        <v>20</v>
      </c>
      <c r="D84" s="41" t="s">
        <v>15</v>
      </c>
      <c r="E84" s="41" t="s">
        <v>16</v>
      </c>
      <c r="F84" s="41" t="s">
        <v>27</v>
      </c>
      <c r="G84" s="41" t="s">
        <v>18</v>
      </c>
      <c r="H84" s="42">
        <v>45004.0</v>
      </c>
      <c r="I84" s="41">
        <v>435.0</v>
      </c>
      <c r="J84" s="43">
        <v>327.8</v>
      </c>
      <c r="K84" s="43">
        <v>71.15</v>
      </c>
      <c r="L84" s="43">
        <v>142593.0</v>
      </c>
      <c r="M84" s="43">
        <v>30950.250000000004</v>
      </c>
      <c r="N84" s="43">
        <v>111642.75</v>
      </c>
      <c r="O84" s="44">
        <v>0.7829469188529591</v>
      </c>
    </row>
    <row r="85" ht="22.5" customHeight="1">
      <c r="B85" s="41" t="s">
        <v>111</v>
      </c>
      <c r="C85" s="41" t="s">
        <v>14</v>
      </c>
      <c r="D85" s="41" t="s">
        <v>54</v>
      </c>
      <c r="E85" s="41" t="s">
        <v>30</v>
      </c>
      <c r="F85" s="41" t="s">
        <v>27</v>
      </c>
      <c r="G85" s="41" t="s">
        <v>18</v>
      </c>
      <c r="H85" s="42">
        <v>45005.0</v>
      </c>
      <c r="I85" s="41">
        <v>403.0</v>
      </c>
      <c r="J85" s="43">
        <v>159.51</v>
      </c>
      <c r="K85" s="43">
        <v>262.98</v>
      </c>
      <c r="L85" s="43">
        <v>64282.53</v>
      </c>
      <c r="M85" s="43">
        <v>105980.94</v>
      </c>
      <c r="N85" s="43">
        <v>-41698.41</v>
      </c>
      <c r="O85" s="44">
        <v>-0.6486740643219862</v>
      </c>
    </row>
    <row r="86" ht="22.5" customHeight="1">
      <c r="B86" s="41" t="s">
        <v>112</v>
      </c>
      <c r="C86" s="41" t="s">
        <v>20</v>
      </c>
      <c r="D86" s="41" t="s">
        <v>54</v>
      </c>
      <c r="E86" s="41" t="s">
        <v>26</v>
      </c>
      <c r="F86" s="41" t="s">
        <v>17</v>
      </c>
      <c r="G86" s="41" t="s">
        <v>18</v>
      </c>
      <c r="H86" s="42">
        <v>45006.0</v>
      </c>
      <c r="I86" s="41">
        <v>169.0</v>
      </c>
      <c r="J86" s="43">
        <v>249.64520588235297</v>
      </c>
      <c r="K86" s="43">
        <v>339.51</v>
      </c>
      <c r="L86" s="43">
        <v>42190.03979411765</v>
      </c>
      <c r="M86" s="43">
        <v>57377.189999999995</v>
      </c>
      <c r="N86" s="43">
        <v>-15187.150205882346</v>
      </c>
      <c r="O86" s="44">
        <v>-0.35997003747789347</v>
      </c>
    </row>
    <row r="87" ht="22.5" customHeight="1">
      <c r="B87" s="41" t="s">
        <v>113</v>
      </c>
      <c r="C87" s="41" t="s">
        <v>14</v>
      </c>
      <c r="D87" s="41" t="s">
        <v>34</v>
      </c>
      <c r="E87" s="41" t="s">
        <v>16</v>
      </c>
      <c r="F87" s="41" t="s">
        <v>17</v>
      </c>
      <c r="G87" s="41" t="s">
        <v>23</v>
      </c>
      <c r="H87" s="42">
        <v>45007.0</v>
      </c>
      <c r="I87" s="41">
        <v>372.0</v>
      </c>
      <c r="J87" s="43">
        <v>429.7</v>
      </c>
      <c r="K87" s="43">
        <v>290.28</v>
      </c>
      <c r="L87" s="43">
        <v>159848.4</v>
      </c>
      <c r="M87" s="43">
        <v>107984.15999999999</v>
      </c>
      <c r="N87" s="43">
        <v>51864.240000000005</v>
      </c>
      <c r="O87" s="44">
        <v>0.3244589248312777</v>
      </c>
    </row>
    <row r="88" ht="22.5" customHeight="1">
      <c r="B88" s="41" t="s">
        <v>114</v>
      </c>
      <c r="C88" s="41" t="s">
        <v>20</v>
      </c>
      <c r="D88" s="41" t="s">
        <v>15</v>
      </c>
      <c r="E88" s="41" t="s">
        <v>46</v>
      </c>
      <c r="F88" s="41" t="s">
        <v>27</v>
      </c>
      <c r="G88" s="41" t="s">
        <v>31</v>
      </c>
      <c r="H88" s="42">
        <v>45008.0</v>
      </c>
      <c r="I88" s="41">
        <v>446.0</v>
      </c>
      <c r="J88" s="43">
        <v>9.47</v>
      </c>
      <c r="K88" s="43">
        <v>317.25</v>
      </c>
      <c r="L88" s="43">
        <v>4223.62</v>
      </c>
      <c r="M88" s="43">
        <v>141493.5</v>
      </c>
      <c r="N88" s="43">
        <v>-137269.88</v>
      </c>
      <c r="O88" s="44">
        <v>-32.50052798310454</v>
      </c>
    </row>
    <row r="89" ht="22.5" customHeight="1">
      <c r="B89" s="41" t="s">
        <v>115</v>
      </c>
      <c r="C89" s="41" t="s">
        <v>25</v>
      </c>
      <c r="D89" s="41" t="s">
        <v>21</v>
      </c>
      <c r="E89" s="41" t="s">
        <v>30</v>
      </c>
      <c r="F89" s="41" t="s">
        <v>17</v>
      </c>
      <c r="G89" s="41" t="s">
        <v>18</v>
      </c>
      <c r="H89" s="42">
        <v>45009.0</v>
      </c>
      <c r="I89" s="41">
        <v>167.0</v>
      </c>
      <c r="J89" s="43">
        <v>296.26</v>
      </c>
      <c r="K89" s="43">
        <v>163.11</v>
      </c>
      <c r="L89" s="43">
        <v>49475.42</v>
      </c>
      <c r="M89" s="43">
        <v>27239.370000000003</v>
      </c>
      <c r="N89" s="43">
        <v>22236.049999999996</v>
      </c>
      <c r="O89" s="44">
        <v>0.4494363059474785</v>
      </c>
    </row>
    <row r="90" ht="22.5" customHeight="1">
      <c r="B90" s="41" t="s">
        <v>116</v>
      </c>
      <c r="C90" s="41" t="s">
        <v>20</v>
      </c>
      <c r="D90" s="41" t="s">
        <v>54</v>
      </c>
      <c r="E90" s="41" t="s">
        <v>30</v>
      </c>
      <c r="F90" s="41" t="s">
        <v>27</v>
      </c>
      <c r="G90" s="41" t="s">
        <v>18</v>
      </c>
      <c r="H90" s="42">
        <v>45010.0</v>
      </c>
      <c r="I90" s="41">
        <v>48.0</v>
      </c>
      <c r="J90" s="43">
        <v>301.36</v>
      </c>
      <c r="K90" s="43">
        <v>262.32</v>
      </c>
      <c r="L90" s="43">
        <v>14465.28</v>
      </c>
      <c r="M90" s="43">
        <v>12591.36</v>
      </c>
      <c r="N90" s="43">
        <v>1873.92</v>
      </c>
      <c r="O90" s="44">
        <v>0.12954605787098486</v>
      </c>
    </row>
    <row r="91" ht="22.5" customHeight="1">
      <c r="B91" s="41" t="s">
        <v>117</v>
      </c>
      <c r="C91" s="41" t="s">
        <v>14</v>
      </c>
      <c r="D91" s="41" t="s">
        <v>54</v>
      </c>
      <c r="E91" s="41" t="s">
        <v>30</v>
      </c>
      <c r="F91" s="41" t="s">
        <v>27</v>
      </c>
      <c r="G91" s="41" t="s">
        <v>31</v>
      </c>
      <c r="H91" s="42">
        <v>45011.0</v>
      </c>
      <c r="I91" s="41">
        <v>424.0</v>
      </c>
      <c r="J91" s="43">
        <v>201.35</v>
      </c>
      <c r="K91" s="43">
        <v>142.99</v>
      </c>
      <c r="L91" s="43">
        <v>85372.4</v>
      </c>
      <c r="M91" s="43">
        <v>60627.76</v>
      </c>
      <c r="N91" s="43">
        <v>24744.639999999992</v>
      </c>
      <c r="O91" s="44">
        <v>0.28984355599702005</v>
      </c>
    </row>
    <row r="92" ht="22.5" customHeight="1">
      <c r="B92" s="41" t="s">
        <v>118</v>
      </c>
      <c r="C92" s="41" t="s">
        <v>14</v>
      </c>
      <c r="D92" s="41" t="s">
        <v>21</v>
      </c>
      <c r="E92" s="41" t="s">
        <v>26</v>
      </c>
      <c r="F92" s="41" t="s">
        <v>17</v>
      </c>
      <c r="G92" s="41" t="s">
        <v>18</v>
      </c>
      <c r="H92" s="42">
        <v>45012.0</v>
      </c>
      <c r="I92" s="41">
        <v>91.0</v>
      </c>
      <c r="J92" s="43">
        <v>122.33</v>
      </c>
      <c r="K92" s="43">
        <v>211.15</v>
      </c>
      <c r="L92" s="43">
        <v>11132.03</v>
      </c>
      <c r="M92" s="43">
        <v>19214.65</v>
      </c>
      <c r="N92" s="43">
        <v>-8082.620000000001</v>
      </c>
      <c r="O92" s="44">
        <v>-0.7260688302133573</v>
      </c>
    </row>
    <row r="93" ht="22.5" customHeight="1">
      <c r="B93" s="41" t="s">
        <v>119</v>
      </c>
      <c r="C93" s="41" t="s">
        <v>52</v>
      </c>
      <c r="D93" s="41" t="s">
        <v>54</v>
      </c>
      <c r="E93" s="41" t="s">
        <v>16</v>
      </c>
      <c r="F93" s="41" t="s">
        <v>17</v>
      </c>
      <c r="G93" s="41" t="s">
        <v>31</v>
      </c>
      <c r="H93" s="42">
        <v>45013.0</v>
      </c>
      <c r="I93" s="41">
        <v>365.0</v>
      </c>
      <c r="J93" s="43">
        <v>121.16</v>
      </c>
      <c r="K93" s="43">
        <v>193.69</v>
      </c>
      <c r="L93" s="43">
        <v>44223.4</v>
      </c>
      <c r="M93" s="43">
        <v>70696.85</v>
      </c>
      <c r="N93" s="43">
        <v>-26473.450000000004</v>
      </c>
      <c r="O93" s="44">
        <v>-0.5986299108616706</v>
      </c>
    </row>
    <row r="94" ht="22.5" customHeight="1">
      <c r="B94" s="41" t="s">
        <v>120</v>
      </c>
      <c r="C94" s="41" t="s">
        <v>25</v>
      </c>
      <c r="D94" s="41" t="s">
        <v>34</v>
      </c>
      <c r="E94" s="41" t="s">
        <v>16</v>
      </c>
      <c r="F94" s="41" t="s">
        <v>17</v>
      </c>
      <c r="G94" s="41" t="s">
        <v>31</v>
      </c>
      <c r="H94" s="42">
        <v>45014.0</v>
      </c>
      <c r="I94" s="41">
        <v>267.0</v>
      </c>
      <c r="J94" s="43">
        <v>442.44</v>
      </c>
      <c r="K94" s="43">
        <v>72.4</v>
      </c>
      <c r="L94" s="43">
        <v>118131.48</v>
      </c>
      <c r="M94" s="43">
        <v>19330.800000000003</v>
      </c>
      <c r="N94" s="43">
        <v>98800.68</v>
      </c>
      <c r="O94" s="44">
        <v>0.8363619925865654</v>
      </c>
    </row>
    <row r="95" ht="22.5" customHeight="1">
      <c r="B95" s="41" t="s">
        <v>121</v>
      </c>
      <c r="C95" s="41" t="s">
        <v>20</v>
      </c>
      <c r="D95" s="41" t="s">
        <v>15</v>
      </c>
      <c r="E95" s="41" t="s">
        <v>46</v>
      </c>
      <c r="F95" s="41" t="s">
        <v>27</v>
      </c>
      <c r="G95" s="41" t="s">
        <v>31</v>
      </c>
      <c r="H95" s="42">
        <v>45015.0</v>
      </c>
      <c r="I95" s="41">
        <v>215.0</v>
      </c>
      <c r="J95" s="43">
        <v>223.8</v>
      </c>
      <c r="K95" s="43">
        <v>156.06</v>
      </c>
      <c r="L95" s="43">
        <v>48117.0</v>
      </c>
      <c r="M95" s="43">
        <v>33552.9</v>
      </c>
      <c r="N95" s="43">
        <v>14564.099999999999</v>
      </c>
      <c r="O95" s="44">
        <v>0.3026809651474531</v>
      </c>
    </row>
    <row r="96" ht="22.5" customHeight="1">
      <c r="B96" s="41" t="s">
        <v>122</v>
      </c>
      <c r="C96" s="41" t="s">
        <v>52</v>
      </c>
      <c r="D96" s="41" t="s">
        <v>21</v>
      </c>
      <c r="E96" s="41" t="s">
        <v>46</v>
      </c>
      <c r="F96" s="41" t="s">
        <v>17</v>
      </c>
      <c r="G96" s="41" t="s">
        <v>31</v>
      </c>
      <c r="H96" s="42">
        <v>45016.0</v>
      </c>
      <c r="I96" s="41">
        <v>86.0</v>
      </c>
      <c r="J96" s="43">
        <v>168.79</v>
      </c>
      <c r="K96" s="43">
        <v>385.6</v>
      </c>
      <c r="L96" s="43">
        <v>14515.939999999999</v>
      </c>
      <c r="M96" s="43">
        <v>33161.6</v>
      </c>
      <c r="N96" s="43">
        <v>-18645.66</v>
      </c>
      <c r="O96" s="44">
        <v>-1.284495526986196</v>
      </c>
    </row>
    <row r="97" ht="22.5" customHeight="1">
      <c r="B97" s="41" t="s">
        <v>123</v>
      </c>
      <c r="C97" s="41" t="s">
        <v>20</v>
      </c>
      <c r="D97" s="41" t="s">
        <v>15</v>
      </c>
      <c r="E97" s="41" t="s">
        <v>30</v>
      </c>
      <c r="F97" s="41" t="s">
        <v>27</v>
      </c>
      <c r="G97" s="41" t="s">
        <v>31</v>
      </c>
      <c r="H97" s="42">
        <v>45017.0</v>
      </c>
      <c r="I97" s="41">
        <v>486.0</v>
      </c>
      <c r="J97" s="43">
        <v>227.14</v>
      </c>
      <c r="K97" s="43">
        <v>100.93</v>
      </c>
      <c r="L97" s="43">
        <v>110390.04</v>
      </c>
      <c r="M97" s="43">
        <v>49051.98</v>
      </c>
      <c r="N97" s="43">
        <v>61338.05999999999</v>
      </c>
      <c r="O97" s="44">
        <v>0.5556484987232543</v>
      </c>
    </row>
    <row r="98" ht="22.5" customHeight="1">
      <c r="B98" s="41" t="s">
        <v>124</v>
      </c>
      <c r="C98" s="41" t="s">
        <v>20</v>
      </c>
      <c r="D98" s="41" t="s">
        <v>54</v>
      </c>
      <c r="E98" s="41" t="s">
        <v>46</v>
      </c>
      <c r="F98" s="41" t="s">
        <v>27</v>
      </c>
      <c r="G98" s="41" t="s">
        <v>23</v>
      </c>
      <c r="H98" s="42">
        <v>45018.0</v>
      </c>
      <c r="I98" s="41">
        <v>21.0</v>
      </c>
      <c r="J98" s="43">
        <v>249.64520588235297</v>
      </c>
      <c r="K98" s="43">
        <v>55.25</v>
      </c>
      <c r="L98" s="43">
        <v>5242.5493235294125</v>
      </c>
      <c r="M98" s="43">
        <v>1160.25</v>
      </c>
      <c r="N98" s="43">
        <v>4082.2993235294125</v>
      </c>
      <c r="O98" s="44">
        <v>0.778685916259746</v>
      </c>
    </row>
    <row r="99" ht="22.5" customHeight="1">
      <c r="B99" s="41" t="s">
        <v>125</v>
      </c>
      <c r="C99" s="41" t="s">
        <v>52</v>
      </c>
      <c r="D99" s="41" t="s">
        <v>54</v>
      </c>
      <c r="E99" s="41" t="s">
        <v>26</v>
      </c>
      <c r="F99" s="41" t="s">
        <v>27</v>
      </c>
      <c r="G99" s="41" t="s">
        <v>18</v>
      </c>
      <c r="H99" s="42">
        <v>45019.0</v>
      </c>
      <c r="I99" s="41">
        <v>304.0</v>
      </c>
      <c r="J99" s="43">
        <v>77.15</v>
      </c>
      <c r="K99" s="43">
        <v>168.6</v>
      </c>
      <c r="L99" s="43">
        <v>23453.600000000002</v>
      </c>
      <c r="M99" s="43">
        <v>51254.4</v>
      </c>
      <c r="N99" s="43">
        <v>-27800.8</v>
      </c>
      <c r="O99" s="44">
        <v>-1.1853532080362927</v>
      </c>
    </row>
    <row r="100" ht="22.5" customHeight="1">
      <c r="B100" s="41" t="s">
        <v>126</v>
      </c>
      <c r="C100" s="41" t="s">
        <v>52</v>
      </c>
      <c r="D100" s="41" t="s">
        <v>21</v>
      </c>
      <c r="E100" s="41" t="s">
        <v>16</v>
      </c>
      <c r="F100" s="41" t="s">
        <v>17</v>
      </c>
      <c r="G100" s="41" t="s">
        <v>23</v>
      </c>
      <c r="H100" s="42">
        <v>45020.0</v>
      </c>
      <c r="I100" s="41">
        <v>459.0</v>
      </c>
      <c r="J100" s="43">
        <v>227.47</v>
      </c>
      <c r="K100" s="43">
        <v>316.55</v>
      </c>
      <c r="L100" s="43">
        <v>104408.73</v>
      </c>
      <c r="M100" s="43">
        <v>145296.45</v>
      </c>
      <c r="N100" s="43">
        <v>-40887.720000000016</v>
      </c>
      <c r="O100" s="44">
        <v>-0.3916120807139405</v>
      </c>
    </row>
    <row r="101" ht="22.5" customHeight="1">
      <c r="B101" s="41" t="s">
        <v>127</v>
      </c>
      <c r="C101" s="41" t="s">
        <v>52</v>
      </c>
      <c r="D101" s="41" t="s">
        <v>34</v>
      </c>
      <c r="E101" s="41" t="s">
        <v>30</v>
      </c>
      <c r="F101" s="41" t="s">
        <v>17</v>
      </c>
      <c r="G101" s="41" t="s">
        <v>18</v>
      </c>
      <c r="H101" s="42">
        <v>45021.0</v>
      </c>
      <c r="I101" s="41">
        <v>233.0</v>
      </c>
      <c r="J101" s="43">
        <v>296.0</v>
      </c>
      <c r="K101" s="43">
        <v>233.69</v>
      </c>
      <c r="L101" s="43">
        <v>68968.0</v>
      </c>
      <c r="M101" s="43">
        <v>54449.77</v>
      </c>
      <c r="N101" s="43">
        <v>14518.230000000003</v>
      </c>
      <c r="O101" s="44">
        <v>0.2105067567567568</v>
      </c>
    </row>
    <row r="102" ht="22.5" customHeight="1">
      <c r="B102" s="41" t="s">
        <v>128</v>
      </c>
      <c r="C102" s="41" t="s">
        <v>52</v>
      </c>
      <c r="D102" s="41" t="s">
        <v>29</v>
      </c>
      <c r="E102" s="41" t="s">
        <v>46</v>
      </c>
      <c r="F102" s="41" t="s">
        <v>27</v>
      </c>
      <c r="G102" s="41" t="s">
        <v>23</v>
      </c>
      <c r="H102" s="42">
        <v>45022.0</v>
      </c>
      <c r="I102" s="41">
        <v>22.0</v>
      </c>
      <c r="J102" s="43">
        <v>474.55</v>
      </c>
      <c r="K102" s="43">
        <v>273.03</v>
      </c>
      <c r="L102" s="43">
        <v>10440.1</v>
      </c>
      <c r="M102" s="43">
        <v>6006.66</v>
      </c>
      <c r="N102" s="43">
        <v>4433.4400000000005</v>
      </c>
      <c r="O102" s="44">
        <v>0.4246549362553999</v>
      </c>
    </row>
    <row r="103" ht="22.5" customHeight="1">
      <c r="B103" s="41" t="s">
        <v>129</v>
      </c>
      <c r="C103" s="41" t="s">
        <v>52</v>
      </c>
      <c r="D103" s="41" t="s">
        <v>21</v>
      </c>
      <c r="E103" s="41" t="s">
        <v>26</v>
      </c>
      <c r="F103" s="41" t="s">
        <v>17</v>
      </c>
      <c r="G103" s="41" t="s">
        <v>31</v>
      </c>
      <c r="H103" s="42">
        <v>45023.0</v>
      </c>
      <c r="I103" s="41">
        <v>55.0</v>
      </c>
      <c r="J103" s="43">
        <v>130.0</v>
      </c>
      <c r="K103" s="43">
        <v>77.5</v>
      </c>
      <c r="L103" s="43">
        <v>7150.0</v>
      </c>
      <c r="M103" s="43">
        <v>4262.5</v>
      </c>
      <c r="N103" s="43">
        <v>2887.5</v>
      </c>
      <c r="O103" s="44">
        <v>0.40384615384615385</v>
      </c>
    </row>
    <row r="104" ht="22.5" customHeight="1">
      <c r="B104" s="41" t="s">
        <v>130</v>
      </c>
      <c r="C104" s="41" t="s">
        <v>20</v>
      </c>
      <c r="D104" s="41" t="s">
        <v>29</v>
      </c>
      <c r="E104" s="41" t="s">
        <v>26</v>
      </c>
      <c r="F104" s="41" t="s">
        <v>17</v>
      </c>
      <c r="G104" s="41" t="s">
        <v>18</v>
      </c>
      <c r="H104" s="42">
        <v>45024.0</v>
      </c>
      <c r="I104" s="41">
        <v>164.0</v>
      </c>
      <c r="J104" s="43">
        <v>182.83</v>
      </c>
      <c r="K104" s="43">
        <v>248.34</v>
      </c>
      <c r="L104" s="43">
        <v>29984.120000000003</v>
      </c>
      <c r="M104" s="43">
        <v>40727.76</v>
      </c>
      <c r="N104" s="43">
        <v>-10743.64</v>
      </c>
      <c r="O104" s="44">
        <v>-0.3583109992889569</v>
      </c>
    </row>
    <row r="105" ht="22.5" customHeight="1">
      <c r="B105" s="41" t="s">
        <v>131</v>
      </c>
      <c r="C105" s="41" t="s">
        <v>52</v>
      </c>
      <c r="D105" s="41" t="s">
        <v>29</v>
      </c>
      <c r="E105" s="41" t="s">
        <v>46</v>
      </c>
      <c r="F105" s="41" t="s">
        <v>17</v>
      </c>
      <c r="G105" s="41" t="s">
        <v>18</v>
      </c>
      <c r="H105" s="42">
        <v>45025.0</v>
      </c>
      <c r="I105" s="41">
        <v>122.0</v>
      </c>
      <c r="J105" s="43">
        <v>192.78</v>
      </c>
      <c r="K105" s="43">
        <v>130.75</v>
      </c>
      <c r="L105" s="43">
        <v>23519.16</v>
      </c>
      <c r="M105" s="43">
        <v>15951.5</v>
      </c>
      <c r="N105" s="43">
        <v>7567.66</v>
      </c>
      <c r="O105" s="44">
        <v>0.3217657433343708</v>
      </c>
    </row>
    <row r="106" ht="22.5" customHeight="1">
      <c r="B106" s="41" t="s">
        <v>132</v>
      </c>
      <c r="C106" s="41" t="s">
        <v>25</v>
      </c>
      <c r="D106" s="41" t="s">
        <v>34</v>
      </c>
      <c r="E106" s="41" t="s">
        <v>16</v>
      </c>
      <c r="F106" s="41" t="s">
        <v>27</v>
      </c>
      <c r="G106" s="41" t="s">
        <v>23</v>
      </c>
      <c r="H106" s="42">
        <v>45026.0</v>
      </c>
      <c r="I106" s="41">
        <v>242.0</v>
      </c>
      <c r="J106" s="43">
        <v>304.74</v>
      </c>
      <c r="K106" s="43">
        <v>334.05</v>
      </c>
      <c r="L106" s="43">
        <v>73747.08</v>
      </c>
      <c r="M106" s="43">
        <v>80840.1</v>
      </c>
      <c r="N106" s="43">
        <v>-7093.020000000004</v>
      </c>
      <c r="O106" s="44">
        <v>-0.09618035046268957</v>
      </c>
    </row>
    <row r="107" ht="22.5" customHeight="1">
      <c r="B107" s="41" t="s">
        <v>133</v>
      </c>
      <c r="C107" s="41" t="s">
        <v>14</v>
      </c>
      <c r="D107" s="41" t="s">
        <v>29</v>
      </c>
      <c r="E107" s="41" t="s">
        <v>46</v>
      </c>
      <c r="F107" s="41" t="s">
        <v>27</v>
      </c>
      <c r="G107" s="41" t="s">
        <v>23</v>
      </c>
      <c r="H107" s="42">
        <v>45027.0</v>
      </c>
      <c r="I107" s="41">
        <v>26.0</v>
      </c>
      <c r="J107" s="43">
        <v>181.58</v>
      </c>
      <c r="K107" s="43">
        <v>252.46</v>
      </c>
      <c r="L107" s="43">
        <v>4721.08</v>
      </c>
      <c r="M107" s="43">
        <v>6563.96</v>
      </c>
      <c r="N107" s="43">
        <v>-1842.88</v>
      </c>
      <c r="O107" s="44">
        <v>-0.39035136028196943</v>
      </c>
    </row>
    <row r="108" ht="22.5" customHeight="1">
      <c r="B108" s="41" t="s">
        <v>134</v>
      </c>
      <c r="C108" s="41" t="s">
        <v>52</v>
      </c>
      <c r="D108" s="41" t="s">
        <v>29</v>
      </c>
      <c r="E108" s="41" t="s">
        <v>30</v>
      </c>
      <c r="F108" s="41" t="s">
        <v>17</v>
      </c>
      <c r="G108" s="41" t="s">
        <v>18</v>
      </c>
      <c r="H108" s="42">
        <v>45028.0</v>
      </c>
      <c r="I108" s="41">
        <v>369.0</v>
      </c>
      <c r="J108" s="43">
        <v>269.09</v>
      </c>
      <c r="K108" s="43">
        <v>81.14</v>
      </c>
      <c r="L108" s="43">
        <v>99294.20999999999</v>
      </c>
      <c r="M108" s="43">
        <v>29940.66</v>
      </c>
      <c r="N108" s="43">
        <v>69353.54999999999</v>
      </c>
      <c r="O108" s="44">
        <v>0.6984651975175591</v>
      </c>
    </row>
    <row r="109" ht="22.5" customHeight="1">
      <c r="B109" s="41" t="s">
        <v>135</v>
      </c>
      <c r="C109" s="41" t="s">
        <v>52</v>
      </c>
      <c r="D109" s="41" t="s">
        <v>34</v>
      </c>
      <c r="E109" s="41" t="s">
        <v>46</v>
      </c>
      <c r="F109" s="41" t="s">
        <v>27</v>
      </c>
      <c r="G109" s="41" t="s">
        <v>23</v>
      </c>
      <c r="H109" s="42">
        <v>45029.0</v>
      </c>
      <c r="I109" s="41">
        <v>232.0</v>
      </c>
      <c r="J109" s="43">
        <v>391.99</v>
      </c>
      <c r="K109" s="43">
        <v>27.72</v>
      </c>
      <c r="L109" s="43">
        <v>90941.68000000001</v>
      </c>
      <c r="M109" s="43">
        <v>6431.04</v>
      </c>
      <c r="N109" s="43">
        <v>84510.64000000001</v>
      </c>
      <c r="O109" s="44">
        <v>0.9292839103038344</v>
      </c>
    </row>
    <row r="110" ht="22.5" customHeight="1">
      <c r="B110" s="41" t="s">
        <v>136</v>
      </c>
      <c r="C110" s="41" t="s">
        <v>20</v>
      </c>
      <c r="D110" s="41" t="s">
        <v>29</v>
      </c>
      <c r="E110" s="41" t="s">
        <v>26</v>
      </c>
      <c r="F110" s="41" t="s">
        <v>17</v>
      </c>
      <c r="G110" s="41" t="s">
        <v>23</v>
      </c>
      <c r="H110" s="42">
        <v>45030.0</v>
      </c>
      <c r="I110" s="41">
        <v>363.0</v>
      </c>
      <c r="J110" s="43">
        <v>354.17</v>
      </c>
      <c r="K110" s="43">
        <v>18.97</v>
      </c>
      <c r="L110" s="43">
        <v>128563.71</v>
      </c>
      <c r="M110" s="43">
        <v>6886.11</v>
      </c>
      <c r="N110" s="43">
        <v>121677.6</v>
      </c>
      <c r="O110" s="44">
        <v>0.9464381511703419</v>
      </c>
    </row>
    <row r="111" ht="22.5" customHeight="1">
      <c r="B111" s="41" t="s">
        <v>137</v>
      </c>
      <c r="C111" s="41" t="s">
        <v>52</v>
      </c>
      <c r="D111" s="41" t="s">
        <v>29</v>
      </c>
      <c r="E111" s="41" t="s">
        <v>46</v>
      </c>
      <c r="F111" s="41" t="s">
        <v>17</v>
      </c>
      <c r="G111" s="41" t="s">
        <v>23</v>
      </c>
      <c r="H111" s="42">
        <v>45031.0</v>
      </c>
      <c r="I111" s="41">
        <v>197.0</v>
      </c>
      <c r="J111" s="43">
        <v>225.95</v>
      </c>
      <c r="K111" s="43">
        <v>149.82</v>
      </c>
      <c r="L111" s="43">
        <v>44512.149999999994</v>
      </c>
      <c r="M111" s="43">
        <v>29514.539999999997</v>
      </c>
      <c r="N111" s="43">
        <v>14997.609999999997</v>
      </c>
      <c r="O111" s="44">
        <v>0.3369329497676477</v>
      </c>
    </row>
    <row r="112" ht="22.5" customHeight="1">
      <c r="B112" s="41" t="s">
        <v>138</v>
      </c>
      <c r="C112" s="41" t="s">
        <v>52</v>
      </c>
      <c r="D112" s="41" t="s">
        <v>29</v>
      </c>
      <c r="E112" s="41" t="s">
        <v>16</v>
      </c>
      <c r="F112" s="41" t="s">
        <v>17</v>
      </c>
      <c r="G112" s="41" t="s">
        <v>31</v>
      </c>
      <c r="H112" s="42">
        <v>45032.0</v>
      </c>
      <c r="I112" s="41">
        <v>457.0</v>
      </c>
      <c r="J112" s="43">
        <v>432.79</v>
      </c>
      <c r="K112" s="43">
        <v>107.81</v>
      </c>
      <c r="L112" s="43">
        <v>197785.03</v>
      </c>
      <c r="M112" s="43">
        <v>49269.17</v>
      </c>
      <c r="N112" s="43">
        <v>148515.86</v>
      </c>
      <c r="O112" s="44">
        <v>0.7508953534046534</v>
      </c>
    </row>
    <row r="113" ht="22.5" customHeight="1">
      <c r="B113" s="41" t="s">
        <v>139</v>
      </c>
      <c r="C113" s="41" t="s">
        <v>52</v>
      </c>
      <c r="D113" s="41" t="s">
        <v>21</v>
      </c>
      <c r="E113" s="41" t="s">
        <v>22</v>
      </c>
      <c r="F113" s="41" t="s">
        <v>17</v>
      </c>
      <c r="G113" s="41" t="s">
        <v>31</v>
      </c>
      <c r="H113" s="42">
        <v>45033.0</v>
      </c>
      <c r="I113" s="41">
        <v>353.0</v>
      </c>
      <c r="J113" s="43">
        <v>281.28</v>
      </c>
      <c r="K113" s="43">
        <v>259.14</v>
      </c>
      <c r="L113" s="43">
        <v>99291.84</v>
      </c>
      <c r="M113" s="43">
        <v>91476.42</v>
      </c>
      <c r="N113" s="43">
        <v>7815.419999999998</v>
      </c>
      <c r="O113" s="44">
        <v>0.07871160409556313</v>
      </c>
    </row>
    <row r="114" ht="22.5" customHeight="1">
      <c r="B114" s="41" t="s">
        <v>140</v>
      </c>
      <c r="C114" s="41" t="s">
        <v>20</v>
      </c>
      <c r="D114" s="41" t="s">
        <v>21</v>
      </c>
      <c r="E114" s="41" t="s">
        <v>46</v>
      </c>
      <c r="F114" s="41" t="s">
        <v>27</v>
      </c>
      <c r="G114" s="41" t="s">
        <v>23</v>
      </c>
      <c r="H114" s="42">
        <v>45034.0</v>
      </c>
      <c r="I114" s="41">
        <v>374.0</v>
      </c>
      <c r="J114" s="43">
        <v>272.25</v>
      </c>
      <c r="K114" s="43">
        <v>200.73</v>
      </c>
      <c r="L114" s="43">
        <v>101821.5</v>
      </c>
      <c r="M114" s="43">
        <v>75073.01999999999</v>
      </c>
      <c r="N114" s="43">
        <v>26748.48000000001</v>
      </c>
      <c r="O114" s="44">
        <v>0.26269972451790646</v>
      </c>
    </row>
    <row r="115" ht="22.5" customHeight="1">
      <c r="B115" s="41" t="s">
        <v>141</v>
      </c>
      <c r="C115" s="41" t="s">
        <v>52</v>
      </c>
      <c r="D115" s="41" t="s">
        <v>21</v>
      </c>
      <c r="E115" s="41" t="s">
        <v>16</v>
      </c>
      <c r="F115" s="41" t="s">
        <v>27</v>
      </c>
      <c r="G115" s="41" t="s">
        <v>23</v>
      </c>
      <c r="H115" s="42">
        <v>45035.0</v>
      </c>
      <c r="I115" s="41">
        <v>172.0</v>
      </c>
      <c r="J115" s="43">
        <v>21.92</v>
      </c>
      <c r="K115" s="43">
        <v>107.88</v>
      </c>
      <c r="L115" s="43">
        <v>3770.2400000000002</v>
      </c>
      <c r="M115" s="43">
        <v>18555.36</v>
      </c>
      <c r="N115" s="43">
        <v>-14785.12</v>
      </c>
      <c r="O115" s="44">
        <v>-3.9215328467153285</v>
      </c>
    </row>
    <row r="116" ht="22.5" customHeight="1">
      <c r="B116" s="41" t="s">
        <v>142</v>
      </c>
      <c r="C116" s="41" t="s">
        <v>14</v>
      </c>
      <c r="D116" s="41" t="s">
        <v>34</v>
      </c>
      <c r="E116" s="41" t="s">
        <v>16</v>
      </c>
      <c r="F116" s="41" t="s">
        <v>27</v>
      </c>
      <c r="G116" s="41" t="s">
        <v>31</v>
      </c>
      <c r="H116" s="42">
        <v>45036.0</v>
      </c>
      <c r="I116" s="41">
        <v>335.0</v>
      </c>
      <c r="J116" s="43">
        <v>493.41</v>
      </c>
      <c r="K116" s="43">
        <v>61.4</v>
      </c>
      <c r="L116" s="43">
        <v>165292.35</v>
      </c>
      <c r="M116" s="43">
        <v>20569.0</v>
      </c>
      <c r="N116" s="43">
        <v>144723.35</v>
      </c>
      <c r="O116" s="44">
        <v>0.875559879207961</v>
      </c>
    </row>
    <row r="117" ht="22.5" customHeight="1">
      <c r="B117" s="41" t="s">
        <v>143</v>
      </c>
      <c r="C117" s="41" t="s">
        <v>20</v>
      </c>
      <c r="D117" s="41" t="s">
        <v>54</v>
      </c>
      <c r="E117" s="41" t="s">
        <v>26</v>
      </c>
      <c r="F117" s="41" t="s">
        <v>17</v>
      </c>
      <c r="G117" s="41" t="s">
        <v>31</v>
      </c>
      <c r="H117" s="42">
        <v>45037.0</v>
      </c>
      <c r="I117" s="41">
        <v>476.0</v>
      </c>
      <c r="J117" s="43">
        <v>65.87</v>
      </c>
      <c r="K117" s="43">
        <v>52.63</v>
      </c>
      <c r="L117" s="43">
        <v>31354.120000000003</v>
      </c>
      <c r="M117" s="43">
        <v>25051.88</v>
      </c>
      <c r="N117" s="43">
        <v>6302.240000000002</v>
      </c>
      <c r="O117" s="44">
        <v>0.2010019735843328</v>
      </c>
    </row>
    <row r="118" ht="22.5" customHeight="1">
      <c r="B118" s="41" t="s">
        <v>144</v>
      </c>
      <c r="C118" s="41" t="s">
        <v>14</v>
      </c>
      <c r="D118" s="41" t="s">
        <v>29</v>
      </c>
      <c r="E118" s="41" t="s">
        <v>16</v>
      </c>
      <c r="F118" s="41" t="s">
        <v>17</v>
      </c>
      <c r="G118" s="41" t="s">
        <v>18</v>
      </c>
      <c r="H118" s="42">
        <v>45038.0</v>
      </c>
      <c r="I118" s="41">
        <v>423.0</v>
      </c>
      <c r="J118" s="43">
        <v>119.41</v>
      </c>
      <c r="K118" s="43">
        <v>346.13</v>
      </c>
      <c r="L118" s="43">
        <v>50510.43</v>
      </c>
      <c r="M118" s="43">
        <v>146412.99</v>
      </c>
      <c r="N118" s="43">
        <v>-95902.56</v>
      </c>
      <c r="O118" s="44">
        <v>-1.8986684532283729</v>
      </c>
    </row>
    <row r="119" ht="22.5" customHeight="1">
      <c r="B119" s="41" t="s">
        <v>145</v>
      </c>
      <c r="C119" s="41" t="s">
        <v>20</v>
      </c>
      <c r="D119" s="41" t="s">
        <v>29</v>
      </c>
      <c r="E119" s="41" t="s">
        <v>16</v>
      </c>
      <c r="F119" s="41" t="s">
        <v>17</v>
      </c>
      <c r="G119" s="41" t="s">
        <v>18</v>
      </c>
      <c r="H119" s="42">
        <v>45039.0</v>
      </c>
      <c r="I119" s="41">
        <v>464.0</v>
      </c>
      <c r="J119" s="43">
        <v>30.59</v>
      </c>
      <c r="K119" s="43">
        <v>98.9</v>
      </c>
      <c r="L119" s="43">
        <v>14193.76</v>
      </c>
      <c r="M119" s="43">
        <v>45889.600000000006</v>
      </c>
      <c r="N119" s="43">
        <v>-31695.840000000004</v>
      </c>
      <c r="O119" s="44">
        <v>-2.2330827067669174</v>
      </c>
    </row>
    <row r="120" ht="22.5" customHeight="1">
      <c r="B120" s="41" t="s">
        <v>146</v>
      </c>
      <c r="C120" s="41" t="s">
        <v>52</v>
      </c>
      <c r="D120" s="41" t="s">
        <v>34</v>
      </c>
      <c r="E120" s="41" t="s">
        <v>16</v>
      </c>
      <c r="F120" s="41" t="s">
        <v>27</v>
      </c>
      <c r="G120" s="41" t="s">
        <v>31</v>
      </c>
      <c r="H120" s="42">
        <v>45040.0</v>
      </c>
      <c r="I120" s="41">
        <v>83.0</v>
      </c>
      <c r="J120" s="43">
        <v>321.8</v>
      </c>
      <c r="K120" s="43">
        <v>261.38</v>
      </c>
      <c r="L120" s="43">
        <v>26709.4</v>
      </c>
      <c r="M120" s="43">
        <v>21694.54</v>
      </c>
      <c r="N120" s="43">
        <v>5014.860000000001</v>
      </c>
      <c r="O120" s="44">
        <v>0.18775637041640772</v>
      </c>
    </row>
    <row r="121" ht="22.5" customHeight="1">
      <c r="B121" s="41" t="s">
        <v>147</v>
      </c>
      <c r="C121" s="41" t="s">
        <v>14</v>
      </c>
      <c r="D121" s="41" t="s">
        <v>29</v>
      </c>
      <c r="E121" s="41" t="s">
        <v>16</v>
      </c>
      <c r="F121" s="41" t="s">
        <v>17</v>
      </c>
      <c r="G121" s="41" t="s">
        <v>23</v>
      </c>
      <c r="H121" s="42">
        <v>45041.0</v>
      </c>
      <c r="I121" s="41">
        <v>242.0</v>
      </c>
      <c r="J121" s="43">
        <v>116.23</v>
      </c>
      <c r="K121" s="43">
        <v>324.65</v>
      </c>
      <c r="L121" s="43">
        <v>28127.66</v>
      </c>
      <c r="M121" s="43">
        <v>78565.29999999999</v>
      </c>
      <c r="N121" s="43">
        <v>-50437.639999999985</v>
      </c>
      <c r="O121" s="44">
        <v>-1.7931687171986572</v>
      </c>
    </row>
    <row r="122" ht="22.5" customHeight="1">
      <c r="B122" s="41" t="s">
        <v>148</v>
      </c>
      <c r="C122" s="41" t="s">
        <v>20</v>
      </c>
      <c r="D122" s="41" t="s">
        <v>21</v>
      </c>
      <c r="E122" s="41" t="s">
        <v>30</v>
      </c>
      <c r="F122" s="41" t="s">
        <v>27</v>
      </c>
      <c r="G122" s="41" t="s">
        <v>23</v>
      </c>
      <c r="H122" s="42">
        <v>45042.0</v>
      </c>
      <c r="I122" s="41">
        <v>233.0</v>
      </c>
      <c r="J122" s="43">
        <v>94.11</v>
      </c>
      <c r="K122" s="43">
        <v>246.4</v>
      </c>
      <c r="L122" s="43">
        <v>21927.63</v>
      </c>
      <c r="M122" s="43">
        <v>57411.200000000004</v>
      </c>
      <c r="N122" s="43">
        <v>-35483.57000000001</v>
      </c>
      <c r="O122" s="44">
        <v>-1.6182127297842952</v>
      </c>
    </row>
    <row r="123" ht="22.5" customHeight="1">
      <c r="B123" s="41" t="s">
        <v>149</v>
      </c>
      <c r="C123" s="41" t="s">
        <v>25</v>
      </c>
      <c r="D123" s="41" t="s">
        <v>54</v>
      </c>
      <c r="E123" s="41" t="s">
        <v>30</v>
      </c>
      <c r="F123" s="41" t="s">
        <v>27</v>
      </c>
      <c r="G123" s="41" t="s">
        <v>23</v>
      </c>
      <c r="H123" s="42">
        <v>45043.0</v>
      </c>
      <c r="I123" s="41">
        <v>491.0</v>
      </c>
      <c r="J123" s="43">
        <v>48.84</v>
      </c>
      <c r="K123" s="43">
        <v>344.11</v>
      </c>
      <c r="L123" s="43">
        <v>23980.440000000002</v>
      </c>
      <c r="M123" s="43">
        <v>168958.01</v>
      </c>
      <c r="N123" s="43">
        <v>-144977.57</v>
      </c>
      <c r="O123" s="44">
        <v>-6.045659295659295</v>
      </c>
    </row>
    <row r="124" ht="22.5" customHeight="1">
      <c r="B124" s="41" t="s">
        <v>150</v>
      </c>
      <c r="C124" s="41" t="s">
        <v>39</v>
      </c>
      <c r="D124" s="41" t="s">
        <v>15</v>
      </c>
      <c r="E124" s="41" t="s">
        <v>26</v>
      </c>
      <c r="F124" s="41" t="s">
        <v>27</v>
      </c>
      <c r="G124" s="41" t="s">
        <v>23</v>
      </c>
      <c r="H124" s="42">
        <v>45044.0</v>
      </c>
      <c r="I124" s="41">
        <v>328.0</v>
      </c>
      <c r="J124" s="43">
        <v>56.14</v>
      </c>
      <c r="K124" s="43">
        <v>158.17</v>
      </c>
      <c r="L124" s="43">
        <v>18413.920000000002</v>
      </c>
      <c r="M124" s="43">
        <v>51879.759999999995</v>
      </c>
      <c r="N124" s="43">
        <v>-33465.84</v>
      </c>
      <c r="O124" s="44">
        <v>-1.8174207338795865</v>
      </c>
    </row>
    <row r="125" ht="22.5" customHeight="1">
      <c r="B125" s="41" t="s">
        <v>151</v>
      </c>
      <c r="C125" s="41" t="s">
        <v>20</v>
      </c>
      <c r="D125" s="41" t="s">
        <v>29</v>
      </c>
      <c r="E125" s="41" t="s">
        <v>46</v>
      </c>
      <c r="F125" s="41" t="s">
        <v>27</v>
      </c>
      <c r="G125" s="41" t="s">
        <v>18</v>
      </c>
      <c r="H125" s="42">
        <v>45045.0</v>
      </c>
      <c r="I125" s="41">
        <v>421.0</v>
      </c>
      <c r="J125" s="43">
        <v>294.41</v>
      </c>
      <c r="K125" s="43">
        <v>382.58</v>
      </c>
      <c r="L125" s="43">
        <v>123946.61000000002</v>
      </c>
      <c r="M125" s="43">
        <v>161066.18</v>
      </c>
      <c r="N125" s="43">
        <v>-37119.56999999998</v>
      </c>
      <c r="O125" s="44">
        <v>-0.29948031656533386</v>
      </c>
    </row>
    <row r="126" ht="22.5" customHeight="1">
      <c r="B126" s="41" t="s">
        <v>152</v>
      </c>
      <c r="C126" s="41" t="s">
        <v>25</v>
      </c>
      <c r="D126" s="41" t="s">
        <v>21</v>
      </c>
      <c r="E126" s="41" t="s">
        <v>16</v>
      </c>
      <c r="F126" s="41" t="s">
        <v>27</v>
      </c>
      <c r="G126" s="41" t="s">
        <v>31</v>
      </c>
      <c r="H126" s="42">
        <v>45046.0</v>
      </c>
      <c r="I126" s="41">
        <v>69.0</v>
      </c>
      <c r="J126" s="43">
        <v>345.66</v>
      </c>
      <c r="K126" s="43">
        <v>54.99</v>
      </c>
      <c r="L126" s="43">
        <v>23850.54</v>
      </c>
      <c r="M126" s="43">
        <v>3794.31</v>
      </c>
      <c r="N126" s="43">
        <v>20056.23</v>
      </c>
      <c r="O126" s="44">
        <v>0.8409130359312619</v>
      </c>
    </row>
    <row r="127" ht="22.5" customHeight="1">
      <c r="B127" s="41" t="s">
        <v>153</v>
      </c>
      <c r="C127" s="41" t="s">
        <v>20</v>
      </c>
      <c r="D127" s="41" t="s">
        <v>15</v>
      </c>
      <c r="E127" s="41" t="s">
        <v>46</v>
      </c>
      <c r="F127" s="41" t="s">
        <v>27</v>
      </c>
      <c r="G127" s="41" t="s">
        <v>23</v>
      </c>
      <c r="H127" s="42">
        <v>45047.0</v>
      </c>
      <c r="I127" s="41">
        <v>344.0</v>
      </c>
      <c r="J127" s="43">
        <v>201.7</v>
      </c>
      <c r="K127" s="43">
        <v>42.66</v>
      </c>
      <c r="L127" s="43">
        <v>69384.8</v>
      </c>
      <c r="M127" s="43">
        <v>14675.039999999999</v>
      </c>
      <c r="N127" s="43">
        <v>54709.76</v>
      </c>
      <c r="O127" s="44">
        <v>0.7884977689638076</v>
      </c>
    </row>
    <row r="128" ht="22.5" customHeight="1">
      <c r="B128" s="41" t="s">
        <v>154</v>
      </c>
      <c r="C128" s="41" t="s">
        <v>39</v>
      </c>
      <c r="D128" s="41" t="s">
        <v>54</v>
      </c>
      <c r="E128" s="41" t="s">
        <v>46</v>
      </c>
      <c r="F128" s="41" t="s">
        <v>17</v>
      </c>
      <c r="G128" s="41" t="s">
        <v>18</v>
      </c>
      <c r="H128" s="42">
        <v>45048.0</v>
      </c>
      <c r="I128" s="41">
        <v>231.0</v>
      </c>
      <c r="J128" s="43">
        <v>242.55</v>
      </c>
      <c r="K128" s="43">
        <v>264.16</v>
      </c>
      <c r="L128" s="43">
        <v>56029.05</v>
      </c>
      <c r="M128" s="43">
        <v>61020.96000000001</v>
      </c>
      <c r="N128" s="43">
        <v>-4991.9100000000035</v>
      </c>
      <c r="O128" s="44">
        <v>-0.08909503195217487</v>
      </c>
    </row>
    <row r="129" ht="22.5" customHeight="1">
      <c r="B129" s="41" t="s">
        <v>155</v>
      </c>
      <c r="C129" s="41" t="s">
        <v>52</v>
      </c>
      <c r="D129" s="41" t="s">
        <v>15</v>
      </c>
      <c r="E129" s="41" t="s">
        <v>26</v>
      </c>
      <c r="F129" s="41" t="s">
        <v>17</v>
      </c>
      <c r="G129" s="41" t="s">
        <v>23</v>
      </c>
      <c r="H129" s="42">
        <v>45049.0</v>
      </c>
      <c r="I129" s="41">
        <v>46.0</v>
      </c>
      <c r="J129" s="43">
        <v>344.55</v>
      </c>
      <c r="K129" s="43">
        <v>377.25</v>
      </c>
      <c r="L129" s="43">
        <v>15849.300000000001</v>
      </c>
      <c r="M129" s="43">
        <v>17353.5</v>
      </c>
      <c r="N129" s="43">
        <v>-1504.199999999999</v>
      </c>
      <c r="O129" s="44">
        <v>-0.09490639965171956</v>
      </c>
    </row>
    <row r="130" ht="22.5" customHeight="1">
      <c r="B130" s="41" t="s">
        <v>156</v>
      </c>
      <c r="C130" s="41" t="s">
        <v>14</v>
      </c>
      <c r="D130" s="41" t="s">
        <v>21</v>
      </c>
      <c r="E130" s="41" t="s">
        <v>16</v>
      </c>
      <c r="F130" s="41" t="s">
        <v>27</v>
      </c>
      <c r="G130" s="41" t="s">
        <v>31</v>
      </c>
      <c r="H130" s="42">
        <v>45050.0</v>
      </c>
      <c r="I130" s="41">
        <v>486.0</v>
      </c>
      <c r="J130" s="43">
        <v>13.6</v>
      </c>
      <c r="K130" s="43">
        <v>323.94</v>
      </c>
      <c r="L130" s="43">
        <v>6609.599999999999</v>
      </c>
      <c r="M130" s="43">
        <v>157434.84</v>
      </c>
      <c r="N130" s="43">
        <v>-150825.24</v>
      </c>
      <c r="O130" s="44">
        <v>-22.819117647058825</v>
      </c>
    </row>
    <row r="131" ht="22.5" customHeight="1">
      <c r="B131" s="41" t="s">
        <v>157</v>
      </c>
      <c r="C131" s="41" t="s">
        <v>25</v>
      </c>
      <c r="D131" s="41" t="s">
        <v>15</v>
      </c>
      <c r="E131" s="41" t="s">
        <v>16</v>
      </c>
      <c r="F131" s="41" t="s">
        <v>27</v>
      </c>
      <c r="G131" s="41" t="s">
        <v>18</v>
      </c>
      <c r="H131" s="42">
        <v>45051.0</v>
      </c>
      <c r="I131" s="41">
        <v>287.0</v>
      </c>
      <c r="J131" s="43">
        <v>164.95</v>
      </c>
      <c r="K131" s="43">
        <v>32.41</v>
      </c>
      <c r="L131" s="43">
        <v>47340.649999999994</v>
      </c>
      <c r="M131" s="43">
        <v>9301.669999999998</v>
      </c>
      <c r="N131" s="43">
        <v>38038.979999999996</v>
      </c>
      <c r="O131" s="44">
        <v>0.8035162170354653</v>
      </c>
    </row>
    <row r="132" ht="22.5" customHeight="1">
      <c r="B132" s="41" t="s">
        <v>158</v>
      </c>
      <c r="C132" s="41" t="s">
        <v>20</v>
      </c>
      <c r="D132" s="41" t="s">
        <v>34</v>
      </c>
      <c r="E132" s="41" t="s">
        <v>22</v>
      </c>
      <c r="F132" s="41" t="s">
        <v>17</v>
      </c>
      <c r="G132" s="41" t="s">
        <v>31</v>
      </c>
      <c r="H132" s="42">
        <v>45052.0</v>
      </c>
      <c r="I132" s="41">
        <v>205.0</v>
      </c>
      <c r="J132" s="43">
        <v>486.68</v>
      </c>
      <c r="K132" s="43">
        <v>113.19</v>
      </c>
      <c r="L132" s="43">
        <v>99769.4</v>
      </c>
      <c r="M132" s="43">
        <v>23203.95</v>
      </c>
      <c r="N132" s="43">
        <v>76565.45</v>
      </c>
      <c r="O132" s="44">
        <v>0.7674241801594477</v>
      </c>
    </row>
    <row r="133" ht="22.5" customHeight="1">
      <c r="B133" s="41" t="s">
        <v>159</v>
      </c>
      <c r="C133" s="41" t="s">
        <v>52</v>
      </c>
      <c r="D133" s="41" t="s">
        <v>15</v>
      </c>
      <c r="E133" s="41" t="s">
        <v>46</v>
      </c>
      <c r="F133" s="41" t="s">
        <v>27</v>
      </c>
      <c r="G133" s="41" t="s">
        <v>31</v>
      </c>
      <c r="H133" s="42">
        <v>45053.0</v>
      </c>
      <c r="I133" s="41">
        <v>413.0</v>
      </c>
      <c r="J133" s="43">
        <v>292.16</v>
      </c>
      <c r="K133" s="43">
        <v>372.27</v>
      </c>
      <c r="L133" s="43">
        <v>120662.08000000002</v>
      </c>
      <c r="M133" s="43">
        <v>153747.50999999998</v>
      </c>
      <c r="N133" s="43">
        <v>-33085.429999999964</v>
      </c>
      <c r="O133" s="44">
        <v>-0.27419906900328556</v>
      </c>
    </row>
    <row r="134" ht="22.5" customHeight="1">
      <c r="B134" s="41" t="s">
        <v>160</v>
      </c>
      <c r="C134" s="41" t="s">
        <v>25</v>
      </c>
      <c r="D134" s="41" t="s">
        <v>29</v>
      </c>
      <c r="E134" s="41" t="s">
        <v>46</v>
      </c>
      <c r="F134" s="41" t="s">
        <v>27</v>
      </c>
      <c r="G134" s="41" t="s">
        <v>18</v>
      </c>
      <c r="H134" s="42">
        <v>45054.0</v>
      </c>
      <c r="I134" s="41">
        <v>361.0</v>
      </c>
      <c r="J134" s="43">
        <v>130.84</v>
      </c>
      <c r="K134" s="43">
        <v>102.72</v>
      </c>
      <c r="L134" s="43">
        <v>47233.24</v>
      </c>
      <c r="M134" s="43">
        <v>37081.92</v>
      </c>
      <c r="N134" s="43">
        <v>10151.32</v>
      </c>
      <c r="O134" s="44">
        <v>0.2149189850198716</v>
      </c>
    </row>
    <row r="135" ht="22.5" customHeight="1">
      <c r="B135" s="41" t="s">
        <v>161</v>
      </c>
      <c r="C135" s="41" t="s">
        <v>20</v>
      </c>
      <c r="D135" s="41" t="s">
        <v>29</v>
      </c>
      <c r="E135" s="41" t="s">
        <v>30</v>
      </c>
      <c r="F135" s="41" t="s">
        <v>17</v>
      </c>
      <c r="G135" s="41" t="s">
        <v>18</v>
      </c>
      <c r="H135" s="42">
        <v>45055.0</v>
      </c>
      <c r="I135" s="41">
        <v>493.0</v>
      </c>
      <c r="J135" s="43">
        <v>263.26</v>
      </c>
      <c r="K135" s="43">
        <v>312.91</v>
      </c>
      <c r="L135" s="43">
        <v>129787.18</v>
      </c>
      <c r="M135" s="43">
        <v>154264.63</v>
      </c>
      <c r="N135" s="43">
        <v>-24477.45000000001</v>
      </c>
      <c r="O135" s="44">
        <v>-0.18859682443212045</v>
      </c>
    </row>
    <row r="136" ht="22.5" customHeight="1">
      <c r="B136" s="41" t="s">
        <v>162</v>
      </c>
      <c r="C136" s="41" t="s">
        <v>20</v>
      </c>
      <c r="D136" s="41" t="s">
        <v>34</v>
      </c>
      <c r="E136" s="41" t="s">
        <v>22</v>
      </c>
      <c r="F136" s="41" t="s">
        <v>27</v>
      </c>
      <c r="G136" s="41" t="s">
        <v>18</v>
      </c>
      <c r="H136" s="42">
        <v>45056.0</v>
      </c>
      <c r="I136" s="41">
        <v>251.0</v>
      </c>
      <c r="J136" s="43">
        <v>174.61</v>
      </c>
      <c r="K136" s="43">
        <v>330.4</v>
      </c>
      <c r="L136" s="43">
        <v>43827.11</v>
      </c>
      <c r="M136" s="43">
        <v>82930.4</v>
      </c>
      <c r="N136" s="43">
        <v>-39103.28999999999</v>
      </c>
      <c r="O136" s="44">
        <v>-0.8922169406105033</v>
      </c>
    </row>
    <row r="137" ht="22.5" customHeight="1">
      <c r="B137" s="41" t="s">
        <v>163</v>
      </c>
      <c r="C137" s="41" t="s">
        <v>20</v>
      </c>
      <c r="D137" s="41" t="s">
        <v>21</v>
      </c>
      <c r="E137" s="41" t="s">
        <v>30</v>
      </c>
      <c r="F137" s="41" t="s">
        <v>27</v>
      </c>
      <c r="G137" s="41" t="s">
        <v>18</v>
      </c>
      <c r="H137" s="42">
        <v>45057.0</v>
      </c>
      <c r="I137" s="45">
        <v>255.9029411764706</v>
      </c>
      <c r="J137" s="43">
        <v>268.46</v>
      </c>
      <c r="K137" s="43">
        <v>199.19</v>
      </c>
      <c r="L137" s="43">
        <v>68699.7035882353</v>
      </c>
      <c r="M137" s="43">
        <v>50973.306852941176</v>
      </c>
      <c r="N137" s="43">
        <v>17726.396735294118</v>
      </c>
      <c r="O137" s="44">
        <v>0.25802726663190045</v>
      </c>
    </row>
    <row r="138" ht="22.5" customHeight="1">
      <c r="B138" s="41" t="s">
        <v>164</v>
      </c>
      <c r="C138" s="41" t="s">
        <v>25</v>
      </c>
      <c r="D138" s="41" t="s">
        <v>29</v>
      </c>
      <c r="E138" s="41" t="s">
        <v>30</v>
      </c>
      <c r="F138" s="41" t="s">
        <v>27</v>
      </c>
      <c r="G138" s="41" t="s">
        <v>18</v>
      </c>
      <c r="H138" s="42">
        <v>45058.0</v>
      </c>
      <c r="I138" s="41">
        <v>228.0</v>
      </c>
      <c r="J138" s="43">
        <v>67.24</v>
      </c>
      <c r="K138" s="43">
        <v>155.77</v>
      </c>
      <c r="L138" s="43">
        <v>15330.72</v>
      </c>
      <c r="M138" s="43">
        <v>35515.560000000005</v>
      </c>
      <c r="N138" s="43">
        <v>-20184.840000000004</v>
      </c>
      <c r="O138" s="44">
        <v>-1.3166270077334923</v>
      </c>
    </row>
    <row r="139" ht="22.5" customHeight="1">
      <c r="B139" s="41" t="s">
        <v>165</v>
      </c>
      <c r="C139" s="41" t="s">
        <v>25</v>
      </c>
      <c r="D139" s="41" t="s">
        <v>54</v>
      </c>
      <c r="E139" s="41" t="s">
        <v>30</v>
      </c>
      <c r="F139" s="41" t="s">
        <v>17</v>
      </c>
      <c r="G139" s="41" t="s">
        <v>18</v>
      </c>
      <c r="H139" s="42">
        <v>45059.0</v>
      </c>
      <c r="I139" s="41">
        <v>201.0</v>
      </c>
      <c r="J139" s="43">
        <v>70.69</v>
      </c>
      <c r="K139" s="43">
        <v>181.15</v>
      </c>
      <c r="L139" s="43">
        <v>14208.689999999999</v>
      </c>
      <c r="M139" s="43">
        <v>36411.15</v>
      </c>
      <c r="N139" s="43">
        <v>-22202.460000000003</v>
      </c>
      <c r="O139" s="44">
        <v>-1.5625972556231436</v>
      </c>
    </row>
    <row r="140" ht="22.5" customHeight="1">
      <c r="B140" s="41" t="s">
        <v>166</v>
      </c>
      <c r="C140" s="41" t="s">
        <v>25</v>
      </c>
      <c r="D140" s="41" t="s">
        <v>29</v>
      </c>
      <c r="E140" s="41" t="s">
        <v>26</v>
      </c>
      <c r="F140" s="41" t="s">
        <v>17</v>
      </c>
      <c r="G140" s="41" t="s">
        <v>18</v>
      </c>
      <c r="H140" s="42">
        <v>45060.0</v>
      </c>
      <c r="I140" s="41">
        <v>26.0</v>
      </c>
      <c r="J140" s="43">
        <v>76.05</v>
      </c>
      <c r="K140" s="43">
        <v>92.33</v>
      </c>
      <c r="L140" s="43">
        <v>1977.3</v>
      </c>
      <c r="M140" s="43">
        <v>2400.58</v>
      </c>
      <c r="N140" s="43">
        <v>-423.28</v>
      </c>
      <c r="O140" s="44">
        <v>-0.2140696909927679</v>
      </c>
    </row>
    <row r="141" ht="22.5" customHeight="1">
      <c r="B141" s="41" t="s">
        <v>167</v>
      </c>
      <c r="C141" s="41" t="s">
        <v>14</v>
      </c>
      <c r="D141" s="41" t="s">
        <v>29</v>
      </c>
      <c r="E141" s="41" t="s">
        <v>26</v>
      </c>
      <c r="F141" s="41" t="s">
        <v>17</v>
      </c>
      <c r="G141" s="41" t="s">
        <v>23</v>
      </c>
      <c r="H141" s="42">
        <v>45061.0</v>
      </c>
      <c r="I141" s="41">
        <v>21.0</v>
      </c>
      <c r="J141" s="43">
        <v>470.21</v>
      </c>
      <c r="K141" s="43">
        <v>355.98</v>
      </c>
      <c r="L141" s="43">
        <v>9874.41</v>
      </c>
      <c r="M141" s="43">
        <v>7475.58</v>
      </c>
      <c r="N141" s="43">
        <v>2398.83</v>
      </c>
      <c r="O141" s="44">
        <v>0.24293400820909805</v>
      </c>
    </row>
    <row r="142" ht="22.5" customHeight="1">
      <c r="B142" s="41" t="s">
        <v>168</v>
      </c>
      <c r="C142" s="41" t="s">
        <v>25</v>
      </c>
      <c r="D142" s="41" t="s">
        <v>21</v>
      </c>
      <c r="E142" s="41" t="s">
        <v>30</v>
      </c>
      <c r="F142" s="41" t="s">
        <v>27</v>
      </c>
      <c r="G142" s="41" t="s">
        <v>31</v>
      </c>
      <c r="H142" s="42">
        <v>45062.0</v>
      </c>
      <c r="I142" s="41">
        <v>415.0</v>
      </c>
      <c r="J142" s="43">
        <v>367.78</v>
      </c>
      <c r="K142" s="43">
        <v>181.35</v>
      </c>
      <c r="L142" s="43">
        <v>152628.69999999998</v>
      </c>
      <c r="M142" s="43">
        <v>75260.25</v>
      </c>
      <c r="N142" s="43">
        <v>77368.44999999998</v>
      </c>
      <c r="O142" s="44">
        <v>0.5069063026809505</v>
      </c>
    </row>
    <row r="143" ht="22.5" customHeight="1">
      <c r="B143" s="41" t="s">
        <v>169</v>
      </c>
      <c r="C143" s="41" t="s">
        <v>25</v>
      </c>
      <c r="D143" s="41" t="s">
        <v>15</v>
      </c>
      <c r="E143" s="41" t="s">
        <v>22</v>
      </c>
      <c r="F143" s="41" t="s">
        <v>27</v>
      </c>
      <c r="G143" s="41" t="s">
        <v>18</v>
      </c>
      <c r="H143" s="42">
        <v>45063.0</v>
      </c>
      <c r="I143" s="41">
        <v>410.0</v>
      </c>
      <c r="J143" s="43">
        <v>85.38</v>
      </c>
      <c r="K143" s="43">
        <v>353.22</v>
      </c>
      <c r="L143" s="43">
        <v>35005.799999999996</v>
      </c>
      <c r="M143" s="43">
        <v>144820.2</v>
      </c>
      <c r="N143" s="43">
        <v>-109814.40000000002</v>
      </c>
      <c r="O143" s="44">
        <v>-3.1370344342937466</v>
      </c>
    </row>
    <row r="144" ht="22.5" customHeight="1">
      <c r="B144" s="41" t="s">
        <v>170</v>
      </c>
      <c r="C144" s="41" t="s">
        <v>25</v>
      </c>
      <c r="D144" s="41" t="s">
        <v>29</v>
      </c>
      <c r="E144" s="41" t="s">
        <v>46</v>
      </c>
      <c r="F144" s="41" t="s">
        <v>17</v>
      </c>
      <c r="G144" s="41" t="s">
        <v>23</v>
      </c>
      <c r="H144" s="42">
        <v>45064.0</v>
      </c>
      <c r="I144" s="41">
        <v>403.0</v>
      </c>
      <c r="J144" s="43">
        <v>98.23</v>
      </c>
      <c r="K144" s="43">
        <v>44.07</v>
      </c>
      <c r="L144" s="43">
        <v>39586.69</v>
      </c>
      <c r="M144" s="43">
        <v>17760.21</v>
      </c>
      <c r="N144" s="43">
        <v>21826.480000000003</v>
      </c>
      <c r="O144" s="44">
        <v>0.5513590552784282</v>
      </c>
    </row>
    <row r="145" ht="22.5" customHeight="1">
      <c r="B145" s="41" t="s">
        <v>171</v>
      </c>
      <c r="C145" s="41" t="s">
        <v>14</v>
      </c>
      <c r="D145" s="41" t="s">
        <v>34</v>
      </c>
      <c r="E145" s="41" t="s">
        <v>22</v>
      </c>
      <c r="F145" s="41" t="s">
        <v>27</v>
      </c>
      <c r="G145" s="41" t="s">
        <v>23</v>
      </c>
      <c r="H145" s="42">
        <v>45065.0</v>
      </c>
      <c r="I145" s="41">
        <v>383.0</v>
      </c>
      <c r="J145" s="43">
        <v>366.76</v>
      </c>
      <c r="K145" s="43">
        <v>395.33</v>
      </c>
      <c r="L145" s="43">
        <v>140469.08</v>
      </c>
      <c r="M145" s="43">
        <v>151411.38999999998</v>
      </c>
      <c r="N145" s="43">
        <v>-10942.309999999998</v>
      </c>
      <c r="O145" s="44">
        <v>-0.0778983531464718</v>
      </c>
    </row>
    <row r="146" ht="22.5" customHeight="1">
      <c r="B146" s="41" t="s">
        <v>172</v>
      </c>
      <c r="C146" s="41" t="s">
        <v>25</v>
      </c>
      <c r="D146" s="41" t="s">
        <v>15</v>
      </c>
      <c r="E146" s="41" t="s">
        <v>16</v>
      </c>
      <c r="F146" s="41" t="s">
        <v>27</v>
      </c>
      <c r="G146" s="41" t="s">
        <v>23</v>
      </c>
      <c r="H146" s="42">
        <v>45066.0</v>
      </c>
      <c r="I146" s="41">
        <v>202.0</v>
      </c>
      <c r="J146" s="43">
        <v>82.3</v>
      </c>
      <c r="K146" s="43">
        <v>178.42</v>
      </c>
      <c r="L146" s="43">
        <v>16624.6</v>
      </c>
      <c r="M146" s="43">
        <v>36040.84</v>
      </c>
      <c r="N146" s="43">
        <v>-19416.239999999998</v>
      </c>
      <c r="O146" s="44">
        <v>-1.1679222357229648</v>
      </c>
    </row>
    <row r="147" ht="22.5" customHeight="1">
      <c r="B147" s="41" t="s">
        <v>173</v>
      </c>
      <c r="C147" s="41" t="s">
        <v>20</v>
      </c>
      <c r="D147" s="41" t="s">
        <v>54</v>
      </c>
      <c r="E147" s="41" t="s">
        <v>26</v>
      </c>
      <c r="F147" s="41" t="s">
        <v>27</v>
      </c>
      <c r="G147" s="41" t="s">
        <v>31</v>
      </c>
      <c r="H147" s="42">
        <v>45067.0</v>
      </c>
      <c r="I147" s="41">
        <v>31.0</v>
      </c>
      <c r="J147" s="43">
        <v>121.11</v>
      </c>
      <c r="K147" s="43">
        <v>21.04</v>
      </c>
      <c r="L147" s="43">
        <v>3754.41</v>
      </c>
      <c r="M147" s="43">
        <v>652.24</v>
      </c>
      <c r="N147" s="43">
        <v>3102.17</v>
      </c>
      <c r="O147" s="44">
        <v>0.8262736355379408</v>
      </c>
    </row>
    <row r="148" ht="22.5" customHeight="1">
      <c r="B148" s="41" t="s">
        <v>174</v>
      </c>
      <c r="C148" s="41" t="s">
        <v>25</v>
      </c>
      <c r="D148" s="41" t="s">
        <v>21</v>
      </c>
      <c r="E148" s="41" t="s">
        <v>46</v>
      </c>
      <c r="F148" s="41" t="s">
        <v>27</v>
      </c>
      <c r="G148" s="41" t="s">
        <v>18</v>
      </c>
      <c r="H148" s="42">
        <v>45068.0</v>
      </c>
      <c r="I148" s="41">
        <v>483.0</v>
      </c>
      <c r="J148" s="43">
        <v>481.86</v>
      </c>
      <c r="K148" s="43">
        <v>17.13</v>
      </c>
      <c r="L148" s="43">
        <v>232738.38</v>
      </c>
      <c r="M148" s="43">
        <v>8273.789999999999</v>
      </c>
      <c r="N148" s="43">
        <v>224464.59</v>
      </c>
      <c r="O148" s="44">
        <v>0.9644502552608641</v>
      </c>
    </row>
    <row r="149" ht="22.5" customHeight="1">
      <c r="B149" s="41" t="s">
        <v>175</v>
      </c>
      <c r="C149" s="41" t="s">
        <v>20</v>
      </c>
      <c r="D149" s="41" t="s">
        <v>54</v>
      </c>
      <c r="E149" s="41" t="s">
        <v>46</v>
      </c>
      <c r="F149" s="41" t="s">
        <v>27</v>
      </c>
      <c r="G149" s="41" t="s">
        <v>23</v>
      </c>
      <c r="H149" s="42">
        <v>45069.0</v>
      </c>
      <c r="I149" s="41">
        <v>129.0</v>
      </c>
      <c r="J149" s="43">
        <v>131.38</v>
      </c>
      <c r="K149" s="43">
        <v>298.99</v>
      </c>
      <c r="L149" s="43">
        <v>16948.02</v>
      </c>
      <c r="M149" s="43">
        <v>38569.71</v>
      </c>
      <c r="N149" s="43">
        <v>-21621.69</v>
      </c>
      <c r="O149" s="44">
        <v>-1.275764956614401</v>
      </c>
    </row>
    <row r="150" ht="22.5" customHeight="1">
      <c r="B150" s="41" t="s">
        <v>176</v>
      </c>
      <c r="C150" s="41" t="s">
        <v>20</v>
      </c>
      <c r="D150" s="41" t="s">
        <v>15</v>
      </c>
      <c r="E150" s="41" t="s">
        <v>16</v>
      </c>
      <c r="F150" s="41" t="s">
        <v>17</v>
      </c>
      <c r="G150" s="41" t="s">
        <v>31</v>
      </c>
      <c r="H150" s="42">
        <v>45070.0</v>
      </c>
      <c r="I150" s="41">
        <v>219.0</v>
      </c>
      <c r="J150" s="43">
        <v>332.51</v>
      </c>
      <c r="K150" s="43">
        <v>264.3</v>
      </c>
      <c r="L150" s="43">
        <v>72819.69</v>
      </c>
      <c r="M150" s="43">
        <v>57881.700000000004</v>
      </c>
      <c r="N150" s="43">
        <v>14937.989999999998</v>
      </c>
      <c r="O150" s="44">
        <v>0.20513668761841747</v>
      </c>
    </row>
    <row r="151" ht="22.5" customHeight="1">
      <c r="B151" s="41" t="s">
        <v>177</v>
      </c>
      <c r="C151" s="41" t="s">
        <v>20</v>
      </c>
      <c r="D151" s="41" t="s">
        <v>15</v>
      </c>
      <c r="E151" s="41" t="s">
        <v>16</v>
      </c>
      <c r="F151" s="41" t="s">
        <v>27</v>
      </c>
      <c r="G151" s="41" t="s">
        <v>31</v>
      </c>
      <c r="H151" s="42">
        <v>45071.0</v>
      </c>
      <c r="I151" s="41">
        <v>315.0</v>
      </c>
      <c r="J151" s="43">
        <v>489.42</v>
      </c>
      <c r="K151" s="43">
        <v>321.25</v>
      </c>
      <c r="L151" s="43">
        <v>154167.30000000002</v>
      </c>
      <c r="M151" s="43">
        <v>101193.75</v>
      </c>
      <c r="N151" s="43">
        <v>52973.55000000002</v>
      </c>
      <c r="O151" s="44">
        <v>0.3436108046258838</v>
      </c>
    </row>
    <row r="152" ht="22.5" customHeight="1">
      <c r="B152" s="41" t="s">
        <v>178</v>
      </c>
      <c r="C152" s="41" t="s">
        <v>14</v>
      </c>
      <c r="D152" s="41" t="s">
        <v>15</v>
      </c>
      <c r="E152" s="41" t="s">
        <v>30</v>
      </c>
      <c r="F152" s="41" t="s">
        <v>17</v>
      </c>
      <c r="G152" s="41" t="s">
        <v>31</v>
      </c>
      <c r="H152" s="42">
        <v>45072.0</v>
      </c>
      <c r="I152" s="41">
        <v>279.0</v>
      </c>
      <c r="J152" s="43">
        <v>190.28</v>
      </c>
      <c r="K152" s="43">
        <v>43.94</v>
      </c>
      <c r="L152" s="43">
        <v>53088.12</v>
      </c>
      <c r="M152" s="43">
        <v>12259.26</v>
      </c>
      <c r="N152" s="43">
        <v>40828.86</v>
      </c>
      <c r="O152" s="44">
        <v>0.7690771494639478</v>
      </c>
    </row>
    <row r="153" ht="22.5" customHeight="1">
      <c r="B153" s="41" t="s">
        <v>179</v>
      </c>
      <c r="C153" s="41" t="s">
        <v>14</v>
      </c>
      <c r="D153" s="41" t="s">
        <v>54</v>
      </c>
      <c r="E153" s="41" t="s">
        <v>26</v>
      </c>
      <c r="F153" s="41" t="s">
        <v>27</v>
      </c>
      <c r="G153" s="41" t="s">
        <v>23</v>
      </c>
      <c r="H153" s="42">
        <v>45073.0</v>
      </c>
      <c r="I153" s="41">
        <v>201.0</v>
      </c>
      <c r="J153" s="43">
        <v>13.67</v>
      </c>
      <c r="K153" s="43">
        <v>16.16</v>
      </c>
      <c r="L153" s="43">
        <v>2747.67</v>
      </c>
      <c r="M153" s="43">
        <v>3248.16</v>
      </c>
      <c r="N153" s="43">
        <v>-500.4899999999998</v>
      </c>
      <c r="O153" s="44">
        <v>-0.18215069495245054</v>
      </c>
    </row>
    <row r="154" ht="22.5" customHeight="1">
      <c r="B154" s="41" t="s">
        <v>180</v>
      </c>
      <c r="C154" s="41" t="s">
        <v>14</v>
      </c>
      <c r="D154" s="41" t="s">
        <v>15</v>
      </c>
      <c r="E154" s="41" t="s">
        <v>26</v>
      </c>
      <c r="F154" s="41" t="s">
        <v>17</v>
      </c>
      <c r="G154" s="41" t="s">
        <v>18</v>
      </c>
      <c r="H154" s="42">
        <v>45074.0</v>
      </c>
      <c r="I154" s="41">
        <v>184.0</v>
      </c>
      <c r="J154" s="43">
        <v>125.85</v>
      </c>
      <c r="K154" s="43">
        <v>204.41</v>
      </c>
      <c r="L154" s="43">
        <v>23156.399999999998</v>
      </c>
      <c r="M154" s="43">
        <v>37611.44</v>
      </c>
      <c r="N154" s="43">
        <v>-14455.040000000005</v>
      </c>
      <c r="O154" s="44">
        <v>-0.6242352006356776</v>
      </c>
    </row>
    <row r="155" ht="22.5" customHeight="1">
      <c r="B155" s="41" t="s">
        <v>181</v>
      </c>
      <c r="C155" s="41" t="s">
        <v>25</v>
      </c>
      <c r="D155" s="41" t="s">
        <v>54</v>
      </c>
      <c r="E155" s="41" t="s">
        <v>22</v>
      </c>
      <c r="F155" s="41" t="s">
        <v>27</v>
      </c>
      <c r="G155" s="41" t="s">
        <v>23</v>
      </c>
      <c r="H155" s="42">
        <v>45075.0</v>
      </c>
      <c r="I155" s="41">
        <v>294.0</v>
      </c>
      <c r="J155" s="43">
        <v>416.28</v>
      </c>
      <c r="K155" s="43">
        <v>156.26</v>
      </c>
      <c r="L155" s="43">
        <v>122386.31999999999</v>
      </c>
      <c r="M155" s="43">
        <v>45940.439999999995</v>
      </c>
      <c r="N155" s="43">
        <v>76445.88</v>
      </c>
      <c r="O155" s="44">
        <v>0.624627654463342</v>
      </c>
    </row>
    <row r="156" ht="22.5" customHeight="1">
      <c r="B156" s="41" t="s">
        <v>182</v>
      </c>
      <c r="C156" s="41" t="s">
        <v>20</v>
      </c>
      <c r="D156" s="41" t="s">
        <v>15</v>
      </c>
      <c r="E156" s="41" t="s">
        <v>30</v>
      </c>
      <c r="F156" s="41" t="s">
        <v>17</v>
      </c>
      <c r="G156" s="41" t="s">
        <v>23</v>
      </c>
      <c r="H156" s="42">
        <v>45076.0</v>
      </c>
      <c r="I156" s="41">
        <v>213.0</v>
      </c>
      <c r="J156" s="43">
        <v>432.98</v>
      </c>
      <c r="K156" s="43">
        <v>185.85</v>
      </c>
      <c r="L156" s="43">
        <v>92224.74</v>
      </c>
      <c r="M156" s="43">
        <v>39586.049999999996</v>
      </c>
      <c r="N156" s="43">
        <v>52638.69000000001</v>
      </c>
      <c r="O156" s="44">
        <v>0.5707653933207077</v>
      </c>
    </row>
    <row r="157" ht="22.5" customHeight="1">
      <c r="B157" s="41" t="s">
        <v>183</v>
      </c>
      <c r="C157" s="41" t="s">
        <v>14</v>
      </c>
      <c r="D157" s="41" t="s">
        <v>34</v>
      </c>
      <c r="E157" s="41" t="s">
        <v>30</v>
      </c>
      <c r="F157" s="41" t="s">
        <v>27</v>
      </c>
      <c r="G157" s="41" t="s">
        <v>18</v>
      </c>
      <c r="H157" s="42">
        <v>45077.0</v>
      </c>
      <c r="I157" s="41">
        <v>173.0</v>
      </c>
      <c r="J157" s="43">
        <v>385.42</v>
      </c>
      <c r="K157" s="43">
        <v>396.65</v>
      </c>
      <c r="L157" s="43">
        <v>66677.66</v>
      </c>
      <c r="M157" s="43">
        <v>68620.45</v>
      </c>
      <c r="N157" s="43">
        <v>-1942.7899999999936</v>
      </c>
      <c r="O157" s="44">
        <v>-0.02913704530122973</v>
      </c>
    </row>
    <row r="158" ht="22.5" customHeight="1">
      <c r="B158" s="41" t="s">
        <v>184</v>
      </c>
      <c r="C158" s="41" t="s">
        <v>14</v>
      </c>
      <c r="D158" s="41" t="s">
        <v>15</v>
      </c>
      <c r="E158" s="41" t="s">
        <v>30</v>
      </c>
      <c r="F158" s="41" t="s">
        <v>17</v>
      </c>
      <c r="G158" s="41" t="s">
        <v>18</v>
      </c>
      <c r="H158" s="42">
        <v>45078.0</v>
      </c>
      <c r="I158" s="41">
        <v>260.0</v>
      </c>
      <c r="J158" s="43">
        <v>60.99</v>
      </c>
      <c r="K158" s="43">
        <v>388.36</v>
      </c>
      <c r="L158" s="43">
        <v>15857.4</v>
      </c>
      <c r="M158" s="43">
        <v>100973.6</v>
      </c>
      <c r="N158" s="43">
        <v>-85116.20000000001</v>
      </c>
      <c r="O158" s="44">
        <v>-5.36760124610592</v>
      </c>
    </row>
    <row r="159" ht="22.5" customHeight="1">
      <c r="B159" s="41" t="s">
        <v>185</v>
      </c>
      <c r="C159" s="41" t="s">
        <v>25</v>
      </c>
      <c r="D159" s="41" t="s">
        <v>54</v>
      </c>
      <c r="E159" s="41" t="s">
        <v>30</v>
      </c>
      <c r="F159" s="41" t="s">
        <v>27</v>
      </c>
      <c r="G159" s="41" t="s">
        <v>18</v>
      </c>
      <c r="H159" s="42">
        <v>45079.0</v>
      </c>
      <c r="I159" s="41">
        <v>236.0</v>
      </c>
      <c r="J159" s="43">
        <v>398.78</v>
      </c>
      <c r="K159" s="43">
        <v>377.04</v>
      </c>
      <c r="L159" s="43">
        <v>94112.07999999999</v>
      </c>
      <c r="M159" s="43">
        <v>88981.44</v>
      </c>
      <c r="N159" s="43">
        <v>5130.639999999985</v>
      </c>
      <c r="O159" s="44">
        <v>0.05451627463764466</v>
      </c>
    </row>
    <row r="160" ht="22.5" customHeight="1">
      <c r="B160" s="41" t="s">
        <v>186</v>
      </c>
      <c r="C160" s="41" t="s">
        <v>14</v>
      </c>
      <c r="D160" s="41" t="s">
        <v>29</v>
      </c>
      <c r="E160" s="41" t="s">
        <v>26</v>
      </c>
      <c r="F160" s="41" t="s">
        <v>17</v>
      </c>
      <c r="G160" s="41" t="s">
        <v>31</v>
      </c>
      <c r="H160" s="42">
        <v>45080.0</v>
      </c>
      <c r="I160" s="41">
        <v>445.0</v>
      </c>
      <c r="J160" s="43">
        <v>459.75</v>
      </c>
      <c r="K160" s="43">
        <v>313.97</v>
      </c>
      <c r="L160" s="43">
        <v>204588.75</v>
      </c>
      <c r="M160" s="43">
        <v>139716.65000000002</v>
      </c>
      <c r="N160" s="43">
        <v>64872.09999999998</v>
      </c>
      <c r="O160" s="44">
        <v>0.3170853724850461</v>
      </c>
    </row>
    <row r="161" ht="22.5" customHeight="1">
      <c r="B161" s="41" t="s">
        <v>187</v>
      </c>
      <c r="C161" s="41" t="s">
        <v>25</v>
      </c>
      <c r="D161" s="41" t="s">
        <v>15</v>
      </c>
      <c r="E161" s="41" t="s">
        <v>26</v>
      </c>
      <c r="F161" s="41" t="s">
        <v>27</v>
      </c>
      <c r="G161" s="41" t="s">
        <v>18</v>
      </c>
      <c r="H161" s="42">
        <v>45081.0</v>
      </c>
      <c r="I161" s="41">
        <v>390.0</v>
      </c>
      <c r="J161" s="43">
        <v>302.3</v>
      </c>
      <c r="K161" s="43">
        <v>143.23</v>
      </c>
      <c r="L161" s="43">
        <v>117897.0</v>
      </c>
      <c r="M161" s="43">
        <v>55859.7</v>
      </c>
      <c r="N161" s="43">
        <v>62037.3</v>
      </c>
      <c r="O161" s="44">
        <v>0.5261991399272247</v>
      </c>
    </row>
    <row r="162" ht="22.5" customHeight="1">
      <c r="B162" s="41" t="s">
        <v>188</v>
      </c>
      <c r="C162" s="41" t="s">
        <v>52</v>
      </c>
      <c r="D162" s="41" t="s">
        <v>29</v>
      </c>
      <c r="E162" s="41" t="s">
        <v>30</v>
      </c>
      <c r="F162" s="41" t="s">
        <v>17</v>
      </c>
      <c r="G162" s="41" t="s">
        <v>23</v>
      </c>
      <c r="H162" s="42">
        <v>45082.0</v>
      </c>
      <c r="I162" s="41">
        <v>469.0</v>
      </c>
      <c r="J162" s="43">
        <v>470.73</v>
      </c>
      <c r="K162" s="43">
        <v>166.03</v>
      </c>
      <c r="L162" s="43">
        <v>220772.37</v>
      </c>
      <c r="M162" s="43">
        <v>77868.07</v>
      </c>
      <c r="N162" s="43">
        <v>142904.3</v>
      </c>
      <c r="O162" s="44">
        <v>0.647292503133431</v>
      </c>
    </row>
    <row r="163" ht="22.5" customHeight="1">
      <c r="B163" s="41" t="s">
        <v>189</v>
      </c>
      <c r="C163" s="41" t="s">
        <v>14</v>
      </c>
      <c r="D163" s="41" t="s">
        <v>34</v>
      </c>
      <c r="E163" s="41" t="s">
        <v>22</v>
      </c>
      <c r="F163" s="41" t="s">
        <v>17</v>
      </c>
      <c r="G163" s="41" t="s">
        <v>18</v>
      </c>
      <c r="H163" s="42">
        <v>45083.0</v>
      </c>
      <c r="I163" s="41">
        <v>16.0</v>
      </c>
      <c r="J163" s="43">
        <v>249.64520588235297</v>
      </c>
      <c r="K163" s="43">
        <v>220.75</v>
      </c>
      <c r="L163" s="43">
        <v>3994.3232941176475</v>
      </c>
      <c r="M163" s="43">
        <v>3532.0</v>
      </c>
      <c r="N163" s="43">
        <v>462.3232941176475</v>
      </c>
      <c r="O163" s="44">
        <v>0.11574508623237906</v>
      </c>
    </row>
    <row r="164" ht="22.5" customHeight="1">
      <c r="B164" s="41" t="s">
        <v>190</v>
      </c>
      <c r="C164" s="41" t="s">
        <v>52</v>
      </c>
      <c r="D164" s="41" t="s">
        <v>21</v>
      </c>
      <c r="E164" s="41" t="s">
        <v>46</v>
      </c>
      <c r="F164" s="41" t="s">
        <v>27</v>
      </c>
      <c r="G164" s="41" t="s">
        <v>23</v>
      </c>
      <c r="H164" s="42">
        <v>45084.0</v>
      </c>
      <c r="I164" s="41">
        <v>38.0</v>
      </c>
      <c r="J164" s="43">
        <v>335.15</v>
      </c>
      <c r="K164" s="43">
        <v>332.55</v>
      </c>
      <c r="L164" s="43">
        <v>12735.699999999999</v>
      </c>
      <c r="M164" s="43">
        <v>12636.9</v>
      </c>
      <c r="N164" s="43">
        <v>98.79999999999927</v>
      </c>
      <c r="O164" s="44">
        <v>0.007757720423690828</v>
      </c>
    </row>
    <row r="165" ht="22.5" customHeight="1">
      <c r="B165" s="41" t="s">
        <v>191</v>
      </c>
      <c r="C165" s="41" t="s">
        <v>25</v>
      </c>
      <c r="D165" s="41" t="s">
        <v>34</v>
      </c>
      <c r="E165" s="41" t="s">
        <v>39</v>
      </c>
      <c r="F165" s="41" t="s">
        <v>27</v>
      </c>
      <c r="G165" s="41" t="s">
        <v>31</v>
      </c>
      <c r="H165" s="42">
        <v>45085.0</v>
      </c>
      <c r="I165" s="41">
        <v>404.0</v>
      </c>
      <c r="J165" s="43">
        <v>290.71</v>
      </c>
      <c r="K165" s="43">
        <v>29.35</v>
      </c>
      <c r="L165" s="43">
        <v>117446.84</v>
      </c>
      <c r="M165" s="43">
        <v>11857.400000000001</v>
      </c>
      <c r="N165" s="43">
        <v>105589.44</v>
      </c>
      <c r="O165" s="44">
        <v>0.8990402806920987</v>
      </c>
    </row>
    <row r="166" ht="22.5" customHeight="1">
      <c r="B166" s="41" t="s">
        <v>192</v>
      </c>
      <c r="C166" s="41" t="s">
        <v>20</v>
      </c>
      <c r="D166" s="41" t="s">
        <v>15</v>
      </c>
      <c r="E166" s="41" t="s">
        <v>22</v>
      </c>
      <c r="F166" s="41" t="s">
        <v>17</v>
      </c>
      <c r="G166" s="41" t="s">
        <v>23</v>
      </c>
      <c r="H166" s="42">
        <v>45086.0</v>
      </c>
      <c r="I166" s="41">
        <v>42.0</v>
      </c>
      <c r="J166" s="43">
        <v>177.54</v>
      </c>
      <c r="K166" s="43">
        <v>170.87</v>
      </c>
      <c r="L166" s="43">
        <v>7456.679999999999</v>
      </c>
      <c r="M166" s="43">
        <v>7176.54</v>
      </c>
      <c r="N166" s="43">
        <v>280.1399999999994</v>
      </c>
      <c r="O166" s="44">
        <v>0.037568998535541215</v>
      </c>
    </row>
    <row r="167" ht="22.5" customHeight="1">
      <c r="B167" s="41" t="s">
        <v>193</v>
      </c>
      <c r="C167" s="41" t="s">
        <v>14</v>
      </c>
      <c r="D167" s="41" t="s">
        <v>29</v>
      </c>
      <c r="E167" s="41" t="s">
        <v>30</v>
      </c>
      <c r="F167" s="41" t="s">
        <v>27</v>
      </c>
      <c r="G167" s="41" t="s">
        <v>23</v>
      </c>
      <c r="H167" s="42">
        <v>45087.0</v>
      </c>
      <c r="I167" s="41">
        <v>143.0</v>
      </c>
      <c r="J167" s="43">
        <v>83.85</v>
      </c>
      <c r="K167" s="43">
        <v>34.88</v>
      </c>
      <c r="L167" s="43">
        <v>11990.55</v>
      </c>
      <c r="M167" s="43">
        <v>4987.84</v>
      </c>
      <c r="N167" s="43">
        <v>7002.709999999999</v>
      </c>
      <c r="O167" s="44">
        <v>0.5840190816935003</v>
      </c>
    </row>
    <row r="168" ht="22.5" customHeight="1">
      <c r="B168" s="41" t="s">
        <v>194</v>
      </c>
      <c r="C168" s="41" t="s">
        <v>25</v>
      </c>
      <c r="D168" s="41" t="s">
        <v>29</v>
      </c>
      <c r="E168" s="41" t="s">
        <v>26</v>
      </c>
      <c r="F168" s="41" t="s">
        <v>17</v>
      </c>
      <c r="G168" s="41" t="s">
        <v>18</v>
      </c>
      <c r="H168" s="42">
        <v>45088.0</v>
      </c>
      <c r="I168" s="41">
        <v>376.0</v>
      </c>
      <c r="J168" s="43">
        <v>304.45</v>
      </c>
      <c r="K168" s="43">
        <v>206.83</v>
      </c>
      <c r="L168" s="43">
        <v>114473.2</v>
      </c>
      <c r="M168" s="43">
        <v>77768.08</v>
      </c>
      <c r="N168" s="43">
        <v>36705.119999999995</v>
      </c>
      <c r="O168" s="44">
        <v>0.32064378387255704</v>
      </c>
    </row>
    <row r="169" ht="22.5" customHeight="1">
      <c r="B169" s="41" t="s">
        <v>195</v>
      </c>
      <c r="C169" s="41" t="s">
        <v>20</v>
      </c>
      <c r="D169" s="41" t="s">
        <v>54</v>
      </c>
      <c r="E169" s="41" t="s">
        <v>46</v>
      </c>
      <c r="F169" s="41" t="s">
        <v>17</v>
      </c>
      <c r="G169" s="41" t="s">
        <v>18</v>
      </c>
      <c r="H169" s="42">
        <v>45089.0</v>
      </c>
      <c r="I169" s="41">
        <v>88.0</v>
      </c>
      <c r="J169" s="43">
        <v>162.47</v>
      </c>
      <c r="K169" s="43">
        <v>359.76</v>
      </c>
      <c r="L169" s="43">
        <v>14297.36</v>
      </c>
      <c r="M169" s="43">
        <v>31658.879999999997</v>
      </c>
      <c r="N169" s="43">
        <v>-17361.519999999997</v>
      </c>
      <c r="O169" s="44">
        <v>-1.2143164891980056</v>
      </c>
    </row>
    <row r="170" ht="22.5" customHeight="1">
      <c r="B170" s="41" t="s">
        <v>196</v>
      </c>
      <c r="C170" s="41" t="s">
        <v>20</v>
      </c>
      <c r="D170" s="41" t="s">
        <v>29</v>
      </c>
      <c r="E170" s="41" t="s">
        <v>16</v>
      </c>
      <c r="F170" s="41" t="s">
        <v>17</v>
      </c>
      <c r="G170" s="41" t="s">
        <v>23</v>
      </c>
      <c r="H170" s="42">
        <v>45090.0</v>
      </c>
      <c r="I170" s="41">
        <v>425.0</v>
      </c>
      <c r="J170" s="43">
        <v>433.89</v>
      </c>
      <c r="K170" s="43">
        <v>313.43</v>
      </c>
      <c r="L170" s="43">
        <v>184403.25</v>
      </c>
      <c r="M170" s="43">
        <v>133207.75</v>
      </c>
      <c r="N170" s="43">
        <v>51195.5</v>
      </c>
      <c r="O170" s="44">
        <v>0.27762797022286756</v>
      </c>
    </row>
    <row r="171" ht="22.5" customHeight="1">
      <c r="B171" s="41" t="s">
        <v>197</v>
      </c>
      <c r="C171" s="41" t="s">
        <v>52</v>
      </c>
      <c r="D171" s="41" t="s">
        <v>54</v>
      </c>
      <c r="E171" s="41" t="s">
        <v>16</v>
      </c>
      <c r="F171" s="41" t="s">
        <v>27</v>
      </c>
      <c r="G171" s="41" t="s">
        <v>18</v>
      </c>
      <c r="H171" s="42">
        <v>45091.0</v>
      </c>
      <c r="I171" s="41">
        <v>444.0</v>
      </c>
      <c r="J171" s="43">
        <v>496.7</v>
      </c>
      <c r="K171" s="43">
        <v>92.68</v>
      </c>
      <c r="L171" s="43">
        <v>220534.8</v>
      </c>
      <c r="M171" s="43">
        <v>41149.920000000006</v>
      </c>
      <c r="N171" s="43">
        <v>179384.87999999998</v>
      </c>
      <c r="O171" s="44">
        <v>0.8134084960740889</v>
      </c>
    </row>
    <row r="172" ht="22.5" customHeight="1">
      <c r="B172" s="41" t="s">
        <v>198</v>
      </c>
      <c r="C172" s="41" t="s">
        <v>25</v>
      </c>
      <c r="D172" s="41" t="s">
        <v>21</v>
      </c>
      <c r="E172" s="41" t="s">
        <v>22</v>
      </c>
      <c r="F172" s="41" t="s">
        <v>17</v>
      </c>
      <c r="G172" s="41" t="s">
        <v>31</v>
      </c>
      <c r="H172" s="42">
        <v>45092.0</v>
      </c>
      <c r="I172" s="41">
        <v>468.0</v>
      </c>
      <c r="J172" s="43">
        <v>377.45</v>
      </c>
      <c r="K172" s="43">
        <v>390.44</v>
      </c>
      <c r="L172" s="43">
        <v>176646.6</v>
      </c>
      <c r="M172" s="43">
        <v>182725.92</v>
      </c>
      <c r="N172" s="43">
        <v>-6079.320000000007</v>
      </c>
      <c r="O172" s="44">
        <v>-0.034415154325076205</v>
      </c>
    </row>
    <row r="173" ht="22.5" customHeight="1">
      <c r="B173" s="41" t="s">
        <v>199</v>
      </c>
      <c r="C173" s="41" t="s">
        <v>20</v>
      </c>
      <c r="D173" s="41" t="s">
        <v>15</v>
      </c>
      <c r="E173" s="41" t="s">
        <v>30</v>
      </c>
      <c r="F173" s="41" t="s">
        <v>17</v>
      </c>
      <c r="G173" s="41" t="s">
        <v>31</v>
      </c>
      <c r="H173" s="42">
        <v>45093.0</v>
      </c>
      <c r="I173" s="41">
        <v>67.0</v>
      </c>
      <c r="J173" s="43">
        <v>49.79</v>
      </c>
      <c r="K173" s="43">
        <v>267.61</v>
      </c>
      <c r="L173" s="43">
        <v>3335.93</v>
      </c>
      <c r="M173" s="43">
        <v>17929.870000000003</v>
      </c>
      <c r="N173" s="43">
        <v>-14593.940000000002</v>
      </c>
      <c r="O173" s="44">
        <v>-4.374774051014261</v>
      </c>
    </row>
    <row r="174" ht="22.5" customHeight="1">
      <c r="B174" s="41" t="s">
        <v>200</v>
      </c>
      <c r="C174" s="41" t="s">
        <v>14</v>
      </c>
      <c r="D174" s="41" t="s">
        <v>54</v>
      </c>
      <c r="E174" s="41" t="s">
        <v>46</v>
      </c>
      <c r="F174" s="41" t="s">
        <v>27</v>
      </c>
      <c r="G174" s="41" t="s">
        <v>18</v>
      </c>
      <c r="H174" s="42">
        <v>45094.0</v>
      </c>
      <c r="I174" s="41">
        <v>480.0</v>
      </c>
      <c r="J174" s="43">
        <v>147.9</v>
      </c>
      <c r="K174" s="43">
        <v>6.15</v>
      </c>
      <c r="L174" s="43">
        <v>70992.0</v>
      </c>
      <c r="M174" s="43">
        <v>2952.0</v>
      </c>
      <c r="N174" s="43">
        <v>68040.0</v>
      </c>
      <c r="O174" s="44">
        <v>0.9584178498985801</v>
      </c>
    </row>
    <row r="175" ht="22.5" customHeight="1">
      <c r="B175" s="41" t="s">
        <v>201</v>
      </c>
      <c r="C175" s="41" t="s">
        <v>14</v>
      </c>
      <c r="D175" s="41" t="s">
        <v>21</v>
      </c>
      <c r="E175" s="41" t="s">
        <v>30</v>
      </c>
      <c r="F175" s="41" t="s">
        <v>27</v>
      </c>
      <c r="G175" s="41" t="s">
        <v>31</v>
      </c>
      <c r="H175" s="42">
        <v>45095.0</v>
      </c>
      <c r="I175" s="41">
        <v>35.0</v>
      </c>
      <c r="J175" s="43">
        <v>59.01</v>
      </c>
      <c r="K175" s="43">
        <v>103.65</v>
      </c>
      <c r="L175" s="43">
        <v>2065.35</v>
      </c>
      <c r="M175" s="43">
        <v>3627.75</v>
      </c>
      <c r="N175" s="43">
        <v>-1562.4</v>
      </c>
      <c r="O175" s="44">
        <v>-0.7564819522114896</v>
      </c>
    </row>
    <row r="176" ht="22.5" customHeight="1">
      <c r="B176" s="41" t="s">
        <v>202</v>
      </c>
      <c r="C176" s="41" t="s">
        <v>52</v>
      </c>
      <c r="D176" s="41" t="s">
        <v>29</v>
      </c>
      <c r="E176" s="41" t="s">
        <v>46</v>
      </c>
      <c r="F176" s="41" t="s">
        <v>27</v>
      </c>
      <c r="G176" s="41" t="s">
        <v>18</v>
      </c>
      <c r="H176" s="42">
        <v>45096.0</v>
      </c>
      <c r="I176" s="41">
        <v>491.0</v>
      </c>
      <c r="J176" s="43">
        <v>327.0</v>
      </c>
      <c r="K176" s="43">
        <v>105.76</v>
      </c>
      <c r="L176" s="43">
        <v>160557.0</v>
      </c>
      <c r="M176" s="43">
        <v>51928.16</v>
      </c>
      <c r="N176" s="43">
        <v>108628.84</v>
      </c>
      <c r="O176" s="44">
        <v>0.6765749235474006</v>
      </c>
    </row>
    <row r="177" ht="22.5" customHeight="1">
      <c r="B177" s="41" t="s">
        <v>203</v>
      </c>
      <c r="C177" s="41" t="s">
        <v>20</v>
      </c>
      <c r="D177" s="41" t="s">
        <v>29</v>
      </c>
      <c r="E177" s="41" t="s">
        <v>22</v>
      </c>
      <c r="F177" s="41" t="s">
        <v>27</v>
      </c>
      <c r="G177" s="41" t="s">
        <v>23</v>
      </c>
      <c r="H177" s="42">
        <v>45097.0</v>
      </c>
      <c r="I177" s="41">
        <v>439.0</v>
      </c>
      <c r="J177" s="43">
        <v>383.77</v>
      </c>
      <c r="K177" s="43">
        <v>29.56</v>
      </c>
      <c r="L177" s="43">
        <v>168475.03</v>
      </c>
      <c r="M177" s="43">
        <v>12976.84</v>
      </c>
      <c r="N177" s="43">
        <v>155498.19</v>
      </c>
      <c r="O177" s="44">
        <v>0.9229746983870548</v>
      </c>
    </row>
    <row r="178" ht="22.5" customHeight="1">
      <c r="B178" s="41" t="s">
        <v>204</v>
      </c>
      <c r="C178" s="41" t="s">
        <v>25</v>
      </c>
      <c r="D178" s="41" t="s">
        <v>21</v>
      </c>
      <c r="E178" s="41" t="s">
        <v>22</v>
      </c>
      <c r="F178" s="41" t="s">
        <v>17</v>
      </c>
      <c r="G178" s="41" t="s">
        <v>23</v>
      </c>
      <c r="H178" s="42">
        <v>45098.0</v>
      </c>
      <c r="I178" s="41">
        <v>235.0</v>
      </c>
      <c r="J178" s="43">
        <v>463.21</v>
      </c>
      <c r="K178" s="43">
        <v>384.01</v>
      </c>
      <c r="L178" s="43">
        <v>108854.34999999999</v>
      </c>
      <c r="M178" s="43">
        <v>90242.34999999999</v>
      </c>
      <c r="N178" s="43">
        <v>18612.0</v>
      </c>
      <c r="O178" s="44">
        <v>0.17098076466397533</v>
      </c>
    </row>
    <row r="179" ht="22.5" customHeight="1">
      <c r="B179" s="41" t="s">
        <v>205</v>
      </c>
      <c r="C179" s="41" t="s">
        <v>14</v>
      </c>
      <c r="D179" s="41" t="s">
        <v>29</v>
      </c>
      <c r="E179" s="41" t="s">
        <v>16</v>
      </c>
      <c r="F179" s="41" t="s">
        <v>17</v>
      </c>
      <c r="G179" s="41" t="s">
        <v>31</v>
      </c>
      <c r="H179" s="42">
        <v>45099.0</v>
      </c>
      <c r="I179" s="41">
        <v>294.0</v>
      </c>
      <c r="J179" s="43">
        <v>221.9</v>
      </c>
      <c r="K179" s="43">
        <v>192.35</v>
      </c>
      <c r="L179" s="43">
        <v>65238.6</v>
      </c>
      <c r="M179" s="43">
        <v>56550.9</v>
      </c>
      <c r="N179" s="43">
        <v>8687.699999999997</v>
      </c>
      <c r="O179" s="44">
        <v>0.13316809373591704</v>
      </c>
    </row>
    <row r="180" ht="22.5" customHeight="1">
      <c r="B180" s="41" t="s">
        <v>206</v>
      </c>
      <c r="C180" s="41" t="s">
        <v>20</v>
      </c>
      <c r="D180" s="41" t="s">
        <v>21</v>
      </c>
      <c r="E180" s="41" t="s">
        <v>30</v>
      </c>
      <c r="F180" s="41" t="s">
        <v>17</v>
      </c>
      <c r="G180" s="41" t="s">
        <v>18</v>
      </c>
      <c r="H180" s="42">
        <v>45100.0</v>
      </c>
      <c r="I180" s="41">
        <v>13.0</v>
      </c>
      <c r="J180" s="43">
        <v>451.18</v>
      </c>
      <c r="K180" s="43">
        <v>358.53</v>
      </c>
      <c r="L180" s="43">
        <v>5865.34</v>
      </c>
      <c r="M180" s="43">
        <v>4660.889999999999</v>
      </c>
      <c r="N180" s="43">
        <v>1204.4500000000007</v>
      </c>
      <c r="O180" s="44">
        <v>0.20535041446872657</v>
      </c>
    </row>
    <row r="181" ht="22.5" customHeight="1">
      <c r="B181" s="41" t="s">
        <v>207</v>
      </c>
      <c r="C181" s="41" t="s">
        <v>20</v>
      </c>
      <c r="D181" s="41" t="s">
        <v>54</v>
      </c>
      <c r="E181" s="41" t="s">
        <v>16</v>
      </c>
      <c r="F181" s="41" t="s">
        <v>17</v>
      </c>
      <c r="G181" s="41" t="s">
        <v>18</v>
      </c>
      <c r="H181" s="42">
        <v>45101.0</v>
      </c>
      <c r="I181" s="41">
        <v>474.0</v>
      </c>
      <c r="J181" s="43">
        <v>439.56</v>
      </c>
      <c r="K181" s="43">
        <v>130.24</v>
      </c>
      <c r="L181" s="43">
        <v>208351.44</v>
      </c>
      <c r="M181" s="43">
        <v>61733.76</v>
      </c>
      <c r="N181" s="43">
        <v>146617.68</v>
      </c>
      <c r="O181" s="44">
        <v>0.7037037037037036</v>
      </c>
    </row>
    <row r="182" ht="22.5" customHeight="1">
      <c r="B182" s="41" t="s">
        <v>208</v>
      </c>
      <c r="C182" s="41" t="s">
        <v>52</v>
      </c>
      <c r="D182" s="41" t="s">
        <v>54</v>
      </c>
      <c r="E182" s="41" t="s">
        <v>30</v>
      </c>
      <c r="F182" s="41" t="s">
        <v>27</v>
      </c>
      <c r="G182" s="41" t="s">
        <v>31</v>
      </c>
      <c r="H182" s="42">
        <v>45102.0</v>
      </c>
      <c r="I182" s="41">
        <v>108.0</v>
      </c>
      <c r="J182" s="43">
        <v>162.01</v>
      </c>
      <c r="K182" s="43">
        <v>51.84</v>
      </c>
      <c r="L182" s="43">
        <v>17497.079999999998</v>
      </c>
      <c r="M182" s="43">
        <v>5598.72</v>
      </c>
      <c r="N182" s="43">
        <v>11898.359999999997</v>
      </c>
      <c r="O182" s="44">
        <v>0.6800197518671686</v>
      </c>
    </row>
    <row r="183" ht="22.5" customHeight="1">
      <c r="B183" s="41" t="s">
        <v>209</v>
      </c>
      <c r="C183" s="41" t="s">
        <v>14</v>
      </c>
      <c r="D183" s="41" t="s">
        <v>21</v>
      </c>
      <c r="E183" s="41" t="s">
        <v>16</v>
      </c>
      <c r="F183" s="41" t="s">
        <v>17</v>
      </c>
      <c r="G183" s="41" t="s">
        <v>23</v>
      </c>
      <c r="H183" s="42">
        <v>45103.0</v>
      </c>
      <c r="I183" s="41">
        <v>406.0</v>
      </c>
      <c r="J183" s="43">
        <v>435.11</v>
      </c>
      <c r="K183" s="43">
        <v>190.79</v>
      </c>
      <c r="L183" s="43">
        <v>176654.66</v>
      </c>
      <c r="M183" s="43">
        <v>77460.73999999999</v>
      </c>
      <c r="N183" s="43">
        <v>99193.92000000001</v>
      </c>
      <c r="O183" s="44">
        <v>0.5615131805750271</v>
      </c>
    </row>
    <row r="184" ht="22.5" customHeight="1">
      <c r="B184" s="41" t="s">
        <v>210</v>
      </c>
      <c r="C184" s="41" t="s">
        <v>14</v>
      </c>
      <c r="D184" s="41" t="s">
        <v>54</v>
      </c>
      <c r="E184" s="41" t="s">
        <v>26</v>
      </c>
      <c r="F184" s="41" t="s">
        <v>17</v>
      </c>
      <c r="G184" s="41" t="s">
        <v>31</v>
      </c>
      <c r="H184" s="42">
        <v>45104.0</v>
      </c>
      <c r="I184" s="41">
        <v>498.0</v>
      </c>
      <c r="J184" s="43">
        <v>190.96</v>
      </c>
      <c r="K184" s="43">
        <v>47.35</v>
      </c>
      <c r="L184" s="43">
        <v>95098.08</v>
      </c>
      <c r="M184" s="43">
        <v>23580.3</v>
      </c>
      <c r="N184" s="43">
        <v>71517.78</v>
      </c>
      <c r="O184" s="44">
        <v>0.7520423125261835</v>
      </c>
    </row>
    <row r="185" ht="22.5" customHeight="1">
      <c r="B185" s="41" t="s">
        <v>211</v>
      </c>
      <c r="C185" s="41" t="s">
        <v>25</v>
      </c>
      <c r="D185" s="41" t="s">
        <v>54</v>
      </c>
      <c r="E185" s="41" t="s">
        <v>26</v>
      </c>
      <c r="F185" s="41" t="s">
        <v>27</v>
      </c>
      <c r="G185" s="41" t="s">
        <v>23</v>
      </c>
      <c r="H185" s="42">
        <v>45105.0</v>
      </c>
      <c r="I185" s="41">
        <v>48.0</v>
      </c>
      <c r="J185" s="43">
        <v>151.95</v>
      </c>
      <c r="K185" s="43">
        <v>195.43</v>
      </c>
      <c r="L185" s="43">
        <v>7293.599999999999</v>
      </c>
      <c r="M185" s="43">
        <v>9380.64</v>
      </c>
      <c r="N185" s="43">
        <v>-2087.04</v>
      </c>
      <c r="O185" s="44">
        <v>-0.2861467588022376</v>
      </c>
    </row>
    <row r="186" ht="22.5" customHeight="1">
      <c r="B186" s="41" t="s">
        <v>212</v>
      </c>
      <c r="C186" s="41" t="s">
        <v>14</v>
      </c>
      <c r="D186" s="41" t="s">
        <v>54</v>
      </c>
      <c r="E186" s="41" t="s">
        <v>26</v>
      </c>
      <c r="F186" s="41" t="s">
        <v>17</v>
      </c>
      <c r="G186" s="41" t="s">
        <v>18</v>
      </c>
      <c r="H186" s="42">
        <v>45106.0</v>
      </c>
      <c r="I186" s="41">
        <v>280.0</v>
      </c>
      <c r="J186" s="43">
        <v>326.29</v>
      </c>
      <c r="K186" s="43">
        <v>368.28</v>
      </c>
      <c r="L186" s="43">
        <v>91361.20000000001</v>
      </c>
      <c r="M186" s="43">
        <v>103118.4</v>
      </c>
      <c r="N186" s="43">
        <v>-11757.199999999983</v>
      </c>
      <c r="O186" s="44">
        <v>-0.12868920285635457</v>
      </c>
    </row>
    <row r="187" ht="22.5" customHeight="1">
      <c r="B187" s="41" t="s">
        <v>213</v>
      </c>
      <c r="C187" s="41" t="s">
        <v>25</v>
      </c>
      <c r="D187" s="41" t="s">
        <v>34</v>
      </c>
      <c r="E187" s="41" t="s">
        <v>26</v>
      </c>
      <c r="F187" s="41" t="s">
        <v>17</v>
      </c>
      <c r="G187" s="41" t="s">
        <v>23</v>
      </c>
      <c r="H187" s="42">
        <v>45107.0</v>
      </c>
      <c r="I187" s="41">
        <v>384.0</v>
      </c>
      <c r="J187" s="43">
        <v>167.55</v>
      </c>
      <c r="K187" s="43">
        <v>209.27</v>
      </c>
      <c r="L187" s="43">
        <v>64339.200000000004</v>
      </c>
      <c r="M187" s="43">
        <v>80359.68000000001</v>
      </c>
      <c r="N187" s="43">
        <v>-16020.480000000003</v>
      </c>
      <c r="O187" s="44">
        <v>-0.24900029841838262</v>
      </c>
    </row>
    <row r="188" ht="22.5" customHeight="1">
      <c r="B188" s="41" t="s">
        <v>214</v>
      </c>
      <c r="C188" s="41" t="s">
        <v>14</v>
      </c>
      <c r="D188" s="41" t="s">
        <v>15</v>
      </c>
      <c r="E188" s="41" t="s">
        <v>46</v>
      </c>
      <c r="F188" s="41" t="s">
        <v>17</v>
      </c>
      <c r="G188" s="41" t="s">
        <v>31</v>
      </c>
      <c r="H188" s="42">
        <v>45108.0</v>
      </c>
      <c r="I188" s="41">
        <v>294.0</v>
      </c>
      <c r="J188" s="43">
        <v>316.95</v>
      </c>
      <c r="K188" s="43">
        <v>247.37</v>
      </c>
      <c r="L188" s="43">
        <v>93183.3</v>
      </c>
      <c r="M188" s="43">
        <v>72726.78</v>
      </c>
      <c r="N188" s="43">
        <v>20456.520000000004</v>
      </c>
      <c r="O188" s="44">
        <v>0.21952989430509548</v>
      </c>
    </row>
    <row r="189" ht="22.5" customHeight="1">
      <c r="B189" s="41" t="s">
        <v>215</v>
      </c>
      <c r="C189" s="41" t="s">
        <v>52</v>
      </c>
      <c r="D189" s="41" t="s">
        <v>29</v>
      </c>
      <c r="E189" s="41" t="s">
        <v>26</v>
      </c>
      <c r="F189" s="41" t="s">
        <v>17</v>
      </c>
      <c r="G189" s="41" t="s">
        <v>18</v>
      </c>
      <c r="H189" s="42">
        <v>45109.0</v>
      </c>
      <c r="I189" s="41">
        <v>166.0</v>
      </c>
      <c r="J189" s="43">
        <v>306.87</v>
      </c>
      <c r="K189" s="43">
        <v>64.34</v>
      </c>
      <c r="L189" s="43">
        <v>50940.42</v>
      </c>
      <c r="M189" s="43">
        <v>10680.44</v>
      </c>
      <c r="N189" s="43">
        <v>40259.979999999996</v>
      </c>
      <c r="O189" s="44">
        <v>0.7903346694039821</v>
      </c>
    </row>
    <row r="190" ht="22.5" customHeight="1">
      <c r="B190" s="41" t="s">
        <v>216</v>
      </c>
      <c r="C190" s="41" t="s">
        <v>14</v>
      </c>
      <c r="D190" s="41" t="s">
        <v>34</v>
      </c>
      <c r="E190" s="41" t="s">
        <v>22</v>
      </c>
      <c r="F190" s="41" t="s">
        <v>17</v>
      </c>
      <c r="G190" s="41" t="s">
        <v>31</v>
      </c>
      <c r="H190" s="42">
        <v>45110.0</v>
      </c>
      <c r="I190" s="41">
        <v>84.0</v>
      </c>
      <c r="J190" s="43">
        <v>283.9</v>
      </c>
      <c r="K190" s="43">
        <v>19.41</v>
      </c>
      <c r="L190" s="43">
        <v>23847.6</v>
      </c>
      <c r="M190" s="43">
        <v>1630.44</v>
      </c>
      <c r="N190" s="43">
        <v>22217.16</v>
      </c>
      <c r="O190" s="44">
        <v>0.9316308559351885</v>
      </c>
    </row>
    <row r="191" ht="22.5" customHeight="1">
      <c r="B191" s="41" t="s">
        <v>217</v>
      </c>
      <c r="C191" s="41" t="s">
        <v>25</v>
      </c>
      <c r="D191" s="41" t="s">
        <v>54</v>
      </c>
      <c r="E191" s="41" t="s">
        <v>22</v>
      </c>
      <c r="F191" s="41" t="s">
        <v>17</v>
      </c>
      <c r="G191" s="41" t="s">
        <v>31</v>
      </c>
      <c r="H191" s="42">
        <v>45111.0</v>
      </c>
      <c r="I191" s="41">
        <v>381.0</v>
      </c>
      <c r="J191" s="43">
        <v>193.31</v>
      </c>
      <c r="K191" s="43">
        <v>46.1</v>
      </c>
      <c r="L191" s="43">
        <v>73651.11</v>
      </c>
      <c r="M191" s="43">
        <v>17564.100000000002</v>
      </c>
      <c r="N191" s="43">
        <v>56087.009999999995</v>
      </c>
      <c r="O191" s="44">
        <v>0.7615229424240856</v>
      </c>
    </row>
    <row r="192" ht="22.5" customHeight="1">
      <c r="B192" s="41" t="s">
        <v>218</v>
      </c>
      <c r="C192" s="41" t="s">
        <v>25</v>
      </c>
      <c r="D192" s="41" t="s">
        <v>21</v>
      </c>
      <c r="E192" s="41" t="s">
        <v>46</v>
      </c>
      <c r="F192" s="41" t="s">
        <v>27</v>
      </c>
      <c r="G192" s="41" t="s">
        <v>23</v>
      </c>
      <c r="H192" s="42">
        <v>45112.0</v>
      </c>
      <c r="I192" s="41">
        <v>297.0</v>
      </c>
      <c r="J192" s="43">
        <v>276.51</v>
      </c>
      <c r="K192" s="43">
        <v>240.22</v>
      </c>
      <c r="L192" s="43">
        <v>82123.47</v>
      </c>
      <c r="M192" s="43">
        <v>71345.34</v>
      </c>
      <c r="N192" s="43">
        <v>10778.130000000005</v>
      </c>
      <c r="O192" s="44">
        <v>0.131242993020144</v>
      </c>
    </row>
    <row r="193" ht="22.5" customHeight="1">
      <c r="B193" s="41" t="s">
        <v>219</v>
      </c>
      <c r="C193" s="41" t="s">
        <v>52</v>
      </c>
      <c r="D193" s="41" t="s">
        <v>54</v>
      </c>
      <c r="E193" s="41" t="s">
        <v>26</v>
      </c>
      <c r="F193" s="41" t="s">
        <v>27</v>
      </c>
      <c r="G193" s="41" t="s">
        <v>31</v>
      </c>
      <c r="H193" s="42">
        <v>45113.0</v>
      </c>
      <c r="I193" s="41">
        <v>139.0</v>
      </c>
      <c r="J193" s="43">
        <v>300.26</v>
      </c>
      <c r="K193" s="43">
        <v>39.81</v>
      </c>
      <c r="L193" s="43">
        <v>41736.14</v>
      </c>
      <c r="M193" s="43">
        <v>5533.59</v>
      </c>
      <c r="N193" s="43">
        <v>36202.55</v>
      </c>
      <c r="O193" s="44">
        <v>0.8674149070805303</v>
      </c>
    </row>
    <row r="194" ht="22.5" customHeight="1">
      <c r="B194" s="41" t="s">
        <v>220</v>
      </c>
      <c r="C194" s="41" t="s">
        <v>14</v>
      </c>
      <c r="D194" s="41" t="s">
        <v>15</v>
      </c>
      <c r="E194" s="41" t="s">
        <v>26</v>
      </c>
      <c r="F194" s="41" t="s">
        <v>17</v>
      </c>
      <c r="G194" s="41" t="s">
        <v>23</v>
      </c>
      <c r="H194" s="42">
        <v>45114.0</v>
      </c>
      <c r="I194" s="41">
        <v>184.0</v>
      </c>
      <c r="J194" s="43">
        <v>275.12</v>
      </c>
      <c r="K194" s="43">
        <v>151.65</v>
      </c>
      <c r="L194" s="43">
        <v>50622.08</v>
      </c>
      <c r="M194" s="43">
        <v>27903.600000000002</v>
      </c>
      <c r="N194" s="43">
        <v>22718.48</v>
      </c>
      <c r="O194" s="44">
        <v>0.44878598429776095</v>
      </c>
    </row>
    <row r="195" ht="22.5" customHeight="1">
      <c r="B195" s="41" t="s">
        <v>221</v>
      </c>
      <c r="C195" s="41" t="s">
        <v>14</v>
      </c>
      <c r="D195" s="41" t="s">
        <v>54</v>
      </c>
      <c r="E195" s="41" t="s">
        <v>26</v>
      </c>
      <c r="F195" s="41" t="s">
        <v>17</v>
      </c>
      <c r="G195" s="41" t="s">
        <v>18</v>
      </c>
      <c r="H195" s="42">
        <v>45115.0</v>
      </c>
      <c r="I195" s="41">
        <v>471.0</v>
      </c>
      <c r="J195" s="43">
        <v>224.99</v>
      </c>
      <c r="K195" s="43">
        <v>220.94</v>
      </c>
      <c r="L195" s="43">
        <v>105970.29000000001</v>
      </c>
      <c r="M195" s="43">
        <v>104062.74</v>
      </c>
      <c r="N195" s="43">
        <v>1907.550000000003</v>
      </c>
      <c r="O195" s="44">
        <v>0.018000800035557162</v>
      </c>
    </row>
    <row r="196" ht="22.5" customHeight="1">
      <c r="B196" s="41" t="s">
        <v>222</v>
      </c>
      <c r="C196" s="41" t="s">
        <v>52</v>
      </c>
      <c r="D196" s="41" t="s">
        <v>21</v>
      </c>
      <c r="E196" s="41" t="s">
        <v>16</v>
      </c>
      <c r="F196" s="41" t="s">
        <v>27</v>
      </c>
      <c r="G196" s="41" t="s">
        <v>23</v>
      </c>
      <c r="H196" s="42">
        <v>45116.0</v>
      </c>
      <c r="I196" s="41">
        <v>93.0</v>
      </c>
      <c r="J196" s="43">
        <v>12.26</v>
      </c>
      <c r="K196" s="43">
        <v>156.68</v>
      </c>
      <c r="L196" s="43">
        <v>1140.18</v>
      </c>
      <c r="M196" s="43">
        <v>14571.24</v>
      </c>
      <c r="N196" s="43">
        <v>-13431.06</v>
      </c>
      <c r="O196" s="44">
        <v>-11.779771615008155</v>
      </c>
    </row>
    <row r="197" ht="22.5" customHeight="1">
      <c r="B197" s="41" t="s">
        <v>223</v>
      </c>
      <c r="C197" s="41" t="s">
        <v>14</v>
      </c>
      <c r="D197" s="41" t="s">
        <v>15</v>
      </c>
      <c r="E197" s="41" t="s">
        <v>30</v>
      </c>
      <c r="F197" s="41" t="s">
        <v>17</v>
      </c>
      <c r="G197" s="41" t="s">
        <v>18</v>
      </c>
      <c r="H197" s="42">
        <v>45117.0</v>
      </c>
      <c r="I197" s="41">
        <v>31.0</v>
      </c>
      <c r="J197" s="43">
        <v>295.6</v>
      </c>
      <c r="K197" s="43">
        <v>67.15</v>
      </c>
      <c r="L197" s="43">
        <v>9163.6</v>
      </c>
      <c r="M197" s="43">
        <v>2081.65</v>
      </c>
      <c r="N197" s="43">
        <v>7081.950000000001</v>
      </c>
      <c r="O197" s="44">
        <v>0.7728349120433018</v>
      </c>
    </row>
    <row r="198" ht="22.5" customHeight="1">
      <c r="B198" s="41" t="s">
        <v>224</v>
      </c>
      <c r="C198" s="41" t="s">
        <v>14</v>
      </c>
      <c r="D198" s="41" t="s">
        <v>54</v>
      </c>
      <c r="E198" s="41" t="s">
        <v>16</v>
      </c>
      <c r="F198" s="41" t="s">
        <v>17</v>
      </c>
      <c r="G198" s="41" t="s">
        <v>23</v>
      </c>
      <c r="H198" s="42">
        <v>45118.0</v>
      </c>
      <c r="I198" s="41">
        <v>468.0</v>
      </c>
      <c r="J198" s="43">
        <v>88.38</v>
      </c>
      <c r="K198" s="43">
        <v>110.97</v>
      </c>
      <c r="L198" s="43">
        <v>41361.84</v>
      </c>
      <c r="M198" s="43">
        <v>51933.96</v>
      </c>
      <c r="N198" s="43">
        <v>-10572.120000000003</v>
      </c>
      <c r="O198" s="44">
        <v>-0.2556008146639512</v>
      </c>
    </row>
    <row r="199" ht="22.5" customHeight="1">
      <c r="B199" s="41" t="s">
        <v>225</v>
      </c>
      <c r="C199" s="41" t="s">
        <v>25</v>
      </c>
      <c r="D199" s="41" t="s">
        <v>15</v>
      </c>
      <c r="E199" s="41" t="s">
        <v>30</v>
      </c>
      <c r="F199" s="41" t="s">
        <v>17</v>
      </c>
      <c r="G199" s="41" t="s">
        <v>31</v>
      </c>
      <c r="H199" s="42">
        <v>45119.0</v>
      </c>
      <c r="I199" s="41">
        <v>36.0</v>
      </c>
      <c r="J199" s="43">
        <v>323.08</v>
      </c>
      <c r="K199" s="43">
        <v>371.47</v>
      </c>
      <c r="L199" s="43">
        <v>11630.88</v>
      </c>
      <c r="M199" s="43">
        <v>13372.920000000002</v>
      </c>
      <c r="N199" s="43">
        <v>-1742.0400000000027</v>
      </c>
      <c r="O199" s="44">
        <v>-0.14977714497957187</v>
      </c>
    </row>
    <row r="200" ht="22.5" customHeight="1">
      <c r="B200" s="41" t="s">
        <v>226</v>
      </c>
      <c r="C200" s="41" t="s">
        <v>14</v>
      </c>
      <c r="D200" s="41" t="s">
        <v>29</v>
      </c>
      <c r="E200" s="41" t="s">
        <v>26</v>
      </c>
      <c r="F200" s="41" t="s">
        <v>27</v>
      </c>
      <c r="G200" s="41" t="s">
        <v>23</v>
      </c>
      <c r="H200" s="42">
        <v>45120.0</v>
      </c>
      <c r="I200" s="41">
        <v>204.0</v>
      </c>
      <c r="J200" s="43">
        <v>380.88</v>
      </c>
      <c r="K200" s="43">
        <v>271.04</v>
      </c>
      <c r="L200" s="43">
        <v>77699.52</v>
      </c>
      <c r="M200" s="43">
        <v>55292.16</v>
      </c>
      <c r="N200" s="43">
        <v>22407.36</v>
      </c>
      <c r="O200" s="44">
        <v>0.28838479311069104</v>
      </c>
    </row>
    <row r="201" ht="22.5" customHeight="1">
      <c r="B201" s="41" t="s">
        <v>227</v>
      </c>
      <c r="C201" s="41" t="s">
        <v>14</v>
      </c>
      <c r="D201" s="41" t="s">
        <v>29</v>
      </c>
      <c r="E201" s="41" t="s">
        <v>26</v>
      </c>
      <c r="F201" s="41" t="s">
        <v>17</v>
      </c>
      <c r="G201" s="41" t="s">
        <v>23</v>
      </c>
      <c r="H201" s="42">
        <v>45121.0</v>
      </c>
      <c r="I201" s="41">
        <v>346.0</v>
      </c>
      <c r="J201" s="43">
        <v>252.72</v>
      </c>
      <c r="K201" s="43">
        <v>199.43</v>
      </c>
      <c r="L201" s="43">
        <v>87441.12</v>
      </c>
      <c r="M201" s="43">
        <v>69002.78</v>
      </c>
      <c r="N201" s="43">
        <v>18438.339999999997</v>
      </c>
      <c r="O201" s="44">
        <v>0.21086578031022474</v>
      </c>
    </row>
    <row r="202" ht="22.5" customHeight="1">
      <c r="B202" s="41" t="s">
        <v>228</v>
      </c>
      <c r="C202" s="41" t="s">
        <v>52</v>
      </c>
      <c r="D202" s="41" t="s">
        <v>54</v>
      </c>
      <c r="E202" s="41" t="s">
        <v>16</v>
      </c>
      <c r="F202" s="41" t="s">
        <v>27</v>
      </c>
      <c r="G202" s="41" t="s">
        <v>18</v>
      </c>
      <c r="H202" s="42">
        <v>45122.0</v>
      </c>
      <c r="I202" s="41">
        <v>391.0</v>
      </c>
      <c r="J202" s="43">
        <v>273.47</v>
      </c>
      <c r="K202" s="43">
        <v>7.06</v>
      </c>
      <c r="L202" s="43">
        <v>106926.77</v>
      </c>
      <c r="M202" s="43">
        <v>2760.46</v>
      </c>
      <c r="N202" s="43">
        <v>104166.31</v>
      </c>
      <c r="O202" s="44">
        <v>0.9741836398873733</v>
      </c>
    </row>
    <row r="203" ht="22.5" customHeight="1">
      <c r="B203" s="41" t="s">
        <v>229</v>
      </c>
      <c r="C203" s="41" t="s">
        <v>52</v>
      </c>
      <c r="D203" s="41" t="s">
        <v>15</v>
      </c>
      <c r="E203" s="41" t="s">
        <v>16</v>
      </c>
      <c r="F203" s="41" t="s">
        <v>17</v>
      </c>
      <c r="G203" s="41" t="s">
        <v>31</v>
      </c>
      <c r="H203" s="42">
        <v>45123.0</v>
      </c>
      <c r="I203" s="41">
        <v>245.0</v>
      </c>
      <c r="J203" s="43">
        <v>475.98</v>
      </c>
      <c r="K203" s="43">
        <v>396.98</v>
      </c>
      <c r="L203" s="43">
        <v>116615.1</v>
      </c>
      <c r="M203" s="43">
        <v>97260.1</v>
      </c>
      <c r="N203" s="43">
        <v>19355.0</v>
      </c>
      <c r="O203" s="44">
        <v>0.16597336022521955</v>
      </c>
    </row>
    <row r="204" ht="22.5" customHeight="1">
      <c r="B204" s="41" t="s">
        <v>230</v>
      </c>
      <c r="C204" s="41" t="s">
        <v>20</v>
      </c>
      <c r="D204" s="41" t="s">
        <v>21</v>
      </c>
      <c r="E204" s="41" t="s">
        <v>30</v>
      </c>
      <c r="F204" s="41" t="s">
        <v>27</v>
      </c>
      <c r="G204" s="41" t="s">
        <v>23</v>
      </c>
      <c r="H204" s="42">
        <v>45124.0</v>
      </c>
      <c r="I204" s="41">
        <v>449.0</v>
      </c>
      <c r="J204" s="43">
        <v>424.35</v>
      </c>
      <c r="K204" s="43">
        <v>269.24</v>
      </c>
      <c r="L204" s="43">
        <v>190533.15000000002</v>
      </c>
      <c r="M204" s="43">
        <v>120888.76000000001</v>
      </c>
      <c r="N204" s="43">
        <v>69644.39000000001</v>
      </c>
      <c r="O204" s="44">
        <v>0.36552374219394373</v>
      </c>
    </row>
    <row r="205" ht="22.5" customHeight="1">
      <c r="B205" s="41" t="s">
        <v>231</v>
      </c>
      <c r="C205" s="41" t="s">
        <v>25</v>
      </c>
      <c r="D205" s="41" t="s">
        <v>54</v>
      </c>
      <c r="E205" s="41" t="s">
        <v>22</v>
      </c>
      <c r="F205" s="41" t="s">
        <v>27</v>
      </c>
      <c r="G205" s="41" t="s">
        <v>31</v>
      </c>
      <c r="H205" s="42">
        <v>45125.0</v>
      </c>
      <c r="I205" s="41">
        <v>101.0</v>
      </c>
      <c r="J205" s="43">
        <v>457.55</v>
      </c>
      <c r="K205" s="43">
        <v>128.14</v>
      </c>
      <c r="L205" s="43">
        <v>46212.55</v>
      </c>
      <c r="M205" s="43">
        <v>12942.14</v>
      </c>
      <c r="N205" s="43">
        <v>33270.41</v>
      </c>
      <c r="O205" s="44">
        <v>0.719943175609223</v>
      </c>
    </row>
    <row r="206" ht="22.5" customHeight="1">
      <c r="B206" s="41" t="s">
        <v>232</v>
      </c>
      <c r="C206" s="41" t="s">
        <v>14</v>
      </c>
      <c r="D206" s="41" t="s">
        <v>29</v>
      </c>
      <c r="E206" s="41" t="s">
        <v>30</v>
      </c>
      <c r="F206" s="41" t="s">
        <v>17</v>
      </c>
      <c r="G206" s="41" t="s">
        <v>23</v>
      </c>
      <c r="H206" s="42">
        <v>45126.0</v>
      </c>
      <c r="I206" s="41">
        <v>255.9029411764706</v>
      </c>
      <c r="J206" s="43">
        <v>407.81</v>
      </c>
      <c r="K206" s="43">
        <v>351.95</v>
      </c>
      <c r="L206" s="43">
        <v>104359.77844117647</v>
      </c>
      <c r="M206" s="43">
        <v>90065.04014705883</v>
      </c>
      <c r="N206" s="43">
        <v>14294.738294117647</v>
      </c>
      <c r="O206" s="44">
        <v>0.13697555234055075</v>
      </c>
    </row>
    <row r="207" ht="22.5" customHeight="1">
      <c r="B207" s="41" t="s">
        <v>233</v>
      </c>
      <c r="C207" s="41" t="s">
        <v>14</v>
      </c>
      <c r="D207" s="41" t="s">
        <v>29</v>
      </c>
      <c r="E207" s="41" t="s">
        <v>16</v>
      </c>
      <c r="F207" s="41" t="s">
        <v>27</v>
      </c>
      <c r="G207" s="41" t="s">
        <v>23</v>
      </c>
      <c r="H207" s="42">
        <v>45127.0</v>
      </c>
      <c r="I207" s="41">
        <v>30.0</v>
      </c>
      <c r="J207" s="43">
        <v>58.91</v>
      </c>
      <c r="K207" s="43">
        <v>104.86</v>
      </c>
      <c r="L207" s="43">
        <v>1767.3</v>
      </c>
      <c r="M207" s="43">
        <v>3145.8</v>
      </c>
      <c r="N207" s="43">
        <v>-1378.5000000000002</v>
      </c>
      <c r="O207" s="44">
        <v>-0.7800033950093365</v>
      </c>
    </row>
    <row r="208" ht="22.5" customHeight="1">
      <c r="B208" s="41" t="s">
        <v>234</v>
      </c>
      <c r="C208" s="41" t="s">
        <v>20</v>
      </c>
      <c r="D208" s="41" t="s">
        <v>54</v>
      </c>
      <c r="E208" s="41" t="s">
        <v>16</v>
      </c>
      <c r="F208" s="41" t="s">
        <v>17</v>
      </c>
      <c r="G208" s="41" t="s">
        <v>31</v>
      </c>
      <c r="H208" s="42">
        <v>45128.0</v>
      </c>
      <c r="I208" s="41">
        <v>312.0</v>
      </c>
      <c r="J208" s="43">
        <v>78.75</v>
      </c>
      <c r="K208" s="43">
        <v>218.52</v>
      </c>
      <c r="L208" s="43">
        <v>24570.0</v>
      </c>
      <c r="M208" s="43">
        <v>68178.24</v>
      </c>
      <c r="N208" s="43">
        <v>-43608.240000000005</v>
      </c>
      <c r="O208" s="44">
        <v>-1.7748571428571431</v>
      </c>
    </row>
    <row r="209" ht="22.5" customHeight="1">
      <c r="B209" s="41" t="s">
        <v>235</v>
      </c>
      <c r="C209" s="41" t="s">
        <v>14</v>
      </c>
      <c r="D209" s="41" t="s">
        <v>15</v>
      </c>
      <c r="E209" s="41" t="s">
        <v>46</v>
      </c>
      <c r="F209" s="41" t="s">
        <v>27</v>
      </c>
      <c r="G209" s="41" t="s">
        <v>23</v>
      </c>
      <c r="H209" s="42">
        <v>45129.0</v>
      </c>
      <c r="I209" s="41">
        <v>473.0</v>
      </c>
      <c r="J209" s="43">
        <v>265.68</v>
      </c>
      <c r="K209" s="43">
        <v>255.16</v>
      </c>
      <c r="L209" s="43">
        <v>125666.64</v>
      </c>
      <c r="M209" s="43">
        <v>120690.68</v>
      </c>
      <c r="N209" s="43">
        <v>4975.960000000006</v>
      </c>
      <c r="O209" s="44">
        <v>0.039596507076181925</v>
      </c>
    </row>
    <row r="210" ht="22.5" customHeight="1">
      <c r="B210" s="41" t="s">
        <v>236</v>
      </c>
      <c r="C210" s="41" t="s">
        <v>25</v>
      </c>
      <c r="D210" s="41" t="s">
        <v>29</v>
      </c>
      <c r="E210" s="41" t="s">
        <v>16</v>
      </c>
      <c r="F210" s="41" t="s">
        <v>17</v>
      </c>
      <c r="G210" s="41" t="s">
        <v>31</v>
      </c>
      <c r="H210" s="42">
        <v>45130.0</v>
      </c>
      <c r="I210" s="41">
        <v>366.0</v>
      </c>
      <c r="J210" s="43">
        <v>126.8</v>
      </c>
      <c r="K210" s="43">
        <v>89.98</v>
      </c>
      <c r="L210" s="43">
        <v>46408.799999999996</v>
      </c>
      <c r="M210" s="43">
        <v>32932.68</v>
      </c>
      <c r="N210" s="43">
        <v>13476.119999999995</v>
      </c>
      <c r="O210" s="44">
        <v>0.290378548895899</v>
      </c>
    </row>
    <row r="211" ht="22.5" customHeight="1">
      <c r="B211" s="41" t="s">
        <v>237</v>
      </c>
      <c r="C211" s="41" t="s">
        <v>20</v>
      </c>
      <c r="D211" s="41" t="s">
        <v>15</v>
      </c>
      <c r="E211" s="41" t="s">
        <v>46</v>
      </c>
      <c r="F211" s="41" t="s">
        <v>17</v>
      </c>
      <c r="G211" s="41" t="s">
        <v>23</v>
      </c>
      <c r="H211" s="42">
        <v>45131.0</v>
      </c>
      <c r="I211" s="41">
        <v>452.0</v>
      </c>
      <c r="J211" s="43">
        <v>240.96</v>
      </c>
      <c r="K211" s="43">
        <v>391.4</v>
      </c>
      <c r="L211" s="43">
        <v>108913.92</v>
      </c>
      <c r="M211" s="43">
        <v>176912.8</v>
      </c>
      <c r="N211" s="43">
        <v>-67998.87999999999</v>
      </c>
      <c r="O211" s="44">
        <v>-0.6243359893758299</v>
      </c>
    </row>
    <row r="212" ht="22.5" customHeight="1">
      <c r="B212" s="41" t="s">
        <v>238</v>
      </c>
      <c r="C212" s="41" t="s">
        <v>25</v>
      </c>
      <c r="D212" s="41" t="s">
        <v>29</v>
      </c>
      <c r="E212" s="41" t="s">
        <v>22</v>
      </c>
      <c r="F212" s="41" t="s">
        <v>27</v>
      </c>
      <c r="G212" s="41" t="s">
        <v>18</v>
      </c>
      <c r="H212" s="42">
        <v>45132.0</v>
      </c>
      <c r="I212" s="41">
        <v>93.0</v>
      </c>
      <c r="J212" s="43">
        <v>200.21</v>
      </c>
      <c r="K212" s="43">
        <v>299.78</v>
      </c>
      <c r="L212" s="43">
        <v>18619.530000000002</v>
      </c>
      <c r="M212" s="43">
        <v>27879.539999999997</v>
      </c>
      <c r="N212" s="43">
        <v>-9260.009999999995</v>
      </c>
      <c r="O212" s="44">
        <v>-0.49732780580390556</v>
      </c>
    </row>
    <row r="213" ht="22.5" customHeight="1">
      <c r="B213" s="41" t="s">
        <v>239</v>
      </c>
      <c r="C213" s="41" t="s">
        <v>20</v>
      </c>
      <c r="D213" s="41" t="s">
        <v>29</v>
      </c>
      <c r="E213" s="41" t="s">
        <v>30</v>
      </c>
      <c r="F213" s="41" t="s">
        <v>17</v>
      </c>
      <c r="G213" s="41" t="s">
        <v>31</v>
      </c>
      <c r="H213" s="42">
        <v>45133.0</v>
      </c>
      <c r="I213" s="41">
        <v>271.0</v>
      </c>
      <c r="J213" s="43">
        <v>276.96</v>
      </c>
      <c r="K213" s="43">
        <v>224.01</v>
      </c>
      <c r="L213" s="43">
        <v>75056.15999999999</v>
      </c>
      <c r="M213" s="43">
        <v>60706.71</v>
      </c>
      <c r="N213" s="43">
        <v>14349.44999999999</v>
      </c>
      <c r="O213" s="44">
        <v>0.19118284228769486</v>
      </c>
    </row>
    <row r="214" ht="22.5" customHeight="1">
      <c r="B214" s="41" t="s">
        <v>240</v>
      </c>
      <c r="C214" s="41" t="s">
        <v>20</v>
      </c>
      <c r="D214" s="41" t="s">
        <v>34</v>
      </c>
      <c r="E214" s="41" t="s">
        <v>30</v>
      </c>
      <c r="F214" s="41" t="s">
        <v>17</v>
      </c>
      <c r="G214" s="41" t="s">
        <v>23</v>
      </c>
      <c r="H214" s="42">
        <v>45134.0</v>
      </c>
      <c r="I214" s="41">
        <v>156.0</v>
      </c>
      <c r="J214" s="43">
        <v>374.7</v>
      </c>
      <c r="K214" s="43">
        <v>73.88</v>
      </c>
      <c r="L214" s="43">
        <v>58453.2</v>
      </c>
      <c r="M214" s="43">
        <v>11525.279999999999</v>
      </c>
      <c r="N214" s="43">
        <v>46927.92</v>
      </c>
      <c r="O214" s="44">
        <v>0.8028289298105151</v>
      </c>
    </row>
    <row r="215" ht="22.5" customHeight="1">
      <c r="B215" s="41" t="s">
        <v>241</v>
      </c>
      <c r="C215" s="41" t="s">
        <v>52</v>
      </c>
      <c r="D215" s="41" t="s">
        <v>29</v>
      </c>
      <c r="E215" s="41" t="s">
        <v>46</v>
      </c>
      <c r="F215" s="41" t="s">
        <v>27</v>
      </c>
      <c r="G215" s="41" t="s">
        <v>23</v>
      </c>
      <c r="H215" s="42">
        <v>45135.0</v>
      </c>
      <c r="I215" s="41">
        <v>450.0</v>
      </c>
      <c r="J215" s="43">
        <v>359.17</v>
      </c>
      <c r="K215" s="43">
        <v>23.44</v>
      </c>
      <c r="L215" s="43">
        <v>161626.5</v>
      </c>
      <c r="M215" s="43">
        <v>10548.0</v>
      </c>
      <c r="N215" s="43">
        <v>151078.5</v>
      </c>
      <c r="O215" s="44">
        <v>0.9347384247013949</v>
      </c>
    </row>
    <row r="216" ht="22.5" customHeight="1">
      <c r="B216" s="41" t="s">
        <v>242</v>
      </c>
      <c r="C216" s="41" t="s">
        <v>25</v>
      </c>
      <c r="D216" s="41" t="s">
        <v>21</v>
      </c>
      <c r="E216" s="41" t="s">
        <v>30</v>
      </c>
      <c r="F216" s="41" t="s">
        <v>17</v>
      </c>
      <c r="G216" s="41" t="s">
        <v>18</v>
      </c>
      <c r="H216" s="42">
        <v>45136.0</v>
      </c>
      <c r="I216" s="41">
        <v>462.0</v>
      </c>
      <c r="J216" s="43">
        <v>263.01</v>
      </c>
      <c r="K216" s="43">
        <v>129.38</v>
      </c>
      <c r="L216" s="43">
        <v>121510.62</v>
      </c>
      <c r="M216" s="43">
        <v>59773.56</v>
      </c>
      <c r="N216" s="43">
        <v>61737.06</v>
      </c>
      <c r="O216" s="44">
        <v>0.5080795407018744</v>
      </c>
    </row>
    <row r="217" ht="22.5" customHeight="1">
      <c r="B217" s="41" t="s">
        <v>243</v>
      </c>
      <c r="C217" s="41" t="s">
        <v>14</v>
      </c>
      <c r="D217" s="41" t="s">
        <v>54</v>
      </c>
      <c r="E217" s="41" t="s">
        <v>39</v>
      </c>
      <c r="F217" s="41" t="s">
        <v>17</v>
      </c>
      <c r="G217" s="41" t="s">
        <v>31</v>
      </c>
      <c r="H217" s="42">
        <v>45137.0</v>
      </c>
      <c r="I217" s="41">
        <v>396.0</v>
      </c>
      <c r="J217" s="43">
        <v>412.08</v>
      </c>
      <c r="K217" s="43">
        <v>301.77</v>
      </c>
      <c r="L217" s="43">
        <v>163183.68</v>
      </c>
      <c r="M217" s="43">
        <v>119500.92</v>
      </c>
      <c r="N217" s="43">
        <v>43682.759999999995</v>
      </c>
      <c r="O217" s="44">
        <v>0.26769073966220147</v>
      </c>
    </row>
    <row r="218" ht="22.5" customHeight="1">
      <c r="B218" s="41" t="s">
        <v>244</v>
      </c>
      <c r="C218" s="41" t="s">
        <v>14</v>
      </c>
      <c r="D218" s="41" t="s">
        <v>54</v>
      </c>
      <c r="E218" s="41" t="s">
        <v>26</v>
      </c>
      <c r="F218" s="41" t="s">
        <v>27</v>
      </c>
      <c r="G218" s="41" t="s">
        <v>23</v>
      </c>
      <c r="H218" s="42">
        <v>45138.0</v>
      </c>
      <c r="I218" s="41">
        <v>266.0</v>
      </c>
      <c r="J218" s="43">
        <v>218.28</v>
      </c>
      <c r="K218" s="43">
        <v>109.19</v>
      </c>
      <c r="L218" s="43">
        <v>58062.48</v>
      </c>
      <c r="M218" s="43">
        <v>29044.54</v>
      </c>
      <c r="N218" s="43">
        <v>29017.940000000002</v>
      </c>
      <c r="O218" s="44">
        <v>0.499770936411948</v>
      </c>
    </row>
    <row r="219" ht="22.5" customHeight="1">
      <c r="B219" s="41" t="s">
        <v>245</v>
      </c>
      <c r="C219" s="41" t="s">
        <v>25</v>
      </c>
      <c r="D219" s="41" t="s">
        <v>15</v>
      </c>
      <c r="E219" s="41" t="s">
        <v>46</v>
      </c>
      <c r="F219" s="41" t="s">
        <v>27</v>
      </c>
      <c r="G219" s="41" t="s">
        <v>18</v>
      </c>
      <c r="H219" s="42">
        <v>45139.0</v>
      </c>
      <c r="I219" s="41">
        <v>67.0</v>
      </c>
      <c r="J219" s="43">
        <v>448.87</v>
      </c>
      <c r="K219" s="43">
        <v>216.74</v>
      </c>
      <c r="L219" s="43">
        <v>30074.29</v>
      </c>
      <c r="M219" s="43">
        <v>14521.58</v>
      </c>
      <c r="N219" s="43">
        <v>15552.710000000001</v>
      </c>
      <c r="O219" s="44">
        <v>0.5171430480985586</v>
      </c>
    </row>
    <row r="220" ht="22.5" customHeight="1">
      <c r="B220" s="41" t="s">
        <v>246</v>
      </c>
      <c r="C220" s="41" t="s">
        <v>14</v>
      </c>
      <c r="D220" s="41" t="s">
        <v>29</v>
      </c>
      <c r="E220" s="41" t="s">
        <v>30</v>
      </c>
      <c r="F220" s="41" t="s">
        <v>17</v>
      </c>
      <c r="G220" s="41" t="s">
        <v>23</v>
      </c>
      <c r="H220" s="42">
        <v>45140.0</v>
      </c>
      <c r="I220" s="41">
        <v>389.0</v>
      </c>
      <c r="J220" s="43">
        <v>40.28</v>
      </c>
      <c r="K220" s="43">
        <v>291.72</v>
      </c>
      <c r="L220" s="43">
        <v>15668.92</v>
      </c>
      <c r="M220" s="43">
        <v>113479.08000000002</v>
      </c>
      <c r="N220" s="43">
        <v>-97810.16000000002</v>
      </c>
      <c r="O220" s="44">
        <v>-6.242303872889773</v>
      </c>
    </row>
    <row r="221" ht="22.5" customHeight="1">
      <c r="B221" s="41" t="s">
        <v>247</v>
      </c>
      <c r="C221" s="41" t="s">
        <v>14</v>
      </c>
      <c r="D221" s="41" t="s">
        <v>21</v>
      </c>
      <c r="E221" s="41" t="s">
        <v>46</v>
      </c>
      <c r="F221" s="41" t="s">
        <v>17</v>
      </c>
      <c r="G221" s="41" t="s">
        <v>31</v>
      </c>
      <c r="H221" s="42">
        <v>45141.0</v>
      </c>
      <c r="I221" s="41">
        <v>431.0</v>
      </c>
      <c r="J221" s="43">
        <v>477.56</v>
      </c>
      <c r="K221" s="43">
        <v>44.96</v>
      </c>
      <c r="L221" s="43">
        <v>205828.36000000002</v>
      </c>
      <c r="M221" s="43">
        <v>19377.760000000002</v>
      </c>
      <c r="N221" s="43">
        <v>186450.6</v>
      </c>
      <c r="O221" s="44">
        <v>0.9058547617053354</v>
      </c>
    </row>
    <row r="222" ht="22.5" customHeight="1">
      <c r="B222" s="41" t="s">
        <v>248</v>
      </c>
      <c r="C222" s="41" t="s">
        <v>25</v>
      </c>
      <c r="D222" s="41" t="s">
        <v>15</v>
      </c>
      <c r="E222" s="41" t="s">
        <v>46</v>
      </c>
      <c r="F222" s="41" t="s">
        <v>27</v>
      </c>
      <c r="G222" s="41" t="s">
        <v>23</v>
      </c>
      <c r="H222" s="42">
        <v>45142.0</v>
      </c>
      <c r="I222" s="41">
        <v>24.0</v>
      </c>
      <c r="J222" s="43">
        <v>329.07</v>
      </c>
      <c r="K222" s="43">
        <v>274.75</v>
      </c>
      <c r="L222" s="43">
        <v>7897.68</v>
      </c>
      <c r="M222" s="43">
        <v>6594.0</v>
      </c>
      <c r="N222" s="43">
        <v>1303.6800000000003</v>
      </c>
      <c r="O222" s="44">
        <v>0.16507126143373754</v>
      </c>
    </row>
    <row r="223" ht="22.5" customHeight="1">
      <c r="B223" s="41" t="s">
        <v>249</v>
      </c>
      <c r="C223" s="41" t="s">
        <v>20</v>
      </c>
      <c r="D223" s="41" t="s">
        <v>34</v>
      </c>
      <c r="E223" s="41" t="s">
        <v>26</v>
      </c>
      <c r="F223" s="41" t="s">
        <v>27</v>
      </c>
      <c r="G223" s="41" t="s">
        <v>23</v>
      </c>
      <c r="H223" s="42">
        <v>45143.0</v>
      </c>
      <c r="I223" s="41">
        <v>171.0</v>
      </c>
      <c r="J223" s="43">
        <v>193.14</v>
      </c>
      <c r="K223" s="43">
        <v>38.56</v>
      </c>
      <c r="L223" s="43">
        <v>33026.939999999995</v>
      </c>
      <c r="M223" s="43">
        <v>6593.76</v>
      </c>
      <c r="N223" s="43">
        <v>26433.179999999993</v>
      </c>
      <c r="O223" s="44">
        <v>0.8003520762141451</v>
      </c>
    </row>
    <row r="224" ht="22.5" customHeight="1">
      <c r="B224" s="41" t="s">
        <v>250</v>
      </c>
      <c r="C224" s="41" t="s">
        <v>25</v>
      </c>
      <c r="D224" s="41" t="s">
        <v>15</v>
      </c>
      <c r="E224" s="41" t="s">
        <v>16</v>
      </c>
      <c r="F224" s="41" t="s">
        <v>17</v>
      </c>
      <c r="G224" s="41" t="s">
        <v>23</v>
      </c>
      <c r="H224" s="42">
        <v>45144.0</v>
      </c>
      <c r="I224" s="41">
        <v>454.0</v>
      </c>
      <c r="J224" s="43">
        <v>102.59</v>
      </c>
      <c r="K224" s="43">
        <v>386.12</v>
      </c>
      <c r="L224" s="43">
        <v>46575.86</v>
      </c>
      <c r="M224" s="43">
        <v>175298.48</v>
      </c>
      <c r="N224" s="43">
        <v>-128722.62000000001</v>
      </c>
      <c r="O224" s="44">
        <v>-2.763719660785652</v>
      </c>
    </row>
    <row r="225" ht="22.5" customHeight="1">
      <c r="B225" s="41" t="s">
        <v>251</v>
      </c>
      <c r="C225" s="41" t="s">
        <v>20</v>
      </c>
      <c r="D225" s="41" t="s">
        <v>15</v>
      </c>
      <c r="E225" s="41" t="s">
        <v>46</v>
      </c>
      <c r="F225" s="41" t="s">
        <v>27</v>
      </c>
      <c r="G225" s="41" t="s">
        <v>23</v>
      </c>
      <c r="H225" s="42">
        <v>45145.0</v>
      </c>
      <c r="I225" s="41">
        <v>172.0</v>
      </c>
      <c r="J225" s="43">
        <v>242.2</v>
      </c>
      <c r="K225" s="43">
        <v>196.38</v>
      </c>
      <c r="L225" s="43">
        <v>41658.4</v>
      </c>
      <c r="M225" s="43">
        <v>33777.36</v>
      </c>
      <c r="N225" s="43">
        <v>7881.040000000001</v>
      </c>
      <c r="O225" s="44">
        <v>0.18918249380677127</v>
      </c>
    </row>
    <row r="226" ht="22.5" customHeight="1">
      <c r="B226" s="41" t="s">
        <v>252</v>
      </c>
      <c r="C226" s="41" t="s">
        <v>14</v>
      </c>
      <c r="D226" s="41" t="s">
        <v>29</v>
      </c>
      <c r="E226" s="41" t="s">
        <v>30</v>
      </c>
      <c r="F226" s="41" t="s">
        <v>17</v>
      </c>
      <c r="G226" s="41" t="s">
        <v>18</v>
      </c>
      <c r="H226" s="42">
        <v>45146.0</v>
      </c>
      <c r="I226" s="41">
        <v>329.0</v>
      </c>
      <c r="J226" s="43">
        <v>101.31</v>
      </c>
      <c r="K226" s="43">
        <v>61.97</v>
      </c>
      <c r="L226" s="43">
        <v>33330.99</v>
      </c>
      <c r="M226" s="43">
        <v>20388.13</v>
      </c>
      <c r="N226" s="43">
        <v>12942.859999999997</v>
      </c>
      <c r="O226" s="44">
        <v>0.38831309841081824</v>
      </c>
    </row>
    <row r="227" ht="22.5" customHeight="1">
      <c r="B227" s="41" t="s">
        <v>253</v>
      </c>
      <c r="C227" s="41" t="s">
        <v>14</v>
      </c>
      <c r="D227" s="41" t="s">
        <v>34</v>
      </c>
      <c r="E227" s="41" t="s">
        <v>22</v>
      </c>
      <c r="F227" s="41" t="s">
        <v>17</v>
      </c>
      <c r="G227" s="41" t="s">
        <v>18</v>
      </c>
      <c r="H227" s="42">
        <v>45147.0</v>
      </c>
      <c r="I227" s="41">
        <v>290.0</v>
      </c>
      <c r="J227" s="43">
        <v>87.33</v>
      </c>
      <c r="K227" s="43">
        <v>138.27</v>
      </c>
      <c r="L227" s="43">
        <v>25325.7</v>
      </c>
      <c r="M227" s="43">
        <v>40098.3</v>
      </c>
      <c r="N227" s="43">
        <v>-14772.600000000002</v>
      </c>
      <c r="O227" s="44">
        <v>-0.5833047062864996</v>
      </c>
    </row>
    <row r="228" ht="22.5" customHeight="1">
      <c r="B228" s="41" t="s">
        <v>254</v>
      </c>
      <c r="C228" s="41" t="s">
        <v>39</v>
      </c>
      <c r="D228" s="41" t="s">
        <v>15</v>
      </c>
      <c r="E228" s="41" t="s">
        <v>46</v>
      </c>
      <c r="F228" s="41" t="s">
        <v>17</v>
      </c>
      <c r="G228" s="41" t="s">
        <v>31</v>
      </c>
      <c r="H228" s="42">
        <v>45148.0</v>
      </c>
      <c r="I228" s="41">
        <v>289.0</v>
      </c>
      <c r="J228" s="43">
        <v>310.59</v>
      </c>
      <c r="K228" s="43">
        <v>166.54</v>
      </c>
      <c r="L228" s="43">
        <v>89760.51</v>
      </c>
      <c r="M228" s="43">
        <v>48130.06</v>
      </c>
      <c r="N228" s="43">
        <v>41630.45</v>
      </c>
      <c r="O228" s="44">
        <v>0.4637947132876139</v>
      </c>
    </row>
    <row r="229" ht="22.5" customHeight="1">
      <c r="B229" s="41" t="s">
        <v>255</v>
      </c>
      <c r="C229" s="41" t="s">
        <v>52</v>
      </c>
      <c r="D229" s="41" t="s">
        <v>21</v>
      </c>
      <c r="E229" s="41" t="s">
        <v>46</v>
      </c>
      <c r="F229" s="41" t="s">
        <v>17</v>
      </c>
      <c r="G229" s="41" t="s">
        <v>18</v>
      </c>
      <c r="H229" s="42">
        <v>45149.0</v>
      </c>
      <c r="I229" s="41">
        <v>21.0</v>
      </c>
      <c r="J229" s="43">
        <v>263.93</v>
      </c>
      <c r="K229" s="43">
        <v>303.76</v>
      </c>
      <c r="L229" s="43">
        <v>5542.53</v>
      </c>
      <c r="M229" s="43">
        <v>6378.96</v>
      </c>
      <c r="N229" s="43">
        <v>-836.4300000000003</v>
      </c>
      <c r="O229" s="44">
        <v>-0.15091122646156183</v>
      </c>
    </row>
    <row r="230" ht="22.5" customHeight="1">
      <c r="B230" s="41" t="s">
        <v>256</v>
      </c>
      <c r="C230" s="41" t="s">
        <v>20</v>
      </c>
      <c r="D230" s="41" t="s">
        <v>21</v>
      </c>
      <c r="E230" s="41" t="s">
        <v>26</v>
      </c>
      <c r="F230" s="41" t="s">
        <v>17</v>
      </c>
      <c r="G230" s="41" t="s">
        <v>18</v>
      </c>
      <c r="H230" s="42">
        <v>45150.0</v>
      </c>
      <c r="I230" s="41">
        <v>283.0</v>
      </c>
      <c r="J230" s="43">
        <v>336.7</v>
      </c>
      <c r="K230" s="43">
        <v>297.88</v>
      </c>
      <c r="L230" s="43">
        <v>95286.09999999999</v>
      </c>
      <c r="M230" s="43">
        <v>84300.04</v>
      </c>
      <c r="N230" s="43">
        <v>10986.059999999998</v>
      </c>
      <c r="O230" s="44">
        <v>0.11529551529551528</v>
      </c>
    </row>
    <row r="231" ht="22.5" customHeight="1">
      <c r="B231" s="41" t="s">
        <v>257</v>
      </c>
      <c r="C231" s="41" t="s">
        <v>52</v>
      </c>
      <c r="D231" s="41" t="s">
        <v>54</v>
      </c>
      <c r="E231" s="41" t="s">
        <v>16</v>
      </c>
      <c r="F231" s="41" t="s">
        <v>27</v>
      </c>
      <c r="G231" s="41" t="s">
        <v>31</v>
      </c>
      <c r="H231" s="42">
        <v>45151.0</v>
      </c>
      <c r="I231" s="41">
        <v>280.0</v>
      </c>
      <c r="J231" s="43">
        <v>465.15</v>
      </c>
      <c r="K231" s="43">
        <v>245.55</v>
      </c>
      <c r="L231" s="43">
        <v>130242.0</v>
      </c>
      <c r="M231" s="43">
        <v>68754.0</v>
      </c>
      <c r="N231" s="43">
        <v>61488.0</v>
      </c>
      <c r="O231" s="44">
        <v>0.47210577233150597</v>
      </c>
    </row>
    <row r="232" ht="22.5" customHeight="1">
      <c r="B232" s="41" t="s">
        <v>258</v>
      </c>
      <c r="C232" s="41" t="s">
        <v>52</v>
      </c>
      <c r="D232" s="41" t="s">
        <v>34</v>
      </c>
      <c r="E232" s="41" t="s">
        <v>22</v>
      </c>
      <c r="F232" s="41" t="s">
        <v>27</v>
      </c>
      <c r="G232" s="41" t="s">
        <v>18</v>
      </c>
      <c r="H232" s="42">
        <v>45152.0</v>
      </c>
      <c r="I232" s="41">
        <v>217.0</v>
      </c>
      <c r="J232" s="43">
        <v>268.47</v>
      </c>
      <c r="K232" s="43">
        <v>44.16</v>
      </c>
      <c r="L232" s="43">
        <v>58257.990000000005</v>
      </c>
      <c r="M232" s="43">
        <v>9582.72</v>
      </c>
      <c r="N232" s="43">
        <v>48675.270000000004</v>
      </c>
      <c r="O232" s="44">
        <v>0.8355123477483518</v>
      </c>
    </row>
    <row r="233" ht="22.5" customHeight="1">
      <c r="B233" s="41" t="s">
        <v>259</v>
      </c>
      <c r="C233" s="41" t="s">
        <v>25</v>
      </c>
      <c r="D233" s="41" t="s">
        <v>34</v>
      </c>
      <c r="E233" s="41" t="s">
        <v>30</v>
      </c>
      <c r="F233" s="41" t="s">
        <v>27</v>
      </c>
      <c r="G233" s="41" t="s">
        <v>18</v>
      </c>
      <c r="H233" s="42">
        <v>45153.0</v>
      </c>
      <c r="I233" s="41">
        <v>36.0</v>
      </c>
      <c r="J233" s="43">
        <v>292.56</v>
      </c>
      <c r="K233" s="43">
        <v>62.32</v>
      </c>
      <c r="L233" s="43">
        <v>10532.16</v>
      </c>
      <c r="M233" s="43">
        <v>2243.52</v>
      </c>
      <c r="N233" s="43">
        <v>8288.64</v>
      </c>
      <c r="O233" s="44">
        <v>0.7869838665572874</v>
      </c>
    </row>
    <row r="234" ht="22.5" customHeight="1">
      <c r="B234" s="41" t="s">
        <v>260</v>
      </c>
      <c r="C234" s="41" t="s">
        <v>52</v>
      </c>
      <c r="D234" s="41" t="s">
        <v>54</v>
      </c>
      <c r="E234" s="41" t="s">
        <v>22</v>
      </c>
      <c r="F234" s="41" t="s">
        <v>27</v>
      </c>
      <c r="G234" s="41" t="s">
        <v>31</v>
      </c>
      <c r="H234" s="42">
        <v>45154.0</v>
      </c>
      <c r="I234" s="41">
        <v>255.9029411764706</v>
      </c>
      <c r="J234" s="43">
        <v>49.37</v>
      </c>
      <c r="K234" s="43">
        <v>39.32</v>
      </c>
      <c r="L234" s="43">
        <v>12633.928205882352</v>
      </c>
      <c r="M234" s="43">
        <v>10062.103647058824</v>
      </c>
      <c r="N234" s="43">
        <v>2571.8245588235277</v>
      </c>
      <c r="O234" s="44">
        <v>0.2035649179663762</v>
      </c>
    </row>
    <row r="235" ht="22.5" customHeight="1">
      <c r="B235" s="41" t="s">
        <v>261</v>
      </c>
      <c r="C235" s="41" t="s">
        <v>25</v>
      </c>
      <c r="D235" s="41" t="s">
        <v>15</v>
      </c>
      <c r="E235" s="41" t="s">
        <v>30</v>
      </c>
      <c r="F235" s="41" t="s">
        <v>17</v>
      </c>
      <c r="G235" s="41" t="s">
        <v>31</v>
      </c>
      <c r="H235" s="42">
        <v>45155.0</v>
      </c>
      <c r="I235" s="41">
        <v>69.0</v>
      </c>
      <c r="J235" s="43">
        <v>360.23</v>
      </c>
      <c r="K235" s="43">
        <v>231.71</v>
      </c>
      <c r="L235" s="43">
        <v>24855.870000000003</v>
      </c>
      <c r="M235" s="43">
        <v>15987.99</v>
      </c>
      <c r="N235" s="43">
        <v>8867.880000000003</v>
      </c>
      <c r="O235" s="44">
        <v>0.35677206229353475</v>
      </c>
    </row>
    <row r="236" ht="22.5" customHeight="1">
      <c r="B236" s="41" t="s">
        <v>262</v>
      </c>
      <c r="C236" s="41" t="s">
        <v>25</v>
      </c>
      <c r="D236" s="41" t="s">
        <v>34</v>
      </c>
      <c r="E236" s="41" t="s">
        <v>16</v>
      </c>
      <c r="F236" s="41" t="s">
        <v>17</v>
      </c>
      <c r="G236" s="41" t="s">
        <v>31</v>
      </c>
      <c r="H236" s="42">
        <v>45156.0</v>
      </c>
      <c r="I236" s="41">
        <v>439.0</v>
      </c>
      <c r="J236" s="43">
        <v>202.95</v>
      </c>
      <c r="K236" s="43">
        <v>351.1</v>
      </c>
      <c r="L236" s="43">
        <v>89095.04999999999</v>
      </c>
      <c r="M236" s="43">
        <v>154132.90000000002</v>
      </c>
      <c r="N236" s="43">
        <v>-65037.850000000035</v>
      </c>
      <c r="O236" s="44">
        <v>-0.7299827543729988</v>
      </c>
    </row>
    <row r="237" ht="22.5" customHeight="1">
      <c r="B237" s="41" t="s">
        <v>263</v>
      </c>
      <c r="C237" s="41" t="s">
        <v>52</v>
      </c>
      <c r="D237" s="41" t="s">
        <v>21</v>
      </c>
      <c r="E237" s="41" t="s">
        <v>30</v>
      </c>
      <c r="F237" s="41" t="s">
        <v>17</v>
      </c>
      <c r="G237" s="41" t="s">
        <v>23</v>
      </c>
      <c r="H237" s="42">
        <v>45157.0</v>
      </c>
      <c r="I237" s="41">
        <v>482.0</v>
      </c>
      <c r="J237" s="43">
        <v>488.48</v>
      </c>
      <c r="K237" s="43">
        <v>174.65</v>
      </c>
      <c r="L237" s="43">
        <v>235447.36000000002</v>
      </c>
      <c r="M237" s="43">
        <v>84181.3</v>
      </c>
      <c r="N237" s="43">
        <v>151266.06</v>
      </c>
      <c r="O237" s="44">
        <v>0.6424623321323288</v>
      </c>
    </row>
    <row r="238" ht="22.5" customHeight="1">
      <c r="B238" s="41" t="s">
        <v>264</v>
      </c>
      <c r="C238" s="41" t="s">
        <v>20</v>
      </c>
      <c r="D238" s="41" t="s">
        <v>21</v>
      </c>
      <c r="E238" s="41" t="s">
        <v>26</v>
      </c>
      <c r="F238" s="41" t="s">
        <v>17</v>
      </c>
      <c r="G238" s="41" t="s">
        <v>23</v>
      </c>
      <c r="H238" s="42">
        <v>45158.0</v>
      </c>
      <c r="I238" s="41">
        <v>154.0</v>
      </c>
      <c r="J238" s="43">
        <v>412.47</v>
      </c>
      <c r="K238" s="43">
        <v>66.02</v>
      </c>
      <c r="L238" s="43">
        <v>63520.380000000005</v>
      </c>
      <c r="M238" s="43">
        <v>10167.08</v>
      </c>
      <c r="N238" s="43">
        <v>53353.3</v>
      </c>
      <c r="O238" s="44">
        <v>0.839939874415109</v>
      </c>
    </row>
    <row r="239" ht="22.5" customHeight="1">
      <c r="B239" s="41" t="s">
        <v>265</v>
      </c>
      <c r="C239" s="41" t="s">
        <v>20</v>
      </c>
      <c r="D239" s="41" t="s">
        <v>29</v>
      </c>
      <c r="E239" s="41" t="s">
        <v>26</v>
      </c>
      <c r="F239" s="41" t="s">
        <v>27</v>
      </c>
      <c r="G239" s="41" t="s">
        <v>31</v>
      </c>
      <c r="H239" s="42">
        <v>45159.0</v>
      </c>
      <c r="I239" s="41">
        <v>102.0</v>
      </c>
      <c r="J239" s="43">
        <v>263.63</v>
      </c>
      <c r="K239" s="43">
        <v>224.1</v>
      </c>
      <c r="L239" s="43">
        <v>26890.26</v>
      </c>
      <c r="M239" s="43">
        <v>22858.2</v>
      </c>
      <c r="N239" s="43">
        <v>4032.0599999999977</v>
      </c>
      <c r="O239" s="44">
        <v>0.14994499867238167</v>
      </c>
    </row>
    <row r="240" ht="22.5" customHeight="1">
      <c r="B240" s="41" t="s">
        <v>266</v>
      </c>
      <c r="C240" s="41" t="s">
        <v>20</v>
      </c>
      <c r="D240" s="41" t="s">
        <v>34</v>
      </c>
      <c r="E240" s="41" t="s">
        <v>26</v>
      </c>
      <c r="F240" s="41" t="s">
        <v>17</v>
      </c>
      <c r="G240" s="41" t="s">
        <v>31</v>
      </c>
      <c r="H240" s="42">
        <v>45160.0</v>
      </c>
      <c r="I240" s="41">
        <v>318.0</v>
      </c>
      <c r="J240" s="43">
        <v>66.0</v>
      </c>
      <c r="K240" s="43">
        <v>325.08</v>
      </c>
      <c r="L240" s="43">
        <v>20988.0</v>
      </c>
      <c r="M240" s="43">
        <v>103375.43999999999</v>
      </c>
      <c r="N240" s="43">
        <v>-82387.43999999999</v>
      </c>
      <c r="O240" s="44">
        <v>-3.925454545454545</v>
      </c>
    </row>
    <row r="241" ht="22.5" customHeight="1">
      <c r="B241" s="41" t="s">
        <v>267</v>
      </c>
      <c r="C241" s="41" t="s">
        <v>20</v>
      </c>
      <c r="D241" s="41" t="s">
        <v>15</v>
      </c>
      <c r="E241" s="41" t="s">
        <v>26</v>
      </c>
      <c r="F241" s="41" t="s">
        <v>17</v>
      </c>
      <c r="G241" s="41" t="s">
        <v>31</v>
      </c>
      <c r="H241" s="42">
        <v>45161.0</v>
      </c>
      <c r="I241" s="41">
        <v>17.0</v>
      </c>
      <c r="J241" s="43">
        <v>430.41</v>
      </c>
      <c r="K241" s="43">
        <v>297.2</v>
      </c>
      <c r="L241" s="43">
        <v>7316.97</v>
      </c>
      <c r="M241" s="43">
        <v>5052.4</v>
      </c>
      <c r="N241" s="43">
        <v>2264.5700000000006</v>
      </c>
      <c r="O241" s="44">
        <v>0.30949559722125425</v>
      </c>
    </row>
    <row r="242" ht="22.5" customHeight="1">
      <c r="B242" s="41" t="s">
        <v>268</v>
      </c>
      <c r="C242" s="41" t="s">
        <v>20</v>
      </c>
      <c r="D242" s="41" t="s">
        <v>54</v>
      </c>
      <c r="E242" s="41" t="s">
        <v>22</v>
      </c>
      <c r="F242" s="41" t="s">
        <v>27</v>
      </c>
      <c r="G242" s="41" t="s">
        <v>23</v>
      </c>
      <c r="H242" s="42">
        <v>45162.0</v>
      </c>
      <c r="I242" s="41">
        <v>88.0</v>
      </c>
      <c r="J242" s="43">
        <v>400.89</v>
      </c>
      <c r="K242" s="43">
        <v>352.82</v>
      </c>
      <c r="L242" s="43">
        <v>35278.32</v>
      </c>
      <c r="M242" s="43">
        <v>31048.16</v>
      </c>
      <c r="N242" s="43">
        <v>4230.16</v>
      </c>
      <c r="O242" s="44">
        <v>0.11990820424555364</v>
      </c>
    </row>
    <row r="243" ht="22.5" customHeight="1">
      <c r="B243" s="41" t="s">
        <v>269</v>
      </c>
      <c r="C243" s="41" t="s">
        <v>52</v>
      </c>
      <c r="D243" s="41" t="s">
        <v>54</v>
      </c>
      <c r="E243" s="41" t="s">
        <v>16</v>
      </c>
      <c r="F243" s="41" t="s">
        <v>27</v>
      </c>
      <c r="G243" s="41" t="s">
        <v>23</v>
      </c>
      <c r="H243" s="42">
        <v>45163.0</v>
      </c>
      <c r="I243" s="41">
        <v>36.0</v>
      </c>
      <c r="J243" s="43">
        <v>96.37</v>
      </c>
      <c r="K243" s="43">
        <v>112.61</v>
      </c>
      <c r="L243" s="43">
        <v>3469.32</v>
      </c>
      <c r="M243" s="43">
        <v>4053.96</v>
      </c>
      <c r="N243" s="43">
        <v>-584.6399999999999</v>
      </c>
      <c r="O243" s="44">
        <v>-0.16851717339420977</v>
      </c>
    </row>
    <row r="244" ht="22.5" customHeight="1">
      <c r="B244" s="41" t="s">
        <v>270</v>
      </c>
      <c r="C244" s="41" t="s">
        <v>52</v>
      </c>
      <c r="D244" s="41" t="s">
        <v>15</v>
      </c>
      <c r="E244" s="41" t="s">
        <v>30</v>
      </c>
      <c r="F244" s="41" t="s">
        <v>27</v>
      </c>
      <c r="G244" s="41" t="s">
        <v>18</v>
      </c>
      <c r="H244" s="42">
        <v>45164.0</v>
      </c>
      <c r="I244" s="41">
        <v>183.0</v>
      </c>
      <c r="J244" s="43">
        <v>151.16</v>
      </c>
      <c r="K244" s="43">
        <v>79.19</v>
      </c>
      <c r="L244" s="43">
        <v>27662.28</v>
      </c>
      <c r="M244" s="43">
        <v>14491.77</v>
      </c>
      <c r="N244" s="43">
        <v>13170.509999999998</v>
      </c>
      <c r="O244" s="44">
        <v>0.476118020640381</v>
      </c>
    </row>
    <row r="245" ht="22.5" customHeight="1">
      <c r="B245" s="41" t="s">
        <v>271</v>
      </c>
      <c r="C245" s="41" t="s">
        <v>14</v>
      </c>
      <c r="D245" s="41" t="s">
        <v>29</v>
      </c>
      <c r="E245" s="41" t="s">
        <v>30</v>
      </c>
      <c r="F245" s="41" t="s">
        <v>27</v>
      </c>
      <c r="G245" s="41" t="s">
        <v>18</v>
      </c>
      <c r="H245" s="42">
        <v>45165.0</v>
      </c>
      <c r="I245" s="41">
        <v>59.0</v>
      </c>
      <c r="J245" s="43">
        <v>397.74</v>
      </c>
      <c r="K245" s="43">
        <v>352.17</v>
      </c>
      <c r="L245" s="43">
        <v>23466.66</v>
      </c>
      <c r="M245" s="43">
        <v>20778.030000000002</v>
      </c>
      <c r="N245" s="43">
        <v>2688.6299999999974</v>
      </c>
      <c r="O245" s="44">
        <v>0.11457233368532196</v>
      </c>
    </row>
    <row r="246" ht="22.5" customHeight="1">
      <c r="B246" s="41" t="s">
        <v>272</v>
      </c>
      <c r="C246" s="41" t="s">
        <v>20</v>
      </c>
      <c r="D246" s="41" t="s">
        <v>54</v>
      </c>
      <c r="E246" s="41" t="s">
        <v>26</v>
      </c>
      <c r="F246" s="41" t="s">
        <v>17</v>
      </c>
      <c r="G246" s="41" t="s">
        <v>31</v>
      </c>
      <c r="H246" s="42">
        <v>45166.0</v>
      </c>
      <c r="I246" s="41">
        <v>208.0</v>
      </c>
      <c r="J246" s="43">
        <v>96.69</v>
      </c>
      <c r="K246" s="43">
        <v>263.71</v>
      </c>
      <c r="L246" s="43">
        <v>20111.52</v>
      </c>
      <c r="M246" s="43">
        <v>54851.67999999999</v>
      </c>
      <c r="N246" s="43">
        <v>-34740.15999999999</v>
      </c>
      <c r="O246" s="44">
        <v>-1.727376150584341</v>
      </c>
    </row>
    <row r="247" ht="22.5" customHeight="1">
      <c r="B247" s="41" t="s">
        <v>273</v>
      </c>
      <c r="C247" s="41" t="s">
        <v>52</v>
      </c>
      <c r="D247" s="41" t="s">
        <v>34</v>
      </c>
      <c r="E247" s="41" t="s">
        <v>26</v>
      </c>
      <c r="F247" s="41" t="s">
        <v>17</v>
      </c>
      <c r="G247" s="41" t="s">
        <v>23</v>
      </c>
      <c r="H247" s="42">
        <v>45167.0</v>
      </c>
      <c r="I247" s="41">
        <v>396.0</v>
      </c>
      <c r="J247" s="43">
        <v>459.29</v>
      </c>
      <c r="K247" s="43">
        <v>125.75</v>
      </c>
      <c r="L247" s="43">
        <v>181878.84</v>
      </c>
      <c r="M247" s="43">
        <v>49797.0</v>
      </c>
      <c r="N247" s="43">
        <v>132081.84</v>
      </c>
      <c r="O247" s="44">
        <v>0.7262078425395719</v>
      </c>
    </row>
    <row r="248" ht="22.5" customHeight="1">
      <c r="B248" s="41" t="s">
        <v>274</v>
      </c>
      <c r="C248" s="41" t="s">
        <v>14</v>
      </c>
      <c r="D248" s="41" t="s">
        <v>29</v>
      </c>
      <c r="E248" s="41" t="s">
        <v>46</v>
      </c>
      <c r="F248" s="41" t="s">
        <v>27</v>
      </c>
      <c r="G248" s="41" t="s">
        <v>23</v>
      </c>
      <c r="H248" s="42">
        <v>45168.0</v>
      </c>
      <c r="I248" s="41">
        <v>358.0</v>
      </c>
      <c r="J248" s="43">
        <v>215.14</v>
      </c>
      <c r="K248" s="43">
        <v>297.45</v>
      </c>
      <c r="L248" s="43">
        <v>77020.12</v>
      </c>
      <c r="M248" s="43">
        <v>106487.09999999999</v>
      </c>
      <c r="N248" s="43">
        <v>-29466.979999999996</v>
      </c>
      <c r="O248" s="44">
        <v>-0.38258808217904616</v>
      </c>
    </row>
    <row r="249" ht="22.5" customHeight="1">
      <c r="B249" s="41" t="s">
        <v>275</v>
      </c>
      <c r="C249" s="41" t="s">
        <v>20</v>
      </c>
      <c r="D249" s="41" t="s">
        <v>34</v>
      </c>
      <c r="E249" s="41" t="s">
        <v>16</v>
      </c>
      <c r="F249" s="41" t="s">
        <v>17</v>
      </c>
      <c r="G249" s="41" t="s">
        <v>23</v>
      </c>
      <c r="H249" s="42">
        <v>45169.0</v>
      </c>
      <c r="I249" s="41">
        <v>457.0</v>
      </c>
      <c r="J249" s="43">
        <v>48.08</v>
      </c>
      <c r="K249" s="43">
        <v>326.42</v>
      </c>
      <c r="L249" s="43">
        <v>21972.559999999998</v>
      </c>
      <c r="M249" s="43">
        <v>149173.94</v>
      </c>
      <c r="N249" s="43">
        <v>-127201.38</v>
      </c>
      <c r="O249" s="44">
        <v>-5.78910149750416</v>
      </c>
    </row>
    <row r="250" ht="22.5" customHeight="1">
      <c r="B250" s="41" t="s">
        <v>276</v>
      </c>
      <c r="C250" s="41" t="s">
        <v>25</v>
      </c>
      <c r="D250" s="41" t="s">
        <v>21</v>
      </c>
      <c r="E250" s="41" t="s">
        <v>22</v>
      </c>
      <c r="F250" s="41" t="s">
        <v>17</v>
      </c>
      <c r="G250" s="41" t="s">
        <v>31</v>
      </c>
      <c r="H250" s="42">
        <v>45170.0</v>
      </c>
      <c r="I250" s="41">
        <v>437.0</v>
      </c>
      <c r="J250" s="43">
        <v>408.8</v>
      </c>
      <c r="K250" s="43">
        <v>246.76</v>
      </c>
      <c r="L250" s="43">
        <v>178645.6</v>
      </c>
      <c r="M250" s="43">
        <v>107834.12</v>
      </c>
      <c r="N250" s="43">
        <v>70811.48000000001</v>
      </c>
      <c r="O250" s="44">
        <v>0.3963796477495108</v>
      </c>
    </row>
    <row r="251" ht="22.5" customHeight="1">
      <c r="B251" s="41" t="s">
        <v>277</v>
      </c>
      <c r="C251" s="41" t="s">
        <v>14</v>
      </c>
      <c r="D251" s="41" t="s">
        <v>29</v>
      </c>
      <c r="E251" s="41" t="s">
        <v>30</v>
      </c>
      <c r="F251" s="41" t="s">
        <v>17</v>
      </c>
      <c r="G251" s="41" t="s">
        <v>18</v>
      </c>
      <c r="H251" s="42">
        <v>45171.0</v>
      </c>
      <c r="I251" s="41">
        <v>190.0</v>
      </c>
      <c r="J251" s="43">
        <v>189.89</v>
      </c>
      <c r="K251" s="43">
        <v>275.78</v>
      </c>
      <c r="L251" s="43">
        <v>36079.1</v>
      </c>
      <c r="M251" s="43">
        <v>52398.2</v>
      </c>
      <c r="N251" s="43">
        <v>-16319.099999999999</v>
      </c>
      <c r="O251" s="44">
        <v>-0.45231449786718625</v>
      </c>
    </row>
    <row r="252" ht="22.5" customHeight="1">
      <c r="B252" s="41" t="s">
        <v>278</v>
      </c>
      <c r="C252" s="41" t="s">
        <v>52</v>
      </c>
      <c r="D252" s="41" t="s">
        <v>54</v>
      </c>
      <c r="E252" s="41" t="s">
        <v>46</v>
      </c>
      <c r="F252" s="41" t="s">
        <v>27</v>
      </c>
      <c r="G252" s="41" t="s">
        <v>31</v>
      </c>
      <c r="H252" s="42">
        <v>45172.0</v>
      </c>
      <c r="I252" s="41">
        <v>33.0</v>
      </c>
      <c r="J252" s="43">
        <v>265.62</v>
      </c>
      <c r="K252" s="43">
        <v>151.35</v>
      </c>
      <c r="L252" s="43">
        <v>8765.460000000001</v>
      </c>
      <c r="M252" s="43">
        <v>4994.55</v>
      </c>
      <c r="N252" s="43">
        <v>3770.9100000000008</v>
      </c>
      <c r="O252" s="44">
        <v>0.4302010390783827</v>
      </c>
    </row>
    <row r="253" ht="22.5" customHeight="1">
      <c r="B253" s="41" t="s">
        <v>279</v>
      </c>
      <c r="C253" s="41" t="s">
        <v>25</v>
      </c>
      <c r="D253" s="41" t="s">
        <v>29</v>
      </c>
      <c r="E253" s="41" t="s">
        <v>46</v>
      </c>
      <c r="F253" s="41" t="s">
        <v>17</v>
      </c>
      <c r="G253" s="41" t="s">
        <v>18</v>
      </c>
      <c r="H253" s="42">
        <v>45173.0</v>
      </c>
      <c r="I253" s="41">
        <v>325.0</v>
      </c>
      <c r="J253" s="43">
        <v>60.59</v>
      </c>
      <c r="K253" s="43">
        <v>216.4</v>
      </c>
      <c r="L253" s="43">
        <v>19691.75</v>
      </c>
      <c r="M253" s="43">
        <v>70330.0</v>
      </c>
      <c r="N253" s="43">
        <v>-50638.25</v>
      </c>
      <c r="O253" s="44">
        <v>-2.57154645981185</v>
      </c>
    </row>
    <row r="254" ht="22.5" customHeight="1">
      <c r="B254" s="41" t="s">
        <v>280</v>
      </c>
      <c r="C254" s="41" t="s">
        <v>25</v>
      </c>
      <c r="D254" s="41" t="s">
        <v>29</v>
      </c>
      <c r="E254" s="41" t="s">
        <v>30</v>
      </c>
      <c r="F254" s="41" t="s">
        <v>27</v>
      </c>
      <c r="G254" s="41" t="s">
        <v>18</v>
      </c>
      <c r="H254" s="42">
        <v>45174.0</v>
      </c>
      <c r="I254" s="41">
        <v>387.0</v>
      </c>
      <c r="J254" s="43">
        <v>6.28</v>
      </c>
      <c r="K254" s="43">
        <v>210.62</v>
      </c>
      <c r="L254" s="43">
        <v>2430.36</v>
      </c>
      <c r="M254" s="43">
        <v>81509.94</v>
      </c>
      <c r="N254" s="43">
        <v>-79079.58</v>
      </c>
      <c r="O254" s="44">
        <v>-32.538216560509554</v>
      </c>
    </row>
    <row r="255" ht="22.5" customHeight="1">
      <c r="B255" s="41" t="s">
        <v>281</v>
      </c>
      <c r="C255" s="41" t="s">
        <v>25</v>
      </c>
      <c r="D255" s="41" t="s">
        <v>29</v>
      </c>
      <c r="E255" s="41" t="s">
        <v>22</v>
      </c>
      <c r="F255" s="41" t="s">
        <v>17</v>
      </c>
      <c r="G255" s="41" t="s">
        <v>31</v>
      </c>
      <c r="H255" s="42">
        <v>45175.0</v>
      </c>
      <c r="I255" s="41">
        <v>396.0</v>
      </c>
      <c r="J255" s="43">
        <v>320.8</v>
      </c>
      <c r="K255" s="43">
        <v>339.52</v>
      </c>
      <c r="L255" s="43">
        <v>127036.8</v>
      </c>
      <c r="M255" s="43">
        <v>134449.91999999998</v>
      </c>
      <c r="N255" s="43">
        <v>-7413.119999999981</v>
      </c>
      <c r="O255" s="44">
        <v>-0.058354114713216804</v>
      </c>
    </row>
    <row r="256" ht="22.5" customHeight="1">
      <c r="B256" s="41" t="s">
        <v>282</v>
      </c>
      <c r="C256" s="41" t="s">
        <v>14</v>
      </c>
      <c r="D256" s="41" t="s">
        <v>29</v>
      </c>
      <c r="E256" s="41" t="s">
        <v>46</v>
      </c>
      <c r="F256" s="41" t="s">
        <v>17</v>
      </c>
      <c r="G256" s="41" t="s">
        <v>18</v>
      </c>
      <c r="H256" s="42">
        <v>45176.0</v>
      </c>
      <c r="I256" s="41">
        <v>413.0</v>
      </c>
      <c r="J256" s="43">
        <v>260.01</v>
      </c>
      <c r="K256" s="43">
        <v>336.31</v>
      </c>
      <c r="L256" s="43">
        <v>107384.12999999999</v>
      </c>
      <c r="M256" s="43">
        <v>138896.03</v>
      </c>
      <c r="N256" s="43">
        <v>-31511.90000000001</v>
      </c>
      <c r="O256" s="44">
        <v>-0.2934502519133881</v>
      </c>
    </row>
    <row r="257" ht="22.5" customHeight="1">
      <c r="B257" s="41" t="s">
        <v>283</v>
      </c>
      <c r="C257" s="41" t="s">
        <v>52</v>
      </c>
      <c r="D257" s="41" t="s">
        <v>34</v>
      </c>
      <c r="E257" s="41" t="s">
        <v>46</v>
      </c>
      <c r="F257" s="41" t="s">
        <v>17</v>
      </c>
      <c r="G257" s="41" t="s">
        <v>18</v>
      </c>
      <c r="H257" s="42">
        <v>45177.0</v>
      </c>
      <c r="I257" s="41">
        <v>255.9029411764706</v>
      </c>
      <c r="J257" s="43">
        <v>298.8</v>
      </c>
      <c r="K257" s="43">
        <v>333.41</v>
      </c>
      <c r="L257" s="43">
        <v>76463.79882352942</v>
      </c>
      <c r="M257" s="43">
        <v>85320.59961764707</v>
      </c>
      <c r="N257" s="43">
        <v>-8856.800794117647</v>
      </c>
      <c r="O257" s="44">
        <v>-0.11582998661311913</v>
      </c>
    </row>
    <row r="258" ht="22.5" customHeight="1">
      <c r="B258" s="41" t="s">
        <v>284</v>
      </c>
      <c r="C258" s="41" t="s">
        <v>25</v>
      </c>
      <c r="D258" s="41" t="s">
        <v>21</v>
      </c>
      <c r="E258" s="41" t="s">
        <v>16</v>
      </c>
      <c r="F258" s="41" t="s">
        <v>27</v>
      </c>
      <c r="G258" s="41" t="s">
        <v>23</v>
      </c>
      <c r="H258" s="42">
        <v>45178.0</v>
      </c>
      <c r="I258" s="41">
        <v>24.0</v>
      </c>
      <c r="J258" s="43">
        <v>397.9</v>
      </c>
      <c r="K258" s="43">
        <v>6.39</v>
      </c>
      <c r="L258" s="43">
        <v>9549.599999999999</v>
      </c>
      <c r="M258" s="43">
        <v>153.35999999999999</v>
      </c>
      <c r="N258" s="43">
        <v>9396.239999999998</v>
      </c>
      <c r="O258" s="44">
        <v>0.9839406886152299</v>
      </c>
    </row>
    <row r="259" ht="22.5" customHeight="1">
      <c r="B259" s="41" t="s">
        <v>285</v>
      </c>
      <c r="C259" s="41" t="s">
        <v>20</v>
      </c>
      <c r="D259" s="41" t="s">
        <v>15</v>
      </c>
      <c r="E259" s="41" t="s">
        <v>39</v>
      </c>
      <c r="F259" s="41" t="s">
        <v>17</v>
      </c>
      <c r="G259" s="41" t="s">
        <v>18</v>
      </c>
      <c r="H259" s="42">
        <v>45179.0</v>
      </c>
      <c r="I259" s="41">
        <v>162.0</v>
      </c>
      <c r="J259" s="43">
        <v>325.07</v>
      </c>
      <c r="K259" s="43">
        <v>300.32</v>
      </c>
      <c r="L259" s="43">
        <v>52661.34</v>
      </c>
      <c r="M259" s="43">
        <v>48651.84</v>
      </c>
      <c r="N259" s="43">
        <v>4009.5</v>
      </c>
      <c r="O259" s="44">
        <v>0.07613744731903899</v>
      </c>
    </row>
    <row r="260" ht="22.5" customHeight="1">
      <c r="B260" s="41" t="s">
        <v>286</v>
      </c>
      <c r="C260" s="41" t="s">
        <v>25</v>
      </c>
      <c r="D260" s="41" t="s">
        <v>29</v>
      </c>
      <c r="E260" s="41" t="s">
        <v>46</v>
      </c>
      <c r="F260" s="41" t="s">
        <v>27</v>
      </c>
      <c r="G260" s="41" t="s">
        <v>31</v>
      </c>
      <c r="H260" s="42">
        <v>45180.0</v>
      </c>
      <c r="I260" s="41">
        <v>231.0</v>
      </c>
      <c r="J260" s="43">
        <v>91.51</v>
      </c>
      <c r="K260" s="43">
        <v>303.95</v>
      </c>
      <c r="L260" s="43">
        <v>21138.81</v>
      </c>
      <c r="M260" s="43">
        <v>70212.45</v>
      </c>
      <c r="N260" s="43">
        <v>-49073.64</v>
      </c>
      <c r="O260" s="44">
        <v>-2.321494918588132</v>
      </c>
    </row>
    <row r="261" ht="22.5" customHeight="1">
      <c r="B261" s="41" t="s">
        <v>287</v>
      </c>
      <c r="C261" s="41" t="s">
        <v>25</v>
      </c>
      <c r="D261" s="41" t="s">
        <v>54</v>
      </c>
      <c r="E261" s="41" t="s">
        <v>22</v>
      </c>
      <c r="F261" s="41" t="s">
        <v>27</v>
      </c>
      <c r="G261" s="41" t="s">
        <v>31</v>
      </c>
      <c r="H261" s="42">
        <v>45181.0</v>
      </c>
      <c r="I261" s="41">
        <v>215.0</v>
      </c>
      <c r="J261" s="43">
        <v>183.58</v>
      </c>
      <c r="K261" s="43">
        <v>271.99</v>
      </c>
      <c r="L261" s="43">
        <v>39469.700000000004</v>
      </c>
      <c r="M261" s="43">
        <v>58477.85</v>
      </c>
      <c r="N261" s="43">
        <v>-19008.149999999994</v>
      </c>
      <c r="O261" s="44">
        <v>-0.4815884083233466</v>
      </c>
    </row>
    <row r="262" ht="22.5" customHeight="1">
      <c r="B262" s="41" t="s">
        <v>288</v>
      </c>
      <c r="C262" s="41" t="s">
        <v>14</v>
      </c>
      <c r="D262" s="41" t="s">
        <v>29</v>
      </c>
      <c r="E262" s="41" t="s">
        <v>30</v>
      </c>
      <c r="F262" s="41" t="s">
        <v>27</v>
      </c>
      <c r="G262" s="41" t="s">
        <v>18</v>
      </c>
      <c r="H262" s="42">
        <v>45182.0</v>
      </c>
      <c r="I262" s="41">
        <v>464.0</v>
      </c>
      <c r="J262" s="43">
        <v>453.42</v>
      </c>
      <c r="K262" s="43">
        <v>302.99</v>
      </c>
      <c r="L262" s="43">
        <v>210386.88</v>
      </c>
      <c r="M262" s="43">
        <v>140587.36000000002</v>
      </c>
      <c r="N262" s="43">
        <v>69799.51999999999</v>
      </c>
      <c r="O262" s="44">
        <v>0.33176745622160464</v>
      </c>
    </row>
    <row r="263" ht="22.5" customHeight="1">
      <c r="B263" s="41" t="s">
        <v>289</v>
      </c>
      <c r="C263" s="41" t="s">
        <v>14</v>
      </c>
      <c r="D263" s="41" t="s">
        <v>54</v>
      </c>
      <c r="E263" s="41" t="s">
        <v>26</v>
      </c>
      <c r="F263" s="41" t="s">
        <v>17</v>
      </c>
      <c r="G263" s="41" t="s">
        <v>23</v>
      </c>
      <c r="H263" s="42">
        <v>45183.0</v>
      </c>
      <c r="I263" s="41">
        <v>282.0</v>
      </c>
      <c r="J263" s="43">
        <v>249.64520588235297</v>
      </c>
      <c r="K263" s="43">
        <v>337.1</v>
      </c>
      <c r="L263" s="43">
        <v>70399.94805882353</v>
      </c>
      <c r="M263" s="43">
        <v>95062.20000000001</v>
      </c>
      <c r="N263" s="43">
        <v>-24662.25194117648</v>
      </c>
      <c r="O263" s="44">
        <v>-0.35031633717356775</v>
      </c>
    </row>
    <row r="264" ht="22.5" customHeight="1">
      <c r="B264" s="41" t="s">
        <v>290</v>
      </c>
      <c r="C264" s="41" t="s">
        <v>52</v>
      </c>
      <c r="D264" s="41" t="s">
        <v>34</v>
      </c>
      <c r="E264" s="41" t="s">
        <v>46</v>
      </c>
      <c r="F264" s="41" t="s">
        <v>17</v>
      </c>
      <c r="G264" s="41" t="s">
        <v>23</v>
      </c>
      <c r="H264" s="42">
        <v>45184.0</v>
      </c>
      <c r="I264" s="41">
        <v>391.0</v>
      </c>
      <c r="J264" s="43">
        <v>280.54</v>
      </c>
      <c r="K264" s="43">
        <v>189.19</v>
      </c>
      <c r="L264" s="43">
        <v>109691.14000000001</v>
      </c>
      <c r="M264" s="43">
        <v>73973.29</v>
      </c>
      <c r="N264" s="43">
        <v>35717.85000000002</v>
      </c>
      <c r="O264" s="44">
        <v>0.3256220146859629</v>
      </c>
    </row>
    <row r="265" ht="22.5" customHeight="1">
      <c r="B265" s="41" t="s">
        <v>291</v>
      </c>
      <c r="C265" s="41" t="s">
        <v>20</v>
      </c>
      <c r="D265" s="41" t="s">
        <v>54</v>
      </c>
      <c r="E265" s="41" t="s">
        <v>16</v>
      </c>
      <c r="F265" s="41" t="s">
        <v>17</v>
      </c>
      <c r="G265" s="41" t="s">
        <v>18</v>
      </c>
      <c r="H265" s="42">
        <v>45185.0</v>
      </c>
      <c r="I265" s="41">
        <v>245.0</v>
      </c>
      <c r="J265" s="43">
        <v>131.54</v>
      </c>
      <c r="K265" s="43">
        <v>201.82</v>
      </c>
      <c r="L265" s="43">
        <v>32227.3</v>
      </c>
      <c r="M265" s="43">
        <v>49445.9</v>
      </c>
      <c r="N265" s="43">
        <v>-17218.600000000002</v>
      </c>
      <c r="O265" s="44">
        <v>-0.5342861487000153</v>
      </c>
    </row>
    <row r="266" ht="22.5" customHeight="1">
      <c r="B266" s="41" t="s">
        <v>292</v>
      </c>
      <c r="C266" s="41" t="s">
        <v>14</v>
      </c>
      <c r="D266" s="41" t="s">
        <v>15</v>
      </c>
      <c r="E266" s="41" t="s">
        <v>30</v>
      </c>
      <c r="F266" s="41" t="s">
        <v>17</v>
      </c>
      <c r="G266" s="41" t="s">
        <v>18</v>
      </c>
      <c r="H266" s="42">
        <v>45186.0</v>
      </c>
      <c r="I266" s="41">
        <v>349.0</v>
      </c>
      <c r="J266" s="43">
        <v>154.52</v>
      </c>
      <c r="K266" s="43">
        <v>51.64</v>
      </c>
      <c r="L266" s="43">
        <v>53927.48</v>
      </c>
      <c r="M266" s="43">
        <v>18022.36</v>
      </c>
      <c r="N266" s="43">
        <v>35905.12</v>
      </c>
      <c r="O266" s="44">
        <v>0.6658037794460264</v>
      </c>
    </row>
    <row r="267" ht="22.5" customHeight="1">
      <c r="B267" s="41" t="s">
        <v>293</v>
      </c>
      <c r="C267" s="41" t="s">
        <v>25</v>
      </c>
      <c r="D267" s="41" t="s">
        <v>21</v>
      </c>
      <c r="E267" s="41" t="s">
        <v>22</v>
      </c>
      <c r="F267" s="41" t="s">
        <v>27</v>
      </c>
      <c r="G267" s="41" t="s">
        <v>31</v>
      </c>
      <c r="H267" s="42">
        <v>45187.0</v>
      </c>
      <c r="I267" s="41">
        <v>237.0</v>
      </c>
      <c r="J267" s="43">
        <v>249.64520588235297</v>
      </c>
      <c r="K267" s="43">
        <v>155.38</v>
      </c>
      <c r="L267" s="43">
        <v>59165.91379411765</v>
      </c>
      <c r="M267" s="43">
        <v>36825.06</v>
      </c>
      <c r="N267" s="43">
        <v>22340.853794117655</v>
      </c>
      <c r="O267" s="44">
        <v>0.3775966998812551</v>
      </c>
    </row>
    <row r="268" ht="22.5" customHeight="1">
      <c r="B268" s="41" t="s">
        <v>294</v>
      </c>
      <c r="C268" s="41" t="s">
        <v>52</v>
      </c>
      <c r="D268" s="41" t="s">
        <v>54</v>
      </c>
      <c r="E268" s="41" t="s">
        <v>30</v>
      </c>
      <c r="F268" s="41" t="s">
        <v>27</v>
      </c>
      <c r="G268" s="41" t="s">
        <v>18</v>
      </c>
      <c r="H268" s="42">
        <v>45188.0</v>
      </c>
      <c r="I268" s="41">
        <v>18.0</v>
      </c>
      <c r="J268" s="43">
        <v>426.33</v>
      </c>
      <c r="K268" s="43">
        <v>258.06</v>
      </c>
      <c r="L268" s="43">
        <v>7673.94</v>
      </c>
      <c r="M268" s="43">
        <v>4645.08</v>
      </c>
      <c r="N268" s="43">
        <v>3028.8599999999997</v>
      </c>
      <c r="O268" s="44">
        <v>0.3946942509323763</v>
      </c>
    </row>
    <row r="269" ht="22.5" customHeight="1">
      <c r="B269" s="41" t="s">
        <v>295</v>
      </c>
      <c r="C269" s="41" t="s">
        <v>25</v>
      </c>
      <c r="D269" s="41" t="s">
        <v>54</v>
      </c>
      <c r="E269" s="41" t="s">
        <v>46</v>
      </c>
      <c r="F269" s="41" t="s">
        <v>27</v>
      </c>
      <c r="G269" s="41" t="s">
        <v>23</v>
      </c>
      <c r="H269" s="42">
        <v>45189.0</v>
      </c>
      <c r="I269" s="41">
        <v>175.0</v>
      </c>
      <c r="J269" s="43">
        <v>337.36</v>
      </c>
      <c r="K269" s="43">
        <v>312.6</v>
      </c>
      <c r="L269" s="43">
        <v>59038.0</v>
      </c>
      <c r="M269" s="43">
        <v>54705.00000000001</v>
      </c>
      <c r="N269" s="43">
        <v>4332.999999999993</v>
      </c>
      <c r="O269" s="44">
        <v>0.0733934076357599</v>
      </c>
    </row>
    <row r="270" ht="22.5" customHeight="1">
      <c r="B270" s="41" t="s">
        <v>296</v>
      </c>
      <c r="C270" s="41" t="s">
        <v>25</v>
      </c>
      <c r="D270" s="41" t="s">
        <v>21</v>
      </c>
      <c r="E270" s="41" t="s">
        <v>39</v>
      </c>
      <c r="F270" s="41" t="s">
        <v>17</v>
      </c>
      <c r="G270" s="41" t="s">
        <v>18</v>
      </c>
      <c r="H270" s="42">
        <v>45190.0</v>
      </c>
      <c r="I270" s="41">
        <v>441.0</v>
      </c>
      <c r="J270" s="43">
        <v>405.72</v>
      </c>
      <c r="K270" s="43">
        <v>88.45</v>
      </c>
      <c r="L270" s="43">
        <v>178922.52000000002</v>
      </c>
      <c r="M270" s="43">
        <v>39006.450000000004</v>
      </c>
      <c r="N270" s="43">
        <v>139916.07</v>
      </c>
      <c r="O270" s="44">
        <v>0.7819925071477866</v>
      </c>
    </row>
    <row r="271" ht="22.5" customHeight="1">
      <c r="B271" s="41" t="s">
        <v>297</v>
      </c>
      <c r="C271" s="41" t="s">
        <v>14</v>
      </c>
      <c r="D271" s="41" t="s">
        <v>15</v>
      </c>
      <c r="E271" s="41" t="s">
        <v>26</v>
      </c>
      <c r="F271" s="41" t="s">
        <v>27</v>
      </c>
      <c r="G271" s="41" t="s">
        <v>31</v>
      </c>
      <c r="H271" s="42">
        <v>45191.0</v>
      </c>
      <c r="I271" s="41">
        <v>453.0</v>
      </c>
      <c r="J271" s="43">
        <v>384.49</v>
      </c>
      <c r="K271" s="43">
        <v>56.85</v>
      </c>
      <c r="L271" s="43">
        <v>174173.97</v>
      </c>
      <c r="M271" s="43">
        <v>25753.05</v>
      </c>
      <c r="N271" s="43">
        <v>148420.92</v>
      </c>
      <c r="O271" s="44">
        <v>0.8521417982262218</v>
      </c>
    </row>
    <row r="272" ht="22.5" customHeight="1">
      <c r="B272" s="41" t="s">
        <v>298</v>
      </c>
      <c r="C272" s="41" t="s">
        <v>52</v>
      </c>
      <c r="D272" s="41" t="s">
        <v>29</v>
      </c>
      <c r="E272" s="41" t="s">
        <v>30</v>
      </c>
      <c r="F272" s="41" t="s">
        <v>17</v>
      </c>
      <c r="G272" s="41" t="s">
        <v>31</v>
      </c>
      <c r="H272" s="42">
        <v>45192.0</v>
      </c>
      <c r="I272" s="41">
        <v>328.0</v>
      </c>
      <c r="J272" s="43">
        <v>79.1</v>
      </c>
      <c r="K272" s="43">
        <v>265.89</v>
      </c>
      <c r="L272" s="43">
        <v>25944.8</v>
      </c>
      <c r="M272" s="43">
        <v>87211.92</v>
      </c>
      <c r="N272" s="43">
        <v>-61267.119999999995</v>
      </c>
      <c r="O272" s="44">
        <v>-2.361441213653603</v>
      </c>
    </row>
    <row r="273" ht="22.5" customHeight="1">
      <c r="B273" s="41" t="s">
        <v>299</v>
      </c>
      <c r="C273" s="41" t="s">
        <v>20</v>
      </c>
      <c r="D273" s="41" t="s">
        <v>54</v>
      </c>
      <c r="E273" s="41" t="s">
        <v>46</v>
      </c>
      <c r="F273" s="41" t="s">
        <v>27</v>
      </c>
      <c r="G273" s="41" t="s">
        <v>31</v>
      </c>
      <c r="H273" s="42">
        <v>45193.0</v>
      </c>
      <c r="I273" s="41">
        <v>223.0</v>
      </c>
      <c r="J273" s="43">
        <v>214.85</v>
      </c>
      <c r="K273" s="43">
        <v>2.75</v>
      </c>
      <c r="L273" s="43">
        <v>47911.549999999996</v>
      </c>
      <c r="M273" s="43">
        <v>613.25</v>
      </c>
      <c r="N273" s="43">
        <v>47298.299999999996</v>
      </c>
      <c r="O273" s="44">
        <v>0.9872003723528043</v>
      </c>
    </row>
    <row r="274" ht="22.5" customHeight="1">
      <c r="B274" s="41" t="s">
        <v>300</v>
      </c>
      <c r="C274" s="41" t="s">
        <v>20</v>
      </c>
      <c r="D274" s="41" t="s">
        <v>21</v>
      </c>
      <c r="E274" s="41" t="s">
        <v>16</v>
      </c>
      <c r="F274" s="41" t="s">
        <v>17</v>
      </c>
      <c r="G274" s="41" t="s">
        <v>31</v>
      </c>
      <c r="H274" s="42">
        <v>45194.0</v>
      </c>
      <c r="I274" s="41">
        <v>126.0</v>
      </c>
      <c r="J274" s="43">
        <v>80.73</v>
      </c>
      <c r="K274" s="43">
        <v>72.99</v>
      </c>
      <c r="L274" s="43">
        <v>10171.980000000001</v>
      </c>
      <c r="M274" s="43">
        <v>9196.74</v>
      </c>
      <c r="N274" s="43">
        <v>975.2400000000016</v>
      </c>
      <c r="O274" s="44">
        <v>0.09587513935340036</v>
      </c>
    </row>
    <row r="275" ht="22.5" customHeight="1">
      <c r="B275" s="41" t="s">
        <v>301</v>
      </c>
      <c r="C275" s="41" t="s">
        <v>14</v>
      </c>
      <c r="D275" s="41" t="s">
        <v>34</v>
      </c>
      <c r="E275" s="41" t="s">
        <v>22</v>
      </c>
      <c r="F275" s="41" t="s">
        <v>17</v>
      </c>
      <c r="G275" s="41" t="s">
        <v>31</v>
      </c>
      <c r="H275" s="42">
        <v>45195.0</v>
      </c>
      <c r="I275" s="41">
        <v>395.0</v>
      </c>
      <c r="J275" s="43">
        <v>121.44</v>
      </c>
      <c r="K275" s="43">
        <v>13.57</v>
      </c>
      <c r="L275" s="43">
        <v>47968.799999999996</v>
      </c>
      <c r="M275" s="43">
        <v>5360.150000000001</v>
      </c>
      <c r="N275" s="43">
        <v>42608.649999999994</v>
      </c>
      <c r="O275" s="44">
        <v>0.8882575757575757</v>
      </c>
    </row>
    <row r="276" ht="22.5" customHeight="1">
      <c r="B276" s="41" t="s">
        <v>302</v>
      </c>
      <c r="C276" s="41" t="s">
        <v>14</v>
      </c>
      <c r="D276" s="41" t="s">
        <v>21</v>
      </c>
      <c r="E276" s="41" t="s">
        <v>30</v>
      </c>
      <c r="F276" s="41" t="s">
        <v>27</v>
      </c>
      <c r="G276" s="41" t="s">
        <v>18</v>
      </c>
      <c r="H276" s="42">
        <v>45196.0</v>
      </c>
      <c r="I276" s="41">
        <v>353.0</v>
      </c>
      <c r="J276" s="43">
        <v>435.28</v>
      </c>
      <c r="K276" s="43">
        <v>68.42</v>
      </c>
      <c r="L276" s="43">
        <v>153653.84</v>
      </c>
      <c r="M276" s="43">
        <v>24152.260000000002</v>
      </c>
      <c r="N276" s="43">
        <v>129501.57999999999</v>
      </c>
      <c r="O276" s="44">
        <v>0.8428138209887888</v>
      </c>
    </row>
    <row r="277" ht="22.5" customHeight="1">
      <c r="B277" s="41" t="s">
        <v>303</v>
      </c>
      <c r="C277" s="41" t="s">
        <v>52</v>
      </c>
      <c r="D277" s="41" t="s">
        <v>34</v>
      </c>
      <c r="E277" s="41" t="s">
        <v>30</v>
      </c>
      <c r="F277" s="41" t="s">
        <v>27</v>
      </c>
      <c r="G277" s="41" t="s">
        <v>18</v>
      </c>
      <c r="H277" s="42">
        <v>45197.0</v>
      </c>
      <c r="I277" s="41">
        <v>81.0</v>
      </c>
      <c r="J277" s="43">
        <v>239.08</v>
      </c>
      <c r="K277" s="43">
        <v>74.17</v>
      </c>
      <c r="L277" s="43">
        <v>19365.48</v>
      </c>
      <c r="M277" s="43">
        <v>6007.77</v>
      </c>
      <c r="N277" s="43">
        <v>13357.71</v>
      </c>
      <c r="O277" s="44">
        <v>0.6897691149406057</v>
      </c>
    </row>
    <row r="278" ht="22.5" customHeight="1">
      <c r="B278" s="41" t="s">
        <v>304</v>
      </c>
      <c r="C278" s="41" t="s">
        <v>20</v>
      </c>
      <c r="D278" s="41" t="s">
        <v>15</v>
      </c>
      <c r="E278" s="41" t="s">
        <v>26</v>
      </c>
      <c r="F278" s="41" t="s">
        <v>27</v>
      </c>
      <c r="G278" s="41" t="s">
        <v>18</v>
      </c>
      <c r="H278" s="42">
        <v>45198.0</v>
      </c>
      <c r="I278" s="41">
        <v>404.0</v>
      </c>
      <c r="J278" s="43">
        <v>270.0</v>
      </c>
      <c r="K278" s="43">
        <v>156.29</v>
      </c>
      <c r="L278" s="43">
        <v>109080.0</v>
      </c>
      <c r="M278" s="43">
        <v>63141.159999999996</v>
      </c>
      <c r="N278" s="43">
        <v>45938.840000000004</v>
      </c>
      <c r="O278" s="44">
        <v>0.42114814814814816</v>
      </c>
    </row>
    <row r="279" ht="22.5" customHeight="1">
      <c r="B279" s="41" t="s">
        <v>305</v>
      </c>
      <c r="C279" s="41" t="s">
        <v>20</v>
      </c>
      <c r="D279" s="41" t="s">
        <v>29</v>
      </c>
      <c r="E279" s="41" t="s">
        <v>26</v>
      </c>
      <c r="F279" s="41" t="s">
        <v>27</v>
      </c>
      <c r="G279" s="41" t="s">
        <v>18</v>
      </c>
      <c r="H279" s="42">
        <v>45199.0</v>
      </c>
      <c r="I279" s="41">
        <v>73.0</v>
      </c>
      <c r="J279" s="43">
        <v>93.33</v>
      </c>
      <c r="K279" s="43">
        <v>162.13</v>
      </c>
      <c r="L279" s="43">
        <v>6813.09</v>
      </c>
      <c r="M279" s="43">
        <v>11835.49</v>
      </c>
      <c r="N279" s="43">
        <v>-5022.4</v>
      </c>
      <c r="O279" s="44">
        <v>-0.7371691846137362</v>
      </c>
    </row>
    <row r="280" ht="22.5" customHeight="1">
      <c r="B280" s="41" t="s">
        <v>306</v>
      </c>
      <c r="C280" s="41" t="s">
        <v>20</v>
      </c>
      <c r="D280" s="41" t="s">
        <v>21</v>
      </c>
      <c r="E280" s="41" t="s">
        <v>16</v>
      </c>
      <c r="F280" s="41" t="s">
        <v>17</v>
      </c>
      <c r="G280" s="41" t="s">
        <v>31</v>
      </c>
      <c r="H280" s="42">
        <v>45200.0</v>
      </c>
      <c r="I280" s="41">
        <v>214.0</v>
      </c>
      <c r="J280" s="43">
        <v>159.57</v>
      </c>
      <c r="K280" s="43">
        <v>349.96</v>
      </c>
      <c r="L280" s="43">
        <v>34147.979999999996</v>
      </c>
      <c r="M280" s="43">
        <v>74891.44</v>
      </c>
      <c r="N280" s="43">
        <v>-40743.46000000001</v>
      </c>
      <c r="O280" s="44">
        <v>-1.1931440747007587</v>
      </c>
    </row>
    <row r="281" ht="22.5" customHeight="1">
      <c r="B281" s="41" t="s">
        <v>307</v>
      </c>
      <c r="C281" s="41" t="s">
        <v>25</v>
      </c>
      <c r="D281" s="41" t="s">
        <v>54</v>
      </c>
      <c r="E281" s="41" t="s">
        <v>16</v>
      </c>
      <c r="F281" s="41" t="s">
        <v>27</v>
      </c>
      <c r="G281" s="41" t="s">
        <v>23</v>
      </c>
      <c r="H281" s="42">
        <v>45201.0</v>
      </c>
      <c r="I281" s="41">
        <v>218.0</v>
      </c>
      <c r="J281" s="43">
        <v>118.97</v>
      </c>
      <c r="K281" s="43">
        <v>205.02</v>
      </c>
      <c r="L281" s="43">
        <v>25935.46</v>
      </c>
      <c r="M281" s="43">
        <v>44694.36</v>
      </c>
      <c r="N281" s="43">
        <v>-18758.9</v>
      </c>
      <c r="O281" s="44">
        <v>-0.7232915861141465</v>
      </c>
    </row>
    <row r="282" ht="22.5" customHeight="1">
      <c r="B282" s="41" t="s">
        <v>308</v>
      </c>
      <c r="C282" s="41" t="s">
        <v>20</v>
      </c>
      <c r="D282" s="41" t="s">
        <v>15</v>
      </c>
      <c r="E282" s="41" t="s">
        <v>46</v>
      </c>
      <c r="F282" s="41" t="s">
        <v>27</v>
      </c>
      <c r="G282" s="41" t="s">
        <v>18</v>
      </c>
      <c r="H282" s="42">
        <v>45202.0</v>
      </c>
      <c r="I282" s="41">
        <v>81.0</v>
      </c>
      <c r="J282" s="43">
        <v>107.06</v>
      </c>
      <c r="K282" s="43">
        <v>289.92</v>
      </c>
      <c r="L282" s="43">
        <v>8671.86</v>
      </c>
      <c r="M282" s="43">
        <v>23483.52</v>
      </c>
      <c r="N282" s="43">
        <v>-14811.66</v>
      </c>
      <c r="O282" s="44">
        <v>-1.7080141976461796</v>
      </c>
    </row>
    <row r="283" ht="22.5" customHeight="1">
      <c r="B283" s="41" t="s">
        <v>309</v>
      </c>
      <c r="C283" s="41" t="s">
        <v>25</v>
      </c>
      <c r="D283" s="41" t="s">
        <v>21</v>
      </c>
      <c r="E283" s="41" t="s">
        <v>46</v>
      </c>
      <c r="F283" s="41" t="s">
        <v>27</v>
      </c>
      <c r="G283" s="41" t="s">
        <v>23</v>
      </c>
      <c r="H283" s="42">
        <v>45203.0</v>
      </c>
      <c r="I283" s="41">
        <v>286.0</v>
      </c>
      <c r="J283" s="43">
        <v>320.79</v>
      </c>
      <c r="K283" s="43">
        <v>43.45</v>
      </c>
      <c r="L283" s="43">
        <v>91745.94</v>
      </c>
      <c r="M283" s="43">
        <v>12426.7</v>
      </c>
      <c r="N283" s="43">
        <v>79319.24</v>
      </c>
      <c r="O283" s="44">
        <v>0.8645531344493282</v>
      </c>
    </row>
    <row r="284" ht="22.5" customHeight="1">
      <c r="B284" s="41" t="s">
        <v>310</v>
      </c>
      <c r="C284" s="41" t="s">
        <v>52</v>
      </c>
      <c r="D284" s="41" t="s">
        <v>54</v>
      </c>
      <c r="E284" s="41" t="s">
        <v>16</v>
      </c>
      <c r="F284" s="41" t="s">
        <v>17</v>
      </c>
      <c r="G284" s="41" t="s">
        <v>18</v>
      </c>
      <c r="H284" s="42">
        <v>45204.0</v>
      </c>
      <c r="I284" s="41">
        <v>283.0</v>
      </c>
      <c r="J284" s="43">
        <v>132.16</v>
      </c>
      <c r="K284" s="43">
        <v>91.72</v>
      </c>
      <c r="L284" s="43">
        <v>37401.28</v>
      </c>
      <c r="M284" s="43">
        <v>25956.76</v>
      </c>
      <c r="N284" s="43">
        <v>11444.52</v>
      </c>
      <c r="O284" s="44">
        <v>0.30599273607748184</v>
      </c>
    </row>
    <row r="285" ht="22.5" customHeight="1">
      <c r="B285" s="41" t="s">
        <v>311</v>
      </c>
      <c r="C285" s="41" t="s">
        <v>25</v>
      </c>
      <c r="D285" s="41" t="s">
        <v>21</v>
      </c>
      <c r="E285" s="41" t="s">
        <v>16</v>
      </c>
      <c r="F285" s="41" t="s">
        <v>17</v>
      </c>
      <c r="G285" s="41" t="s">
        <v>18</v>
      </c>
      <c r="H285" s="42">
        <v>45205.0</v>
      </c>
      <c r="I285" s="41">
        <v>487.0</v>
      </c>
      <c r="J285" s="43">
        <v>317.85</v>
      </c>
      <c r="K285" s="43">
        <v>281.77</v>
      </c>
      <c r="L285" s="43">
        <v>154792.95</v>
      </c>
      <c r="M285" s="43">
        <v>137221.99</v>
      </c>
      <c r="N285" s="43">
        <v>17570.96000000002</v>
      </c>
      <c r="O285" s="44">
        <v>0.11351266320591487</v>
      </c>
    </row>
    <row r="286" ht="22.5" customHeight="1">
      <c r="B286" s="41" t="s">
        <v>312</v>
      </c>
      <c r="C286" s="41" t="s">
        <v>52</v>
      </c>
      <c r="D286" s="41" t="s">
        <v>34</v>
      </c>
      <c r="E286" s="41" t="s">
        <v>22</v>
      </c>
      <c r="F286" s="41" t="s">
        <v>27</v>
      </c>
      <c r="G286" s="41" t="s">
        <v>23</v>
      </c>
      <c r="H286" s="42">
        <v>45206.0</v>
      </c>
      <c r="I286" s="41">
        <v>329.0</v>
      </c>
      <c r="J286" s="43">
        <v>33.94</v>
      </c>
      <c r="K286" s="43">
        <v>23.02</v>
      </c>
      <c r="L286" s="43">
        <v>11166.259999999998</v>
      </c>
      <c r="M286" s="43">
        <v>7573.58</v>
      </c>
      <c r="N286" s="43">
        <v>3592.6799999999985</v>
      </c>
      <c r="O286" s="44">
        <v>0.32174425456688266</v>
      </c>
    </row>
    <row r="287" ht="22.5" customHeight="1">
      <c r="B287" s="41" t="s">
        <v>313</v>
      </c>
      <c r="C287" s="41" t="s">
        <v>20</v>
      </c>
      <c r="D287" s="41" t="s">
        <v>21</v>
      </c>
      <c r="E287" s="41" t="s">
        <v>26</v>
      </c>
      <c r="F287" s="41" t="s">
        <v>17</v>
      </c>
      <c r="G287" s="41" t="s">
        <v>31</v>
      </c>
      <c r="H287" s="42">
        <v>45207.0</v>
      </c>
      <c r="I287" s="41">
        <v>347.0</v>
      </c>
      <c r="J287" s="43">
        <v>75.18</v>
      </c>
      <c r="K287" s="43">
        <v>195.67</v>
      </c>
      <c r="L287" s="43">
        <v>26087.460000000003</v>
      </c>
      <c r="M287" s="43">
        <v>67897.48999999999</v>
      </c>
      <c r="N287" s="43">
        <v>-41810.029999999984</v>
      </c>
      <c r="O287" s="44">
        <v>-1.602686884809789</v>
      </c>
    </row>
    <row r="288" ht="22.5" customHeight="1">
      <c r="B288" s="41" t="s">
        <v>314</v>
      </c>
      <c r="C288" s="41" t="s">
        <v>20</v>
      </c>
      <c r="D288" s="41" t="s">
        <v>21</v>
      </c>
      <c r="E288" s="41" t="s">
        <v>46</v>
      </c>
      <c r="F288" s="41" t="s">
        <v>27</v>
      </c>
      <c r="G288" s="41" t="s">
        <v>18</v>
      </c>
      <c r="H288" s="42">
        <v>45208.0</v>
      </c>
      <c r="I288" s="41">
        <v>375.0</v>
      </c>
      <c r="J288" s="43">
        <v>140.9</v>
      </c>
      <c r="K288" s="43">
        <v>240.55</v>
      </c>
      <c r="L288" s="43">
        <v>52837.5</v>
      </c>
      <c r="M288" s="43">
        <v>90206.25</v>
      </c>
      <c r="N288" s="43">
        <v>-37368.75</v>
      </c>
      <c r="O288" s="44">
        <v>-0.7072391767210788</v>
      </c>
    </row>
    <row r="289" ht="22.5" customHeight="1">
      <c r="B289" s="41" t="s">
        <v>315</v>
      </c>
      <c r="C289" s="41" t="s">
        <v>52</v>
      </c>
      <c r="D289" s="41" t="s">
        <v>21</v>
      </c>
      <c r="E289" s="41" t="s">
        <v>26</v>
      </c>
      <c r="F289" s="41" t="s">
        <v>17</v>
      </c>
      <c r="G289" s="41" t="s">
        <v>18</v>
      </c>
      <c r="H289" s="42">
        <v>45209.0</v>
      </c>
      <c r="I289" s="41">
        <v>104.0</v>
      </c>
      <c r="J289" s="43">
        <v>300.54</v>
      </c>
      <c r="K289" s="43">
        <v>241.65</v>
      </c>
      <c r="L289" s="43">
        <v>31256.160000000003</v>
      </c>
      <c r="M289" s="43">
        <v>25131.600000000002</v>
      </c>
      <c r="N289" s="43">
        <v>6124.560000000001</v>
      </c>
      <c r="O289" s="44">
        <v>0.1959472948692354</v>
      </c>
    </row>
    <row r="290" ht="22.5" customHeight="1">
      <c r="B290" s="41" t="s">
        <v>316</v>
      </c>
      <c r="C290" s="41" t="s">
        <v>14</v>
      </c>
      <c r="D290" s="41" t="s">
        <v>15</v>
      </c>
      <c r="E290" s="41" t="s">
        <v>39</v>
      </c>
      <c r="F290" s="41" t="s">
        <v>17</v>
      </c>
      <c r="G290" s="41" t="s">
        <v>18</v>
      </c>
      <c r="H290" s="42">
        <v>45210.0</v>
      </c>
      <c r="I290" s="41">
        <v>175.0</v>
      </c>
      <c r="J290" s="43">
        <v>339.54</v>
      </c>
      <c r="K290" s="43">
        <v>11.13</v>
      </c>
      <c r="L290" s="43">
        <v>59419.5</v>
      </c>
      <c r="M290" s="43">
        <v>1947.7500000000002</v>
      </c>
      <c r="N290" s="43">
        <v>57471.75</v>
      </c>
      <c r="O290" s="44">
        <v>0.9672203569535254</v>
      </c>
    </row>
    <row r="291" ht="22.5" customHeight="1">
      <c r="B291" s="41" t="s">
        <v>317</v>
      </c>
      <c r="C291" s="41" t="s">
        <v>52</v>
      </c>
      <c r="D291" s="41" t="s">
        <v>21</v>
      </c>
      <c r="E291" s="41" t="s">
        <v>16</v>
      </c>
      <c r="F291" s="41" t="s">
        <v>17</v>
      </c>
      <c r="G291" s="41" t="s">
        <v>23</v>
      </c>
      <c r="H291" s="42">
        <v>45211.0</v>
      </c>
      <c r="I291" s="41">
        <v>41.0</v>
      </c>
      <c r="J291" s="43">
        <v>224.14</v>
      </c>
      <c r="K291" s="43">
        <v>130.2</v>
      </c>
      <c r="L291" s="43">
        <v>9189.74</v>
      </c>
      <c r="M291" s="43">
        <v>5338.2</v>
      </c>
      <c r="N291" s="43">
        <v>3851.54</v>
      </c>
      <c r="O291" s="44">
        <v>0.41911305434103685</v>
      </c>
    </row>
    <row r="292" ht="22.5" customHeight="1">
      <c r="B292" s="41" t="s">
        <v>318</v>
      </c>
      <c r="C292" s="41" t="s">
        <v>14</v>
      </c>
      <c r="D292" s="41" t="s">
        <v>54</v>
      </c>
      <c r="E292" s="41" t="s">
        <v>22</v>
      </c>
      <c r="F292" s="41" t="s">
        <v>17</v>
      </c>
      <c r="G292" s="41" t="s">
        <v>31</v>
      </c>
      <c r="H292" s="42">
        <v>45212.0</v>
      </c>
      <c r="I292" s="41">
        <v>20.0</v>
      </c>
      <c r="J292" s="43">
        <v>225.67</v>
      </c>
      <c r="K292" s="43">
        <v>255.32</v>
      </c>
      <c r="L292" s="43">
        <v>4513.4</v>
      </c>
      <c r="M292" s="43">
        <v>5106.4</v>
      </c>
      <c r="N292" s="43">
        <v>-593.0</v>
      </c>
      <c r="O292" s="44">
        <v>-0.13138653786502416</v>
      </c>
    </row>
    <row r="293" ht="22.5" customHeight="1">
      <c r="B293" s="41" t="s">
        <v>319</v>
      </c>
      <c r="C293" s="41" t="s">
        <v>25</v>
      </c>
      <c r="D293" s="41" t="s">
        <v>34</v>
      </c>
      <c r="E293" s="41" t="s">
        <v>30</v>
      </c>
      <c r="F293" s="41" t="s">
        <v>27</v>
      </c>
      <c r="G293" s="41" t="s">
        <v>23</v>
      </c>
      <c r="H293" s="42">
        <v>45213.0</v>
      </c>
      <c r="I293" s="41">
        <v>310.0</v>
      </c>
      <c r="J293" s="43">
        <v>363.64</v>
      </c>
      <c r="K293" s="43">
        <v>61.3</v>
      </c>
      <c r="L293" s="43">
        <v>112728.4</v>
      </c>
      <c r="M293" s="43">
        <v>19003.0</v>
      </c>
      <c r="N293" s="43">
        <v>93725.4</v>
      </c>
      <c r="O293" s="44">
        <v>0.8314266857331427</v>
      </c>
    </row>
    <row r="294" ht="22.5" customHeight="1">
      <c r="B294" s="41" t="s">
        <v>320</v>
      </c>
      <c r="C294" s="41" t="s">
        <v>25</v>
      </c>
      <c r="D294" s="41" t="s">
        <v>34</v>
      </c>
      <c r="E294" s="41" t="s">
        <v>22</v>
      </c>
      <c r="F294" s="41" t="s">
        <v>27</v>
      </c>
      <c r="G294" s="41" t="s">
        <v>23</v>
      </c>
      <c r="H294" s="42">
        <v>45214.0</v>
      </c>
      <c r="I294" s="41">
        <v>226.0</v>
      </c>
      <c r="J294" s="43">
        <v>249.64520588235297</v>
      </c>
      <c r="K294" s="43">
        <v>278.78</v>
      </c>
      <c r="L294" s="43">
        <v>56419.81652941177</v>
      </c>
      <c r="M294" s="43">
        <v>63004.27999999999</v>
      </c>
      <c r="N294" s="43">
        <v>-6584.46347058822</v>
      </c>
      <c r="O294" s="44">
        <v>-0.11670480117842505</v>
      </c>
    </row>
    <row r="295" ht="22.5" customHeight="1">
      <c r="B295" s="41" t="s">
        <v>321</v>
      </c>
      <c r="C295" s="41" t="s">
        <v>25</v>
      </c>
      <c r="D295" s="41" t="s">
        <v>21</v>
      </c>
      <c r="E295" s="41" t="s">
        <v>22</v>
      </c>
      <c r="F295" s="41" t="s">
        <v>27</v>
      </c>
      <c r="G295" s="41" t="s">
        <v>31</v>
      </c>
      <c r="H295" s="42">
        <v>45215.0</v>
      </c>
      <c r="I295" s="41">
        <v>255.9029411764706</v>
      </c>
      <c r="J295" s="43">
        <v>173.84</v>
      </c>
      <c r="K295" s="43">
        <v>298.88</v>
      </c>
      <c r="L295" s="43">
        <v>44486.16729411765</v>
      </c>
      <c r="M295" s="43">
        <v>76484.27105882353</v>
      </c>
      <c r="N295" s="43">
        <v>-31998.103764705884</v>
      </c>
      <c r="O295" s="44">
        <v>-0.7192820984813622</v>
      </c>
    </row>
    <row r="296" ht="22.5" customHeight="1">
      <c r="B296" s="41" t="s">
        <v>322</v>
      </c>
      <c r="C296" s="41" t="s">
        <v>20</v>
      </c>
      <c r="D296" s="41" t="s">
        <v>15</v>
      </c>
      <c r="E296" s="41" t="s">
        <v>26</v>
      </c>
      <c r="F296" s="41" t="s">
        <v>17</v>
      </c>
      <c r="G296" s="41" t="s">
        <v>23</v>
      </c>
      <c r="H296" s="42">
        <v>45216.0</v>
      </c>
      <c r="I296" s="41">
        <v>111.0</v>
      </c>
      <c r="J296" s="43">
        <v>410.26</v>
      </c>
      <c r="K296" s="43">
        <v>392.82</v>
      </c>
      <c r="L296" s="43">
        <v>45538.86</v>
      </c>
      <c r="M296" s="43">
        <v>43603.02</v>
      </c>
      <c r="N296" s="43">
        <v>1935.8400000000038</v>
      </c>
      <c r="O296" s="44">
        <v>0.04250962804075473</v>
      </c>
    </row>
    <row r="297" ht="22.5" customHeight="1">
      <c r="B297" s="41" t="s">
        <v>323</v>
      </c>
      <c r="C297" s="41" t="s">
        <v>25</v>
      </c>
      <c r="D297" s="41" t="s">
        <v>15</v>
      </c>
      <c r="E297" s="41" t="s">
        <v>22</v>
      </c>
      <c r="F297" s="41" t="s">
        <v>27</v>
      </c>
      <c r="G297" s="41" t="s">
        <v>31</v>
      </c>
      <c r="H297" s="42">
        <v>45217.0</v>
      </c>
      <c r="I297" s="41">
        <v>434.0</v>
      </c>
      <c r="J297" s="43">
        <v>303.59</v>
      </c>
      <c r="K297" s="43">
        <v>85.52</v>
      </c>
      <c r="L297" s="43">
        <v>131758.06</v>
      </c>
      <c r="M297" s="43">
        <v>37115.68</v>
      </c>
      <c r="N297" s="43">
        <v>94642.38</v>
      </c>
      <c r="O297" s="44">
        <v>0.7183042919727264</v>
      </c>
    </row>
    <row r="298" ht="22.5" customHeight="1">
      <c r="B298" s="41" t="s">
        <v>324</v>
      </c>
      <c r="C298" s="41" t="s">
        <v>14</v>
      </c>
      <c r="D298" s="41" t="s">
        <v>54</v>
      </c>
      <c r="E298" s="41" t="s">
        <v>46</v>
      </c>
      <c r="F298" s="41" t="s">
        <v>27</v>
      </c>
      <c r="G298" s="41" t="s">
        <v>18</v>
      </c>
      <c r="H298" s="42">
        <v>45218.0</v>
      </c>
      <c r="I298" s="41">
        <v>401.0</v>
      </c>
      <c r="J298" s="43">
        <v>171.93</v>
      </c>
      <c r="K298" s="43">
        <v>330.4</v>
      </c>
      <c r="L298" s="43">
        <v>68943.93000000001</v>
      </c>
      <c r="M298" s="43">
        <v>132490.4</v>
      </c>
      <c r="N298" s="43">
        <v>-63546.46999999999</v>
      </c>
      <c r="O298" s="44">
        <v>-0.9217123247833418</v>
      </c>
    </row>
    <row r="299" ht="22.5" customHeight="1">
      <c r="B299" s="41" t="s">
        <v>325</v>
      </c>
      <c r="C299" s="41" t="s">
        <v>25</v>
      </c>
      <c r="D299" s="41" t="s">
        <v>21</v>
      </c>
      <c r="E299" s="41" t="s">
        <v>26</v>
      </c>
      <c r="F299" s="41" t="s">
        <v>27</v>
      </c>
      <c r="G299" s="41" t="s">
        <v>31</v>
      </c>
      <c r="H299" s="42">
        <v>45219.0</v>
      </c>
      <c r="I299" s="41">
        <v>276.0</v>
      </c>
      <c r="J299" s="43">
        <v>453.23</v>
      </c>
      <c r="K299" s="43">
        <v>209.08</v>
      </c>
      <c r="L299" s="43">
        <v>125091.48000000001</v>
      </c>
      <c r="M299" s="43">
        <v>57706.08</v>
      </c>
      <c r="N299" s="43">
        <v>67385.40000000001</v>
      </c>
      <c r="O299" s="44">
        <v>0.5386889658672197</v>
      </c>
    </row>
    <row r="300" ht="22.5" customHeight="1">
      <c r="B300" s="41" t="s">
        <v>326</v>
      </c>
      <c r="C300" s="41" t="s">
        <v>52</v>
      </c>
      <c r="D300" s="41" t="s">
        <v>34</v>
      </c>
      <c r="E300" s="41" t="s">
        <v>46</v>
      </c>
      <c r="F300" s="41" t="s">
        <v>17</v>
      </c>
      <c r="G300" s="41" t="s">
        <v>18</v>
      </c>
      <c r="H300" s="42">
        <v>45220.0</v>
      </c>
      <c r="I300" s="41">
        <v>255.9029411764706</v>
      </c>
      <c r="J300" s="43">
        <v>387.45</v>
      </c>
      <c r="K300" s="43">
        <v>150.64</v>
      </c>
      <c r="L300" s="43">
        <v>99149.59455882353</v>
      </c>
      <c r="M300" s="43">
        <v>38549.219058823524</v>
      </c>
      <c r="N300" s="43">
        <v>60600.37550000001</v>
      </c>
      <c r="O300" s="44">
        <v>0.6112014453477869</v>
      </c>
    </row>
    <row r="301" ht="22.5" customHeight="1">
      <c r="B301" s="41" t="s">
        <v>327</v>
      </c>
      <c r="C301" s="41" t="s">
        <v>52</v>
      </c>
      <c r="D301" s="41" t="s">
        <v>15</v>
      </c>
      <c r="E301" s="41" t="s">
        <v>30</v>
      </c>
      <c r="F301" s="41" t="s">
        <v>17</v>
      </c>
      <c r="G301" s="41" t="s">
        <v>23</v>
      </c>
      <c r="H301" s="42">
        <v>45221.0</v>
      </c>
      <c r="I301" s="41">
        <v>188.0</v>
      </c>
      <c r="J301" s="43">
        <v>136.12</v>
      </c>
      <c r="K301" s="43">
        <v>50.71</v>
      </c>
      <c r="L301" s="43">
        <v>25590.56</v>
      </c>
      <c r="M301" s="43">
        <v>9533.48</v>
      </c>
      <c r="N301" s="43">
        <v>16057.080000000002</v>
      </c>
      <c r="O301" s="44">
        <v>0.6274610637672642</v>
      </c>
    </row>
    <row r="302" ht="22.5" customHeight="1">
      <c r="B302" s="41" t="s">
        <v>328</v>
      </c>
      <c r="C302" s="41" t="s">
        <v>20</v>
      </c>
      <c r="D302" s="41" t="s">
        <v>21</v>
      </c>
      <c r="E302" s="41" t="s">
        <v>26</v>
      </c>
      <c r="F302" s="41" t="s">
        <v>17</v>
      </c>
      <c r="G302" s="41" t="s">
        <v>23</v>
      </c>
      <c r="H302" s="42">
        <v>45222.0</v>
      </c>
      <c r="I302" s="41">
        <v>97.0</v>
      </c>
      <c r="J302" s="43">
        <v>324.42</v>
      </c>
      <c r="K302" s="43">
        <v>294.73</v>
      </c>
      <c r="L302" s="43">
        <v>31468.74</v>
      </c>
      <c r="M302" s="43">
        <v>28588.81</v>
      </c>
      <c r="N302" s="43">
        <v>2879.9300000000003</v>
      </c>
      <c r="O302" s="44">
        <v>0.09151716910178165</v>
      </c>
    </row>
    <row r="303" ht="22.5" customHeight="1">
      <c r="B303" s="41" t="s">
        <v>329</v>
      </c>
      <c r="C303" s="41" t="s">
        <v>52</v>
      </c>
      <c r="D303" s="41" t="s">
        <v>15</v>
      </c>
      <c r="E303" s="41" t="s">
        <v>30</v>
      </c>
      <c r="F303" s="41" t="s">
        <v>27</v>
      </c>
      <c r="G303" s="41" t="s">
        <v>18</v>
      </c>
      <c r="H303" s="42">
        <v>45223.0</v>
      </c>
      <c r="I303" s="41">
        <v>50.0</v>
      </c>
      <c r="J303" s="43">
        <v>299.9</v>
      </c>
      <c r="K303" s="43">
        <v>95.87</v>
      </c>
      <c r="L303" s="43">
        <v>14994.999999999998</v>
      </c>
      <c r="M303" s="43">
        <v>4793.5</v>
      </c>
      <c r="N303" s="43">
        <v>10201.499999999998</v>
      </c>
      <c r="O303" s="44">
        <v>0.6803267755918639</v>
      </c>
    </row>
    <row r="304" ht="22.5" customHeight="1">
      <c r="B304" s="41" t="s">
        <v>330</v>
      </c>
      <c r="C304" s="41" t="s">
        <v>14</v>
      </c>
      <c r="D304" s="41" t="s">
        <v>15</v>
      </c>
      <c r="E304" s="41" t="s">
        <v>26</v>
      </c>
      <c r="F304" s="41" t="s">
        <v>27</v>
      </c>
      <c r="G304" s="41" t="s">
        <v>23</v>
      </c>
      <c r="H304" s="42">
        <v>45224.0</v>
      </c>
      <c r="I304" s="41">
        <v>410.0</v>
      </c>
      <c r="J304" s="43">
        <v>203.59</v>
      </c>
      <c r="K304" s="43">
        <v>149.83</v>
      </c>
      <c r="L304" s="43">
        <v>83471.9</v>
      </c>
      <c r="M304" s="43">
        <v>61430.3</v>
      </c>
      <c r="N304" s="43">
        <v>22041.59999999999</v>
      </c>
      <c r="O304" s="44">
        <v>0.264060120831082</v>
      </c>
    </row>
    <row r="305" ht="22.5" customHeight="1">
      <c r="B305" s="41" t="s">
        <v>331</v>
      </c>
      <c r="C305" s="41" t="s">
        <v>25</v>
      </c>
      <c r="D305" s="41" t="s">
        <v>34</v>
      </c>
      <c r="E305" s="41" t="s">
        <v>16</v>
      </c>
      <c r="F305" s="41" t="s">
        <v>27</v>
      </c>
      <c r="G305" s="41" t="s">
        <v>31</v>
      </c>
      <c r="H305" s="42">
        <v>45225.0</v>
      </c>
      <c r="I305" s="41">
        <v>85.0</v>
      </c>
      <c r="J305" s="43">
        <v>186.64</v>
      </c>
      <c r="K305" s="43">
        <v>26.89</v>
      </c>
      <c r="L305" s="43">
        <v>15864.4</v>
      </c>
      <c r="M305" s="43">
        <v>2285.65</v>
      </c>
      <c r="N305" s="43">
        <v>13578.75</v>
      </c>
      <c r="O305" s="44">
        <v>0.8559258465495071</v>
      </c>
    </row>
    <row r="306" ht="22.5" customHeight="1">
      <c r="B306" s="41" t="s">
        <v>332</v>
      </c>
      <c r="C306" s="41" t="s">
        <v>20</v>
      </c>
      <c r="D306" s="41" t="s">
        <v>29</v>
      </c>
      <c r="E306" s="41" t="s">
        <v>22</v>
      </c>
      <c r="F306" s="41" t="s">
        <v>17</v>
      </c>
      <c r="G306" s="41" t="s">
        <v>18</v>
      </c>
      <c r="H306" s="42">
        <v>45226.0</v>
      </c>
      <c r="I306" s="41">
        <v>386.0</v>
      </c>
      <c r="J306" s="43">
        <v>175.06</v>
      </c>
      <c r="K306" s="43">
        <v>320.94</v>
      </c>
      <c r="L306" s="43">
        <v>67573.16</v>
      </c>
      <c r="M306" s="43">
        <v>123882.84</v>
      </c>
      <c r="N306" s="43">
        <v>-56309.67999999999</v>
      </c>
      <c r="O306" s="44">
        <v>-0.8333142922426595</v>
      </c>
    </row>
    <row r="307" ht="22.5" customHeight="1">
      <c r="B307" s="41" t="s">
        <v>333</v>
      </c>
      <c r="C307" s="41" t="s">
        <v>25</v>
      </c>
      <c r="D307" s="41" t="s">
        <v>54</v>
      </c>
      <c r="E307" s="41" t="s">
        <v>16</v>
      </c>
      <c r="F307" s="41" t="s">
        <v>17</v>
      </c>
      <c r="G307" s="41" t="s">
        <v>23</v>
      </c>
      <c r="H307" s="42">
        <v>45227.0</v>
      </c>
      <c r="I307" s="41">
        <v>55.0</v>
      </c>
      <c r="J307" s="43">
        <v>310.49</v>
      </c>
      <c r="K307" s="43">
        <v>307.1</v>
      </c>
      <c r="L307" s="43">
        <v>17076.95</v>
      </c>
      <c r="M307" s="43">
        <v>16890.5</v>
      </c>
      <c r="N307" s="43">
        <v>186.45000000000073</v>
      </c>
      <c r="O307" s="44">
        <v>0.010918226029823869</v>
      </c>
    </row>
    <row r="308" ht="22.5" customHeight="1">
      <c r="B308" s="41" t="s">
        <v>334</v>
      </c>
      <c r="C308" s="41" t="s">
        <v>25</v>
      </c>
      <c r="D308" s="41" t="s">
        <v>54</v>
      </c>
      <c r="E308" s="41" t="s">
        <v>30</v>
      </c>
      <c r="F308" s="41" t="s">
        <v>27</v>
      </c>
      <c r="G308" s="41" t="s">
        <v>18</v>
      </c>
      <c r="H308" s="42">
        <v>45228.0</v>
      </c>
      <c r="I308" s="41">
        <v>169.0</v>
      </c>
      <c r="J308" s="43">
        <v>223.99</v>
      </c>
      <c r="K308" s="43">
        <v>293.98</v>
      </c>
      <c r="L308" s="43">
        <v>37854.310000000005</v>
      </c>
      <c r="M308" s="43">
        <v>49682.62</v>
      </c>
      <c r="N308" s="43">
        <v>-11828.309999999998</v>
      </c>
      <c r="O308" s="44">
        <v>-0.312469306665476</v>
      </c>
    </row>
    <row r="309" ht="22.5" customHeight="1">
      <c r="B309" s="41" t="s">
        <v>335</v>
      </c>
      <c r="C309" s="41" t="s">
        <v>14</v>
      </c>
      <c r="D309" s="41" t="s">
        <v>34</v>
      </c>
      <c r="E309" s="41" t="s">
        <v>22</v>
      </c>
      <c r="F309" s="41" t="s">
        <v>17</v>
      </c>
      <c r="G309" s="41" t="s">
        <v>31</v>
      </c>
      <c r="H309" s="42">
        <v>45229.0</v>
      </c>
      <c r="I309" s="41">
        <v>472.0</v>
      </c>
      <c r="J309" s="43">
        <v>416.77</v>
      </c>
      <c r="K309" s="43">
        <v>121.18</v>
      </c>
      <c r="L309" s="43">
        <v>196715.44</v>
      </c>
      <c r="M309" s="43">
        <v>57196.96000000001</v>
      </c>
      <c r="N309" s="43">
        <v>139518.47999999998</v>
      </c>
      <c r="O309" s="44">
        <v>0.7092401084531035</v>
      </c>
    </row>
    <row r="310" ht="22.5" customHeight="1">
      <c r="B310" s="41" t="s">
        <v>336</v>
      </c>
      <c r="C310" s="41" t="s">
        <v>52</v>
      </c>
      <c r="D310" s="41" t="s">
        <v>15</v>
      </c>
      <c r="E310" s="41" t="s">
        <v>26</v>
      </c>
      <c r="F310" s="41" t="s">
        <v>17</v>
      </c>
      <c r="G310" s="41" t="s">
        <v>31</v>
      </c>
      <c r="H310" s="42">
        <v>45230.0</v>
      </c>
      <c r="I310" s="41">
        <v>89.0</v>
      </c>
      <c r="J310" s="43">
        <v>336.45</v>
      </c>
      <c r="K310" s="43">
        <v>71.05</v>
      </c>
      <c r="L310" s="43">
        <v>29944.05</v>
      </c>
      <c r="M310" s="43">
        <v>6323.45</v>
      </c>
      <c r="N310" s="43">
        <v>23620.6</v>
      </c>
      <c r="O310" s="44">
        <v>0.7888244910090653</v>
      </c>
    </row>
    <row r="311" ht="22.5" customHeight="1">
      <c r="B311" s="41" t="s">
        <v>337</v>
      </c>
      <c r="C311" s="41" t="s">
        <v>52</v>
      </c>
      <c r="D311" s="41" t="s">
        <v>21</v>
      </c>
      <c r="E311" s="41" t="s">
        <v>22</v>
      </c>
      <c r="F311" s="41" t="s">
        <v>17</v>
      </c>
      <c r="G311" s="41" t="s">
        <v>23</v>
      </c>
      <c r="H311" s="42">
        <v>45231.0</v>
      </c>
      <c r="I311" s="41">
        <v>319.0</v>
      </c>
      <c r="J311" s="43">
        <v>39.62</v>
      </c>
      <c r="K311" s="43">
        <v>255.75</v>
      </c>
      <c r="L311" s="43">
        <v>12638.779999999999</v>
      </c>
      <c r="M311" s="43">
        <v>81584.25</v>
      </c>
      <c r="N311" s="43">
        <v>-68945.47</v>
      </c>
      <c r="O311" s="44">
        <v>-5.455073195355881</v>
      </c>
    </row>
    <row r="312" ht="22.5" customHeight="1">
      <c r="B312" s="41" t="s">
        <v>338</v>
      </c>
      <c r="C312" s="41" t="s">
        <v>25</v>
      </c>
      <c r="D312" s="41" t="s">
        <v>15</v>
      </c>
      <c r="E312" s="41" t="s">
        <v>39</v>
      </c>
      <c r="F312" s="41" t="s">
        <v>17</v>
      </c>
      <c r="G312" s="41" t="s">
        <v>31</v>
      </c>
      <c r="H312" s="42">
        <v>45232.0</v>
      </c>
      <c r="I312" s="41">
        <v>95.0</v>
      </c>
      <c r="J312" s="43">
        <v>321.88</v>
      </c>
      <c r="K312" s="43">
        <v>199.47</v>
      </c>
      <c r="L312" s="43">
        <v>30578.6</v>
      </c>
      <c r="M312" s="43">
        <v>18949.65</v>
      </c>
      <c r="N312" s="43">
        <v>11628.949999999997</v>
      </c>
      <c r="O312" s="44">
        <v>0.3802970050950664</v>
      </c>
    </row>
    <row r="313" ht="22.5" customHeight="1">
      <c r="B313" s="41" t="s">
        <v>339</v>
      </c>
      <c r="C313" s="41" t="s">
        <v>20</v>
      </c>
      <c r="D313" s="41" t="s">
        <v>34</v>
      </c>
      <c r="E313" s="41" t="s">
        <v>39</v>
      </c>
      <c r="F313" s="41" t="s">
        <v>27</v>
      </c>
      <c r="G313" s="41" t="s">
        <v>18</v>
      </c>
      <c r="H313" s="42">
        <v>45233.0</v>
      </c>
      <c r="I313" s="41">
        <v>101.0</v>
      </c>
      <c r="J313" s="43">
        <v>139.22</v>
      </c>
      <c r="K313" s="43">
        <v>72.94</v>
      </c>
      <c r="L313" s="43">
        <v>14061.22</v>
      </c>
      <c r="M313" s="43">
        <v>7366.94</v>
      </c>
      <c r="N313" s="43">
        <v>6694.28</v>
      </c>
      <c r="O313" s="44">
        <v>0.47608102284154574</v>
      </c>
    </row>
    <row r="314" ht="22.5" customHeight="1">
      <c r="B314" s="41" t="s">
        <v>340</v>
      </c>
      <c r="C314" s="41" t="s">
        <v>52</v>
      </c>
      <c r="D314" s="41" t="s">
        <v>54</v>
      </c>
      <c r="E314" s="41" t="s">
        <v>39</v>
      </c>
      <c r="F314" s="41" t="s">
        <v>17</v>
      </c>
      <c r="G314" s="41" t="s">
        <v>31</v>
      </c>
      <c r="H314" s="42">
        <v>45234.0</v>
      </c>
      <c r="I314" s="41">
        <v>157.0</v>
      </c>
      <c r="J314" s="43">
        <v>249.64520588235297</v>
      </c>
      <c r="K314" s="43">
        <v>274.99</v>
      </c>
      <c r="L314" s="43">
        <v>39194.29732352942</v>
      </c>
      <c r="M314" s="43">
        <v>43173.43</v>
      </c>
      <c r="N314" s="43">
        <v>-3979.132676470581</v>
      </c>
      <c r="O314" s="44">
        <v>-0.10152325588655975</v>
      </c>
    </row>
    <row r="315" ht="22.5" customHeight="1">
      <c r="B315" s="41" t="s">
        <v>341</v>
      </c>
      <c r="C315" s="41" t="s">
        <v>20</v>
      </c>
      <c r="D315" s="41" t="s">
        <v>15</v>
      </c>
      <c r="E315" s="41" t="s">
        <v>22</v>
      </c>
      <c r="F315" s="41" t="s">
        <v>17</v>
      </c>
      <c r="G315" s="41" t="s">
        <v>18</v>
      </c>
      <c r="H315" s="42">
        <v>45235.0</v>
      </c>
      <c r="I315" s="41">
        <v>170.0</v>
      </c>
      <c r="J315" s="43">
        <v>341.67</v>
      </c>
      <c r="K315" s="43">
        <v>396.47</v>
      </c>
      <c r="L315" s="43">
        <v>58083.9</v>
      </c>
      <c r="M315" s="43">
        <v>67399.90000000001</v>
      </c>
      <c r="N315" s="43">
        <v>-9316.000000000007</v>
      </c>
      <c r="O315" s="44">
        <v>-0.16038867913483784</v>
      </c>
    </row>
    <row r="316" ht="22.5" customHeight="1">
      <c r="B316" s="41" t="s">
        <v>342</v>
      </c>
      <c r="C316" s="41" t="s">
        <v>52</v>
      </c>
      <c r="D316" s="41" t="s">
        <v>54</v>
      </c>
      <c r="E316" s="41" t="s">
        <v>46</v>
      </c>
      <c r="F316" s="41" t="s">
        <v>17</v>
      </c>
      <c r="G316" s="41" t="s">
        <v>18</v>
      </c>
      <c r="H316" s="42">
        <v>45236.0</v>
      </c>
      <c r="I316" s="41">
        <v>211.0</v>
      </c>
      <c r="J316" s="43">
        <v>119.26</v>
      </c>
      <c r="K316" s="43">
        <v>299.39</v>
      </c>
      <c r="L316" s="43">
        <v>25163.86</v>
      </c>
      <c r="M316" s="43">
        <v>63171.28999999999</v>
      </c>
      <c r="N316" s="43">
        <v>-38007.42999999999</v>
      </c>
      <c r="O316" s="44">
        <v>-1.5103974509475093</v>
      </c>
    </row>
    <row r="317" ht="22.5" customHeight="1">
      <c r="B317" s="41" t="s">
        <v>343</v>
      </c>
      <c r="C317" s="41" t="s">
        <v>20</v>
      </c>
      <c r="D317" s="41" t="s">
        <v>21</v>
      </c>
      <c r="E317" s="41" t="s">
        <v>30</v>
      </c>
      <c r="F317" s="41" t="s">
        <v>17</v>
      </c>
      <c r="G317" s="41" t="s">
        <v>31</v>
      </c>
      <c r="H317" s="42">
        <v>45237.0</v>
      </c>
      <c r="I317" s="41">
        <v>433.0</v>
      </c>
      <c r="J317" s="43">
        <v>231.15</v>
      </c>
      <c r="K317" s="43">
        <v>296.51</v>
      </c>
      <c r="L317" s="43">
        <v>100087.95</v>
      </c>
      <c r="M317" s="43">
        <v>128388.83</v>
      </c>
      <c r="N317" s="43">
        <v>-28300.880000000005</v>
      </c>
      <c r="O317" s="44">
        <v>-0.28276011248107297</v>
      </c>
    </row>
    <row r="318" ht="22.5" customHeight="1">
      <c r="B318" s="41" t="s">
        <v>344</v>
      </c>
      <c r="C318" s="41" t="s">
        <v>14</v>
      </c>
      <c r="D318" s="41" t="s">
        <v>54</v>
      </c>
      <c r="E318" s="41" t="s">
        <v>16</v>
      </c>
      <c r="F318" s="41" t="s">
        <v>27</v>
      </c>
      <c r="G318" s="41" t="s">
        <v>23</v>
      </c>
      <c r="H318" s="42">
        <v>45238.0</v>
      </c>
      <c r="I318" s="41">
        <v>425.0</v>
      </c>
      <c r="J318" s="43">
        <v>99.21</v>
      </c>
      <c r="K318" s="43">
        <v>380.22</v>
      </c>
      <c r="L318" s="43">
        <v>42164.25</v>
      </c>
      <c r="M318" s="43">
        <v>161593.5</v>
      </c>
      <c r="N318" s="43">
        <v>-119429.25</v>
      </c>
      <c r="O318" s="44">
        <v>-2.832476564862413</v>
      </c>
    </row>
    <row r="319" ht="22.5" customHeight="1">
      <c r="B319" s="41" t="s">
        <v>345</v>
      </c>
      <c r="C319" s="41" t="s">
        <v>20</v>
      </c>
      <c r="D319" s="41" t="s">
        <v>54</v>
      </c>
      <c r="E319" s="41" t="s">
        <v>26</v>
      </c>
      <c r="F319" s="41" t="s">
        <v>27</v>
      </c>
      <c r="G319" s="41" t="s">
        <v>31</v>
      </c>
      <c r="H319" s="42">
        <v>45239.0</v>
      </c>
      <c r="I319" s="41">
        <v>251.0</v>
      </c>
      <c r="J319" s="43">
        <v>30.91</v>
      </c>
      <c r="K319" s="43">
        <v>82.77</v>
      </c>
      <c r="L319" s="43">
        <v>7758.41</v>
      </c>
      <c r="M319" s="43">
        <v>20775.27</v>
      </c>
      <c r="N319" s="43">
        <v>-13016.86</v>
      </c>
      <c r="O319" s="44">
        <v>-1.6777741831122615</v>
      </c>
    </row>
    <row r="320" ht="22.5" customHeight="1">
      <c r="B320" s="41" t="s">
        <v>346</v>
      </c>
      <c r="C320" s="41" t="s">
        <v>14</v>
      </c>
      <c r="D320" s="41" t="s">
        <v>29</v>
      </c>
      <c r="E320" s="41" t="s">
        <v>22</v>
      </c>
      <c r="F320" s="41" t="s">
        <v>17</v>
      </c>
      <c r="G320" s="41" t="s">
        <v>18</v>
      </c>
      <c r="H320" s="42">
        <v>45240.0</v>
      </c>
      <c r="I320" s="41">
        <v>255.9029411764706</v>
      </c>
      <c r="J320" s="43">
        <v>192.35</v>
      </c>
      <c r="K320" s="43">
        <v>227.09</v>
      </c>
      <c r="L320" s="43">
        <v>49222.93073529412</v>
      </c>
      <c r="M320" s="43">
        <v>58112.998911764706</v>
      </c>
      <c r="N320" s="43">
        <v>-8890.068176470588</v>
      </c>
      <c r="O320" s="44">
        <v>-0.18060826618144007</v>
      </c>
    </row>
    <row r="321" ht="22.5" customHeight="1">
      <c r="B321" s="41" t="s">
        <v>347</v>
      </c>
      <c r="C321" s="41" t="s">
        <v>14</v>
      </c>
      <c r="D321" s="41" t="s">
        <v>29</v>
      </c>
      <c r="E321" s="41" t="s">
        <v>16</v>
      </c>
      <c r="F321" s="41" t="s">
        <v>17</v>
      </c>
      <c r="G321" s="41" t="s">
        <v>18</v>
      </c>
      <c r="H321" s="42">
        <v>45241.0</v>
      </c>
      <c r="I321" s="41">
        <v>11.0</v>
      </c>
      <c r="J321" s="43">
        <v>184.66</v>
      </c>
      <c r="K321" s="43">
        <v>391.9</v>
      </c>
      <c r="L321" s="43">
        <v>2031.26</v>
      </c>
      <c r="M321" s="43">
        <v>4310.9</v>
      </c>
      <c r="N321" s="43">
        <v>-2279.6399999999994</v>
      </c>
      <c r="O321" s="44">
        <v>-1.1222787826275313</v>
      </c>
    </row>
    <row r="322" ht="22.5" customHeight="1">
      <c r="B322" s="41" t="s">
        <v>348</v>
      </c>
      <c r="C322" s="41" t="s">
        <v>20</v>
      </c>
      <c r="D322" s="41" t="s">
        <v>29</v>
      </c>
      <c r="E322" s="41" t="s">
        <v>26</v>
      </c>
      <c r="F322" s="41" t="s">
        <v>17</v>
      </c>
      <c r="G322" s="41" t="s">
        <v>31</v>
      </c>
      <c r="H322" s="42">
        <v>45242.0</v>
      </c>
      <c r="I322" s="41">
        <v>234.0</v>
      </c>
      <c r="J322" s="43">
        <v>497.76</v>
      </c>
      <c r="K322" s="43">
        <v>67.79</v>
      </c>
      <c r="L322" s="43">
        <v>116475.84</v>
      </c>
      <c r="M322" s="43">
        <v>15862.86</v>
      </c>
      <c r="N322" s="43">
        <v>100612.98</v>
      </c>
      <c r="O322" s="44">
        <v>0.863809868209579</v>
      </c>
    </row>
    <row r="323" ht="22.5" customHeight="1">
      <c r="B323" s="41" t="s">
        <v>349</v>
      </c>
      <c r="C323" s="41" t="s">
        <v>14</v>
      </c>
      <c r="D323" s="41" t="s">
        <v>54</v>
      </c>
      <c r="E323" s="41" t="s">
        <v>26</v>
      </c>
      <c r="F323" s="41" t="s">
        <v>17</v>
      </c>
      <c r="G323" s="41" t="s">
        <v>23</v>
      </c>
      <c r="H323" s="42">
        <v>45243.0</v>
      </c>
      <c r="I323" s="41">
        <v>255.9029411764706</v>
      </c>
      <c r="J323" s="43">
        <v>225.94</v>
      </c>
      <c r="K323" s="43">
        <v>280.7</v>
      </c>
      <c r="L323" s="43">
        <v>57818.710529411765</v>
      </c>
      <c r="M323" s="43">
        <v>71831.95558823529</v>
      </c>
      <c r="N323" s="43">
        <v>-14013.245058823522</v>
      </c>
      <c r="O323" s="44">
        <v>-0.24236522970700175</v>
      </c>
    </row>
    <row r="324" ht="22.5" customHeight="1">
      <c r="B324" s="41" t="s">
        <v>350</v>
      </c>
      <c r="C324" s="41" t="s">
        <v>25</v>
      </c>
      <c r="D324" s="41" t="s">
        <v>34</v>
      </c>
      <c r="E324" s="41" t="s">
        <v>46</v>
      </c>
      <c r="F324" s="41" t="s">
        <v>17</v>
      </c>
      <c r="G324" s="41" t="s">
        <v>23</v>
      </c>
      <c r="H324" s="42">
        <v>45244.0</v>
      </c>
      <c r="I324" s="41">
        <v>242.0</v>
      </c>
      <c r="J324" s="43">
        <v>170.12</v>
      </c>
      <c r="K324" s="43">
        <v>235.15</v>
      </c>
      <c r="L324" s="43">
        <v>41169.04</v>
      </c>
      <c r="M324" s="43">
        <v>56906.3</v>
      </c>
      <c r="N324" s="43">
        <v>-15737.260000000002</v>
      </c>
      <c r="O324" s="44">
        <v>-0.38225958147190225</v>
      </c>
    </row>
    <row r="325" ht="22.5" customHeight="1">
      <c r="B325" s="41" t="s">
        <v>351</v>
      </c>
      <c r="C325" s="41" t="s">
        <v>14</v>
      </c>
      <c r="D325" s="41" t="s">
        <v>54</v>
      </c>
      <c r="E325" s="41" t="s">
        <v>30</v>
      </c>
      <c r="F325" s="41" t="s">
        <v>17</v>
      </c>
      <c r="G325" s="41" t="s">
        <v>18</v>
      </c>
      <c r="H325" s="42">
        <v>45245.0</v>
      </c>
      <c r="I325" s="41">
        <v>470.0</v>
      </c>
      <c r="J325" s="43">
        <v>292.34</v>
      </c>
      <c r="K325" s="43">
        <v>235.42</v>
      </c>
      <c r="L325" s="43">
        <v>137399.8</v>
      </c>
      <c r="M325" s="43">
        <v>110647.4</v>
      </c>
      <c r="N325" s="43">
        <v>26752.399999999994</v>
      </c>
      <c r="O325" s="44">
        <v>0.1947047957857289</v>
      </c>
    </row>
    <row r="326" ht="22.5" customHeight="1">
      <c r="B326" s="41" t="s">
        <v>352</v>
      </c>
      <c r="C326" s="41" t="s">
        <v>52</v>
      </c>
      <c r="D326" s="41" t="s">
        <v>34</v>
      </c>
      <c r="E326" s="41" t="s">
        <v>30</v>
      </c>
      <c r="F326" s="41" t="s">
        <v>27</v>
      </c>
      <c r="G326" s="41" t="s">
        <v>18</v>
      </c>
      <c r="H326" s="42">
        <v>45246.0</v>
      </c>
      <c r="I326" s="41">
        <v>423.0</v>
      </c>
      <c r="J326" s="43">
        <v>48.94</v>
      </c>
      <c r="K326" s="43">
        <v>279.67</v>
      </c>
      <c r="L326" s="43">
        <v>20701.62</v>
      </c>
      <c r="M326" s="43">
        <v>118300.41</v>
      </c>
      <c r="N326" s="43">
        <v>-97598.79000000001</v>
      </c>
      <c r="O326" s="44">
        <v>-4.714548426644872</v>
      </c>
    </row>
    <row r="327" ht="22.5" customHeight="1">
      <c r="B327" s="41" t="s">
        <v>353</v>
      </c>
      <c r="C327" s="41" t="s">
        <v>20</v>
      </c>
      <c r="D327" s="41" t="s">
        <v>34</v>
      </c>
      <c r="E327" s="41" t="s">
        <v>16</v>
      </c>
      <c r="F327" s="41" t="s">
        <v>17</v>
      </c>
      <c r="G327" s="41" t="s">
        <v>23</v>
      </c>
      <c r="H327" s="42">
        <v>45247.0</v>
      </c>
      <c r="I327" s="41">
        <v>426.0</v>
      </c>
      <c r="J327" s="43">
        <v>481.02</v>
      </c>
      <c r="K327" s="43">
        <v>371.99</v>
      </c>
      <c r="L327" s="43">
        <v>204914.52</v>
      </c>
      <c r="M327" s="43">
        <v>158467.74</v>
      </c>
      <c r="N327" s="43">
        <v>46446.78</v>
      </c>
      <c r="O327" s="44">
        <v>0.22666417196790156</v>
      </c>
    </row>
    <row r="328" ht="22.5" customHeight="1">
      <c r="B328" s="41" t="s">
        <v>354</v>
      </c>
      <c r="C328" s="41" t="s">
        <v>25</v>
      </c>
      <c r="D328" s="41" t="s">
        <v>29</v>
      </c>
      <c r="E328" s="41" t="s">
        <v>30</v>
      </c>
      <c r="F328" s="41" t="s">
        <v>27</v>
      </c>
      <c r="G328" s="41" t="s">
        <v>31</v>
      </c>
      <c r="H328" s="42">
        <v>45248.0</v>
      </c>
      <c r="I328" s="41">
        <v>86.0</v>
      </c>
      <c r="J328" s="43">
        <v>319.31</v>
      </c>
      <c r="K328" s="43">
        <v>313.47</v>
      </c>
      <c r="L328" s="43">
        <v>27460.66</v>
      </c>
      <c r="M328" s="43">
        <v>26958.420000000002</v>
      </c>
      <c r="N328" s="43">
        <v>502.23999999999796</v>
      </c>
      <c r="O328" s="44">
        <v>0.01828943659766364</v>
      </c>
    </row>
    <row r="329" ht="22.5" customHeight="1">
      <c r="B329" s="41" t="s">
        <v>355</v>
      </c>
      <c r="C329" s="41" t="s">
        <v>20</v>
      </c>
      <c r="D329" s="41" t="s">
        <v>15</v>
      </c>
      <c r="E329" s="41" t="s">
        <v>22</v>
      </c>
      <c r="F329" s="41" t="s">
        <v>27</v>
      </c>
      <c r="G329" s="41" t="s">
        <v>18</v>
      </c>
      <c r="H329" s="42">
        <v>45249.0</v>
      </c>
      <c r="I329" s="41">
        <v>125.0</v>
      </c>
      <c r="J329" s="43">
        <v>378.64</v>
      </c>
      <c r="K329" s="43">
        <v>24.34</v>
      </c>
      <c r="L329" s="43">
        <v>47330.0</v>
      </c>
      <c r="M329" s="43">
        <v>3042.5</v>
      </c>
      <c r="N329" s="43">
        <v>44287.5</v>
      </c>
      <c r="O329" s="44">
        <v>0.9357173040354955</v>
      </c>
    </row>
    <row r="330" ht="22.5" customHeight="1">
      <c r="B330" s="41" t="s">
        <v>356</v>
      </c>
      <c r="C330" s="41" t="s">
        <v>52</v>
      </c>
      <c r="D330" s="41" t="s">
        <v>21</v>
      </c>
      <c r="E330" s="41" t="s">
        <v>39</v>
      </c>
      <c r="F330" s="41" t="s">
        <v>17</v>
      </c>
      <c r="G330" s="41" t="s">
        <v>18</v>
      </c>
      <c r="H330" s="42">
        <v>45250.0</v>
      </c>
      <c r="I330" s="41">
        <v>163.0</v>
      </c>
      <c r="J330" s="43">
        <v>89.39</v>
      </c>
      <c r="K330" s="43">
        <v>341.39</v>
      </c>
      <c r="L330" s="43">
        <v>14570.57</v>
      </c>
      <c r="M330" s="43">
        <v>55646.57</v>
      </c>
      <c r="N330" s="43">
        <v>-41076.0</v>
      </c>
      <c r="O330" s="44">
        <v>-2.8191072826938135</v>
      </c>
    </row>
    <row r="331" ht="22.5" customHeight="1">
      <c r="B331" s="41" t="s">
        <v>357</v>
      </c>
      <c r="C331" s="41" t="s">
        <v>52</v>
      </c>
      <c r="D331" s="41" t="s">
        <v>29</v>
      </c>
      <c r="E331" s="41" t="s">
        <v>16</v>
      </c>
      <c r="F331" s="41" t="s">
        <v>27</v>
      </c>
      <c r="G331" s="41" t="s">
        <v>23</v>
      </c>
      <c r="H331" s="42">
        <v>45251.0</v>
      </c>
      <c r="I331" s="41">
        <v>415.0</v>
      </c>
      <c r="J331" s="43">
        <v>207.69</v>
      </c>
      <c r="K331" s="43">
        <v>91.77</v>
      </c>
      <c r="L331" s="43">
        <v>86191.35</v>
      </c>
      <c r="M331" s="43">
        <v>38084.549999999996</v>
      </c>
      <c r="N331" s="43">
        <v>48106.80000000001</v>
      </c>
      <c r="O331" s="44">
        <v>0.558139534883721</v>
      </c>
    </row>
    <row r="332" ht="22.5" customHeight="1">
      <c r="B332" s="41" t="s">
        <v>358</v>
      </c>
      <c r="C332" s="41" t="s">
        <v>52</v>
      </c>
      <c r="D332" s="41" t="s">
        <v>29</v>
      </c>
      <c r="E332" s="41" t="s">
        <v>30</v>
      </c>
      <c r="F332" s="41" t="s">
        <v>27</v>
      </c>
      <c r="G332" s="41" t="s">
        <v>31</v>
      </c>
      <c r="H332" s="42">
        <v>45252.0</v>
      </c>
      <c r="I332" s="41">
        <v>112.0</v>
      </c>
      <c r="J332" s="43">
        <v>214.23</v>
      </c>
      <c r="K332" s="43">
        <v>152.01</v>
      </c>
      <c r="L332" s="43">
        <v>23993.76</v>
      </c>
      <c r="M332" s="43">
        <v>17025.12</v>
      </c>
      <c r="N332" s="43">
        <v>6968.639999999999</v>
      </c>
      <c r="O332" s="44">
        <v>0.2904355132334407</v>
      </c>
    </row>
    <row r="333" ht="22.5" customHeight="1">
      <c r="B333" s="41" t="s">
        <v>359</v>
      </c>
      <c r="C333" s="41" t="s">
        <v>14</v>
      </c>
      <c r="D333" s="41" t="s">
        <v>15</v>
      </c>
      <c r="E333" s="41" t="s">
        <v>22</v>
      </c>
      <c r="F333" s="41" t="s">
        <v>27</v>
      </c>
      <c r="G333" s="41" t="s">
        <v>23</v>
      </c>
      <c r="H333" s="42">
        <v>45253.0</v>
      </c>
      <c r="I333" s="41">
        <v>203.0</v>
      </c>
      <c r="J333" s="43">
        <v>411.79</v>
      </c>
      <c r="K333" s="43">
        <v>185.77</v>
      </c>
      <c r="L333" s="43">
        <v>83593.37000000001</v>
      </c>
      <c r="M333" s="43">
        <v>37711.310000000005</v>
      </c>
      <c r="N333" s="43">
        <v>45882.060000000005</v>
      </c>
      <c r="O333" s="44">
        <v>0.5488719978629885</v>
      </c>
    </row>
    <row r="334" ht="22.5" customHeight="1">
      <c r="B334" s="41" t="s">
        <v>360</v>
      </c>
      <c r="C334" s="41" t="s">
        <v>14</v>
      </c>
      <c r="D334" s="41" t="s">
        <v>21</v>
      </c>
      <c r="E334" s="41" t="s">
        <v>46</v>
      </c>
      <c r="F334" s="41" t="s">
        <v>27</v>
      </c>
      <c r="G334" s="41" t="s">
        <v>31</v>
      </c>
      <c r="H334" s="42">
        <v>45254.0</v>
      </c>
      <c r="I334" s="41">
        <v>255.9029411764706</v>
      </c>
      <c r="J334" s="43">
        <v>5.61</v>
      </c>
      <c r="K334" s="43">
        <v>193.4</v>
      </c>
      <c r="L334" s="43">
        <v>1435.6155</v>
      </c>
      <c r="M334" s="43">
        <v>49491.62882352941</v>
      </c>
      <c r="N334" s="43">
        <v>-48056.01332352941</v>
      </c>
      <c r="O334" s="44">
        <v>-33.474153297682705</v>
      </c>
    </row>
    <row r="335" ht="22.5" customHeight="1">
      <c r="B335" s="41" t="s">
        <v>361</v>
      </c>
      <c r="C335" s="41" t="s">
        <v>20</v>
      </c>
      <c r="D335" s="41" t="s">
        <v>54</v>
      </c>
      <c r="E335" s="41" t="s">
        <v>16</v>
      </c>
      <c r="F335" s="41" t="s">
        <v>27</v>
      </c>
      <c r="G335" s="41" t="s">
        <v>31</v>
      </c>
      <c r="H335" s="42">
        <v>45255.0</v>
      </c>
      <c r="I335" s="41">
        <v>368.0</v>
      </c>
      <c r="J335" s="43">
        <v>153.92</v>
      </c>
      <c r="K335" s="43">
        <v>175.2</v>
      </c>
      <c r="L335" s="43">
        <v>56642.56</v>
      </c>
      <c r="M335" s="43">
        <v>64473.6</v>
      </c>
      <c r="N335" s="43">
        <v>-7831.040000000001</v>
      </c>
      <c r="O335" s="44">
        <v>-0.13825363825363826</v>
      </c>
    </row>
    <row r="336" ht="22.5" customHeight="1">
      <c r="B336" s="41" t="s">
        <v>362</v>
      </c>
      <c r="C336" s="41" t="s">
        <v>20</v>
      </c>
      <c r="D336" s="41" t="s">
        <v>54</v>
      </c>
      <c r="E336" s="41" t="s">
        <v>46</v>
      </c>
      <c r="F336" s="41" t="s">
        <v>27</v>
      </c>
      <c r="G336" s="41" t="s">
        <v>31</v>
      </c>
      <c r="H336" s="42">
        <v>45256.0</v>
      </c>
      <c r="I336" s="41">
        <v>99.0</v>
      </c>
      <c r="J336" s="43">
        <v>490.71</v>
      </c>
      <c r="K336" s="43">
        <v>375.07</v>
      </c>
      <c r="L336" s="43">
        <v>48580.29</v>
      </c>
      <c r="M336" s="43">
        <v>37131.93</v>
      </c>
      <c r="N336" s="43">
        <v>11448.36</v>
      </c>
      <c r="O336" s="44">
        <v>0.2356585355912861</v>
      </c>
    </row>
    <row r="337" ht="22.5" customHeight="1">
      <c r="B337" s="41" t="s">
        <v>363</v>
      </c>
      <c r="C337" s="41" t="s">
        <v>25</v>
      </c>
      <c r="D337" s="41" t="s">
        <v>29</v>
      </c>
      <c r="E337" s="41" t="s">
        <v>46</v>
      </c>
      <c r="F337" s="41" t="s">
        <v>17</v>
      </c>
      <c r="G337" s="41" t="s">
        <v>18</v>
      </c>
      <c r="H337" s="42">
        <v>45257.0</v>
      </c>
      <c r="I337" s="41">
        <v>183.0</v>
      </c>
      <c r="J337" s="43">
        <v>240.07</v>
      </c>
      <c r="K337" s="43">
        <v>283.0</v>
      </c>
      <c r="L337" s="43">
        <v>43932.81</v>
      </c>
      <c r="M337" s="43">
        <v>51789.0</v>
      </c>
      <c r="N337" s="43">
        <v>-7856.190000000002</v>
      </c>
      <c r="O337" s="44">
        <v>-0.17882284333736</v>
      </c>
    </row>
    <row r="338" ht="22.5" customHeight="1">
      <c r="B338" s="41" t="s">
        <v>364</v>
      </c>
      <c r="C338" s="41" t="s">
        <v>39</v>
      </c>
      <c r="D338" s="41" t="s">
        <v>21</v>
      </c>
      <c r="E338" s="41" t="s">
        <v>46</v>
      </c>
      <c r="F338" s="41" t="s">
        <v>27</v>
      </c>
      <c r="G338" s="41" t="s">
        <v>23</v>
      </c>
      <c r="H338" s="42">
        <v>45258.0</v>
      </c>
      <c r="I338" s="41">
        <v>131.0</v>
      </c>
      <c r="J338" s="43">
        <v>194.35</v>
      </c>
      <c r="K338" s="43">
        <v>253.21</v>
      </c>
      <c r="L338" s="43">
        <v>25459.85</v>
      </c>
      <c r="M338" s="43">
        <v>33170.51</v>
      </c>
      <c r="N338" s="43">
        <v>-7710.6600000000035</v>
      </c>
      <c r="O338" s="44">
        <v>-0.3028556727553385</v>
      </c>
    </row>
    <row r="339" ht="22.5" customHeight="1">
      <c r="B339" s="41" t="s">
        <v>365</v>
      </c>
      <c r="C339" s="41" t="s">
        <v>20</v>
      </c>
      <c r="D339" s="41" t="s">
        <v>29</v>
      </c>
      <c r="E339" s="41" t="s">
        <v>26</v>
      </c>
      <c r="F339" s="41" t="s">
        <v>27</v>
      </c>
      <c r="G339" s="41" t="s">
        <v>23</v>
      </c>
      <c r="H339" s="42">
        <v>45259.0</v>
      </c>
      <c r="I339" s="41">
        <v>152.0</v>
      </c>
      <c r="J339" s="43">
        <v>64.32</v>
      </c>
      <c r="K339" s="43">
        <v>21.84</v>
      </c>
      <c r="L339" s="43">
        <v>9776.64</v>
      </c>
      <c r="M339" s="43">
        <v>3319.68</v>
      </c>
      <c r="N339" s="43">
        <v>6456.959999999999</v>
      </c>
      <c r="O339" s="44">
        <v>0.6604477611940298</v>
      </c>
    </row>
    <row r="340" ht="22.5" customHeight="1">
      <c r="B340" s="41" t="s">
        <v>366</v>
      </c>
      <c r="C340" s="41" t="s">
        <v>14</v>
      </c>
      <c r="D340" s="41" t="s">
        <v>34</v>
      </c>
      <c r="E340" s="41" t="s">
        <v>26</v>
      </c>
      <c r="F340" s="41" t="s">
        <v>27</v>
      </c>
      <c r="G340" s="41" t="s">
        <v>31</v>
      </c>
      <c r="H340" s="42">
        <v>45260.0</v>
      </c>
      <c r="I340" s="41">
        <v>491.0</v>
      </c>
      <c r="J340" s="43">
        <v>487.21</v>
      </c>
      <c r="K340" s="43">
        <v>361.76</v>
      </c>
      <c r="L340" s="43">
        <v>239220.11</v>
      </c>
      <c r="M340" s="43">
        <v>177624.16</v>
      </c>
      <c r="N340" s="43">
        <v>61595.94999999998</v>
      </c>
      <c r="O340" s="44">
        <v>0.2574865047925945</v>
      </c>
    </row>
    <row r="341" ht="22.5" customHeight="1">
      <c r="B341" s="41" t="s">
        <v>367</v>
      </c>
      <c r="C341" s="41" t="s">
        <v>52</v>
      </c>
      <c r="D341" s="41" t="s">
        <v>29</v>
      </c>
      <c r="E341" s="41" t="s">
        <v>46</v>
      </c>
      <c r="F341" s="41" t="s">
        <v>17</v>
      </c>
      <c r="G341" s="41" t="s">
        <v>18</v>
      </c>
      <c r="H341" s="42">
        <v>45261.0</v>
      </c>
      <c r="I341" s="41">
        <v>115.0</v>
      </c>
      <c r="J341" s="43">
        <v>14.91</v>
      </c>
      <c r="K341" s="43">
        <v>363.94</v>
      </c>
      <c r="L341" s="43">
        <v>1714.65</v>
      </c>
      <c r="M341" s="43">
        <v>41853.1</v>
      </c>
      <c r="N341" s="43">
        <v>-40138.45</v>
      </c>
      <c r="O341" s="44">
        <v>-23.409121395036884</v>
      </c>
    </row>
    <row r="342" ht="22.5" customHeight="1">
      <c r="B342" s="41" t="s">
        <v>368</v>
      </c>
      <c r="C342" s="41" t="s">
        <v>20</v>
      </c>
      <c r="D342" s="41" t="s">
        <v>29</v>
      </c>
      <c r="E342" s="41" t="s">
        <v>16</v>
      </c>
      <c r="F342" s="41" t="s">
        <v>27</v>
      </c>
      <c r="G342" s="41" t="s">
        <v>18</v>
      </c>
      <c r="H342" s="42">
        <v>45262.0</v>
      </c>
      <c r="I342" s="41">
        <v>384.0</v>
      </c>
      <c r="J342" s="43">
        <v>369.9</v>
      </c>
      <c r="K342" s="43">
        <v>312.52</v>
      </c>
      <c r="L342" s="43">
        <v>142041.59999999998</v>
      </c>
      <c r="M342" s="43">
        <v>120007.68</v>
      </c>
      <c r="N342" s="43">
        <v>22033.919999999984</v>
      </c>
      <c r="O342" s="44">
        <v>0.15512300621789665</v>
      </c>
    </row>
    <row r="343" ht="22.5" customHeight="1">
      <c r="B343" s="41" t="s">
        <v>369</v>
      </c>
      <c r="C343" s="41" t="s">
        <v>25</v>
      </c>
      <c r="D343" s="41" t="s">
        <v>54</v>
      </c>
      <c r="E343" s="41" t="s">
        <v>22</v>
      </c>
      <c r="F343" s="41" t="s">
        <v>17</v>
      </c>
      <c r="G343" s="41" t="s">
        <v>23</v>
      </c>
      <c r="H343" s="42">
        <v>45263.0</v>
      </c>
      <c r="I343" s="41">
        <v>437.0</v>
      </c>
      <c r="J343" s="43">
        <v>385.46</v>
      </c>
      <c r="K343" s="43">
        <v>4.8</v>
      </c>
      <c r="L343" s="43">
        <v>168446.02</v>
      </c>
      <c r="M343" s="43">
        <v>2097.6</v>
      </c>
      <c r="N343" s="43">
        <v>166348.41999999998</v>
      </c>
      <c r="O343" s="44">
        <v>0.9875473460281222</v>
      </c>
    </row>
    <row r="344" ht="22.5" customHeight="1">
      <c r="B344" s="41" t="s">
        <v>370</v>
      </c>
      <c r="C344" s="41" t="s">
        <v>14</v>
      </c>
      <c r="D344" s="41" t="s">
        <v>54</v>
      </c>
      <c r="E344" s="41" t="s">
        <v>22</v>
      </c>
      <c r="F344" s="41" t="s">
        <v>27</v>
      </c>
      <c r="G344" s="41" t="s">
        <v>18</v>
      </c>
      <c r="H344" s="42">
        <v>45264.0</v>
      </c>
      <c r="I344" s="41">
        <v>314.0</v>
      </c>
      <c r="J344" s="43">
        <v>125.61</v>
      </c>
      <c r="K344" s="43">
        <v>24.8</v>
      </c>
      <c r="L344" s="43">
        <v>39441.54</v>
      </c>
      <c r="M344" s="43">
        <v>7787.2</v>
      </c>
      <c r="N344" s="43">
        <v>31654.34</v>
      </c>
      <c r="O344" s="44">
        <v>0.8025634901679802</v>
      </c>
    </row>
    <row r="345" ht="22.5" customHeight="1">
      <c r="B345" s="41" t="s">
        <v>371</v>
      </c>
      <c r="C345" s="41" t="s">
        <v>20</v>
      </c>
      <c r="D345" s="41" t="s">
        <v>54</v>
      </c>
      <c r="E345" s="41" t="s">
        <v>30</v>
      </c>
      <c r="F345" s="41" t="s">
        <v>17</v>
      </c>
      <c r="G345" s="41" t="s">
        <v>18</v>
      </c>
      <c r="H345" s="42">
        <v>45265.0</v>
      </c>
      <c r="I345" s="41">
        <v>369.0</v>
      </c>
      <c r="J345" s="43">
        <v>337.42</v>
      </c>
      <c r="K345" s="43">
        <v>91.64</v>
      </c>
      <c r="L345" s="43">
        <v>124507.98000000001</v>
      </c>
      <c r="M345" s="43">
        <v>33815.16</v>
      </c>
      <c r="N345" s="43">
        <v>90692.82</v>
      </c>
      <c r="O345" s="44">
        <v>0.7284096971133899</v>
      </c>
    </row>
    <row r="346" ht="22.5" customHeight="1">
      <c r="B346" s="41" t="s">
        <v>372</v>
      </c>
      <c r="C346" s="41" t="s">
        <v>20</v>
      </c>
      <c r="D346" s="41" t="s">
        <v>34</v>
      </c>
      <c r="E346" s="41" t="s">
        <v>16</v>
      </c>
      <c r="F346" s="41" t="s">
        <v>17</v>
      </c>
      <c r="G346" s="41" t="s">
        <v>31</v>
      </c>
      <c r="H346" s="42">
        <v>45266.0</v>
      </c>
      <c r="I346" s="41">
        <v>468.0</v>
      </c>
      <c r="J346" s="43">
        <v>51.0</v>
      </c>
      <c r="K346" s="43">
        <v>54.28</v>
      </c>
      <c r="L346" s="43">
        <v>23868.0</v>
      </c>
      <c r="M346" s="43">
        <v>25403.04</v>
      </c>
      <c r="N346" s="43">
        <v>-1535.0400000000009</v>
      </c>
      <c r="O346" s="44">
        <v>-0.06431372549019612</v>
      </c>
    </row>
    <row r="347" ht="22.5" customHeight="1">
      <c r="B347" s="41" t="s">
        <v>373</v>
      </c>
      <c r="C347" s="41" t="s">
        <v>14</v>
      </c>
      <c r="D347" s="41" t="s">
        <v>54</v>
      </c>
      <c r="E347" s="41" t="s">
        <v>26</v>
      </c>
      <c r="F347" s="41" t="s">
        <v>27</v>
      </c>
      <c r="G347" s="41" t="s">
        <v>18</v>
      </c>
      <c r="H347" s="42">
        <v>45267.0</v>
      </c>
      <c r="I347" s="41">
        <v>326.0</v>
      </c>
      <c r="J347" s="43">
        <v>132.24</v>
      </c>
      <c r="K347" s="43">
        <v>160.74</v>
      </c>
      <c r="L347" s="43">
        <v>43110.240000000005</v>
      </c>
      <c r="M347" s="43">
        <v>52401.240000000005</v>
      </c>
      <c r="N347" s="43">
        <v>-9291.0</v>
      </c>
      <c r="O347" s="44">
        <v>-0.21551724137931033</v>
      </c>
    </row>
    <row r="348" ht="22.5" customHeight="1">
      <c r="B348" s="41" t="s">
        <v>374</v>
      </c>
      <c r="C348" s="41" t="s">
        <v>20</v>
      </c>
      <c r="D348" s="41" t="s">
        <v>21</v>
      </c>
      <c r="E348" s="41" t="s">
        <v>46</v>
      </c>
      <c r="F348" s="41" t="s">
        <v>27</v>
      </c>
      <c r="G348" s="41" t="s">
        <v>31</v>
      </c>
      <c r="H348" s="42">
        <v>45268.0</v>
      </c>
      <c r="I348" s="41">
        <v>460.0</v>
      </c>
      <c r="J348" s="43">
        <v>395.01</v>
      </c>
      <c r="K348" s="43">
        <v>369.2</v>
      </c>
      <c r="L348" s="43">
        <v>181704.6</v>
      </c>
      <c r="M348" s="43">
        <v>169832.0</v>
      </c>
      <c r="N348" s="43">
        <v>11872.600000000006</v>
      </c>
      <c r="O348" s="44">
        <v>0.06534011797169695</v>
      </c>
    </row>
    <row r="349" ht="22.5" customHeight="1">
      <c r="B349" s="41" t="s">
        <v>375</v>
      </c>
      <c r="C349" s="41" t="s">
        <v>14</v>
      </c>
      <c r="D349" s="41" t="s">
        <v>15</v>
      </c>
      <c r="E349" s="41" t="s">
        <v>30</v>
      </c>
      <c r="F349" s="41" t="s">
        <v>17</v>
      </c>
      <c r="G349" s="41" t="s">
        <v>23</v>
      </c>
      <c r="H349" s="42">
        <v>45269.0</v>
      </c>
      <c r="I349" s="41">
        <v>132.0</v>
      </c>
      <c r="J349" s="43">
        <v>433.02</v>
      </c>
      <c r="K349" s="43">
        <v>189.88</v>
      </c>
      <c r="L349" s="43">
        <v>57158.64</v>
      </c>
      <c r="M349" s="43">
        <v>25064.16</v>
      </c>
      <c r="N349" s="43">
        <v>32094.48</v>
      </c>
      <c r="O349" s="44">
        <v>0.5614983141656275</v>
      </c>
    </row>
    <row r="350" ht="22.5" customHeight="1">
      <c r="B350" s="41" t="s">
        <v>376</v>
      </c>
      <c r="C350" s="41" t="s">
        <v>52</v>
      </c>
      <c r="D350" s="41" t="s">
        <v>21</v>
      </c>
      <c r="E350" s="41" t="s">
        <v>22</v>
      </c>
      <c r="F350" s="41" t="s">
        <v>27</v>
      </c>
      <c r="G350" s="41" t="s">
        <v>18</v>
      </c>
      <c r="H350" s="42">
        <v>45270.0</v>
      </c>
      <c r="I350" s="41">
        <v>399.0</v>
      </c>
      <c r="J350" s="43">
        <v>306.2</v>
      </c>
      <c r="K350" s="43">
        <v>7.33</v>
      </c>
      <c r="L350" s="43">
        <v>122173.79999999999</v>
      </c>
      <c r="M350" s="43">
        <v>2924.67</v>
      </c>
      <c r="N350" s="43">
        <v>119249.12999999999</v>
      </c>
      <c r="O350" s="44">
        <v>0.9760613977792293</v>
      </c>
    </row>
    <row r="351" ht="22.5" customHeight="1">
      <c r="B351" s="41" t="s">
        <v>377</v>
      </c>
      <c r="C351" s="41" t="s">
        <v>14</v>
      </c>
      <c r="D351" s="41" t="s">
        <v>21</v>
      </c>
      <c r="E351" s="41" t="s">
        <v>26</v>
      </c>
      <c r="F351" s="41" t="s">
        <v>17</v>
      </c>
      <c r="G351" s="41" t="s">
        <v>23</v>
      </c>
      <c r="H351" s="42">
        <v>45271.0</v>
      </c>
      <c r="I351" s="41">
        <v>18.0</v>
      </c>
      <c r="J351" s="43">
        <v>255.89</v>
      </c>
      <c r="K351" s="43">
        <v>114.53</v>
      </c>
      <c r="L351" s="43">
        <v>4606.0199999999995</v>
      </c>
      <c r="M351" s="43">
        <v>2061.54</v>
      </c>
      <c r="N351" s="43">
        <v>2544.4799999999996</v>
      </c>
      <c r="O351" s="44">
        <v>0.5524248700613544</v>
      </c>
    </row>
    <row r="352" ht="22.5" customHeight="1">
      <c r="B352" s="41" t="s">
        <v>378</v>
      </c>
      <c r="C352" s="41" t="s">
        <v>14</v>
      </c>
      <c r="D352" s="41" t="s">
        <v>54</v>
      </c>
      <c r="E352" s="41" t="s">
        <v>26</v>
      </c>
      <c r="F352" s="41" t="s">
        <v>17</v>
      </c>
      <c r="G352" s="41" t="s">
        <v>23</v>
      </c>
      <c r="H352" s="42">
        <v>45272.0</v>
      </c>
      <c r="I352" s="41">
        <v>271.0</v>
      </c>
      <c r="J352" s="43">
        <v>83.86</v>
      </c>
      <c r="K352" s="43">
        <v>19.75</v>
      </c>
      <c r="L352" s="43">
        <v>22726.06</v>
      </c>
      <c r="M352" s="43">
        <v>5352.25</v>
      </c>
      <c r="N352" s="43">
        <v>17373.81</v>
      </c>
      <c r="O352" s="44">
        <v>0.7644884331027904</v>
      </c>
    </row>
    <row r="353" ht="22.5" customHeight="1">
      <c r="B353" s="41" t="s">
        <v>379</v>
      </c>
      <c r="C353" s="41" t="s">
        <v>39</v>
      </c>
      <c r="D353" s="41" t="s">
        <v>15</v>
      </c>
      <c r="E353" s="41" t="s">
        <v>46</v>
      </c>
      <c r="F353" s="41" t="s">
        <v>17</v>
      </c>
      <c r="G353" s="41" t="s">
        <v>18</v>
      </c>
      <c r="H353" s="42">
        <v>45273.0</v>
      </c>
      <c r="I353" s="41">
        <v>82.0</v>
      </c>
      <c r="J353" s="43">
        <v>36.24</v>
      </c>
      <c r="K353" s="43">
        <v>16.44</v>
      </c>
      <c r="L353" s="43">
        <v>2971.6800000000003</v>
      </c>
      <c r="M353" s="43">
        <v>1348.0800000000002</v>
      </c>
      <c r="N353" s="43">
        <v>1623.6000000000001</v>
      </c>
      <c r="O353" s="44">
        <v>0.5463576158940397</v>
      </c>
    </row>
    <row r="354" ht="22.5" customHeight="1">
      <c r="B354" s="41" t="s">
        <v>380</v>
      </c>
      <c r="C354" s="41" t="s">
        <v>20</v>
      </c>
      <c r="D354" s="41" t="s">
        <v>15</v>
      </c>
      <c r="E354" s="41" t="s">
        <v>22</v>
      </c>
      <c r="F354" s="41" t="s">
        <v>17</v>
      </c>
      <c r="G354" s="41" t="s">
        <v>18</v>
      </c>
      <c r="H354" s="42">
        <v>45274.0</v>
      </c>
      <c r="I354" s="41">
        <v>368.0</v>
      </c>
      <c r="J354" s="43">
        <v>63.24</v>
      </c>
      <c r="K354" s="43">
        <v>111.74</v>
      </c>
      <c r="L354" s="43">
        <v>23272.32</v>
      </c>
      <c r="M354" s="43">
        <v>41120.32</v>
      </c>
      <c r="N354" s="43">
        <v>-17848.0</v>
      </c>
      <c r="O354" s="44">
        <v>-0.7669196710942442</v>
      </c>
    </row>
    <row r="355" ht="22.5" customHeight="1">
      <c r="B355" s="41" t="s">
        <v>381</v>
      </c>
      <c r="C355" s="41" t="s">
        <v>20</v>
      </c>
      <c r="D355" s="41" t="s">
        <v>15</v>
      </c>
      <c r="E355" s="41" t="s">
        <v>16</v>
      </c>
      <c r="F355" s="41" t="s">
        <v>17</v>
      </c>
      <c r="G355" s="41" t="s">
        <v>23</v>
      </c>
      <c r="H355" s="42">
        <v>45275.0</v>
      </c>
      <c r="I355" s="41">
        <v>232.0</v>
      </c>
      <c r="J355" s="43">
        <v>117.54</v>
      </c>
      <c r="K355" s="43">
        <v>111.69</v>
      </c>
      <c r="L355" s="43">
        <v>27269.280000000002</v>
      </c>
      <c r="M355" s="43">
        <v>25912.079999999998</v>
      </c>
      <c r="N355" s="43">
        <v>1357.2000000000044</v>
      </c>
      <c r="O355" s="44">
        <v>0.049770290964778106</v>
      </c>
    </row>
    <row r="356" ht="22.5" customHeight="1">
      <c r="B356" s="41" t="s">
        <v>382</v>
      </c>
      <c r="C356" s="41" t="s">
        <v>14</v>
      </c>
      <c r="D356" s="41" t="s">
        <v>34</v>
      </c>
      <c r="E356" s="41" t="s">
        <v>26</v>
      </c>
      <c r="F356" s="41" t="s">
        <v>27</v>
      </c>
      <c r="G356" s="41" t="s">
        <v>18</v>
      </c>
      <c r="H356" s="42">
        <v>45276.0</v>
      </c>
      <c r="I356" s="41">
        <v>425.0</v>
      </c>
      <c r="J356" s="43">
        <v>174.13</v>
      </c>
      <c r="K356" s="43">
        <v>315.28</v>
      </c>
      <c r="L356" s="43">
        <v>74005.25</v>
      </c>
      <c r="M356" s="43">
        <v>133994.0</v>
      </c>
      <c r="N356" s="43">
        <v>-59988.75</v>
      </c>
      <c r="O356" s="44">
        <v>-0.8106012749095504</v>
      </c>
    </row>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G3"/>
  </mergeCells>
  <dataValidations>
    <dataValidation type="list" allowBlank="1" showErrorMessage="1" sqref="B7:B356">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F7:F356">
      <formula1>"Online,Offline"</formula1>
    </dataValidation>
    <dataValidation type="list" allowBlank="1" showErrorMessage="1" sqref="C7:C356">
      <formula1>"East,West,North,Unknown,South"</formula1>
    </dataValidation>
    <dataValidation type="list" allowBlank="1" showErrorMessage="1" sqref="D7:D356">
      <formula1>"Germany,India,USA,UK,Australia"</formula1>
    </dataValidation>
    <dataValidation type="list" allowBlank="1" showErrorMessage="1" sqref="E7:E356">
      <formula1>"Beverages,Food,Clothing,Furniture,Electronics,Unknown"</formula1>
    </dataValidation>
    <dataValidation type="list" allowBlank="1" showErrorMessage="1" sqref="G7:G356">
      <formula1>"High,Low,Medium"</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2.75"/>
    <col customWidth="1" min="3" max="6" width="12.63"/>
  </cols>
  <sheetData>
    <row r="1"/>
    <row r="2"/>
    <row r="3"/>
    <row r="4"/>
    <row r="5"/>
    <row r="6"/>
    <row r="7"/>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66A272E-788F-44AE-970B-37562BC269BF}" filter="1" showAutoFilter="1">
      <autoFilter ref="$A$1:$B$7"/>
    </customSheetView>
  </customSheetViews>
  <drawing r:id="rId2"/>
  <tableParts count="1">
    <tablePart r:id="rId4"/>
  </tableParts>
  <extLst>
    <ext uri="{3A4CF648-6AED-40f4-86FF-DC5316D8AED3}">
      <x14:slicerList>
        <x14:slicer r:id="rId5"/>
      </x14:slicerList>
    </ext>
  </extLst>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13" max="13" width="17.63"/>
  </cols>
  <sheetData>
    <row r="2">
      <c r="B2" s="25" t="s">
        <v>510</v>
      </c>
    </row>
    <row r="4" ht="22.5" customHeight="1">
      <c r="B4" s="38" t="s">
        <v>0</v>
      </c>
      <c r="C4" s="38" t="s">
        <v>1</v>
      </c>
      <c r="D4" s="38" t="s">
        <v>2</v>
      </c>
      <c r="E4" s="38" t="s">
        <v>3</v>
      </c>
      <c r="F4" s="38" t="s">
        <v>4</v>
      </c>
      <c r="G4" s="38" t="s">
        <v>5</v>
      </c>
      <c r="H4" s="38" t="s">
        <v>6</v>
      </c>
      <c r="I4" s="38" t="s">
        <v>7</v>
      </c>
      <c r="J4" s="39" t="s">
        <v>8</v>
      </c>
      <c r="K4" s="39" t="s">
        <v>9</v>
      </c>
      <c r="L4" s="39" t="s">
        <v>10</v>
      </c>
      <c r="M4" s="39" t="s">
        <v>11</v>
      </c>
      <c r="N4" s="39" t="s">
        <v>12</v>
      </c>
      <c r="O4" s="38" t="s">
        <v>383</v>
      </c>
    </row>
    <row r="5" ht="22.5" customHeight="1">
      <c r="B5" s="40" t="s">
        <v>13</v>
      </c>
      <c r="C5" s="41" t="s">
        <v>14</v>
      </c>
      <c r="D5" s="41" t="s">
        <v>15</v>
      </c>
      <c r="E5" s="41" t="s">
        <v>16</v>
      </c>
      <c r="F5" s="41" t="s">
        <v>17</v>
      </c>
      <c r="G5" s="41" t="s">
        <v>18</v>
      </c>
      <c r="H5" s="42">
        <v>44927.0</v>
      </c>
      <c r="I5" s="41">
        <v>235.0</v>
      </c>
      <c r="J5" s="43">
        <v>152.92</v>
      </c>
      <c r="K5" s="43">
        <v>153.6</v>
      </c>
      <c r="L5" s="43">
        <v>35936.2</v>
      </c>
      <c r="M5" s="43">
        <v>36096.0</v>
      </c>
      <c r="N5" s="43">
        <v>-159.8000000000029</v>
      </c>
      <c r="O5" s="44">
        <v>-0.00444676955270738</v>
      </c>
    </row>
    <row r="6" ht="22.5" customHeight="1">
      <c r="B6" s="41" t="s">
        <v>19</v>
      </c>
      <c r="C6" s="41" t="s">
        <v>20</v>
      </c>
      <c r="D6" s="41" t="s">
        <v>21</v>
      </c>
      <c r="E6" s="41" t="s">
        <v>22</v>
      </c>
      <c r="F6" s="41" t="s">
        <v>17</v>
      </c>
      <c r="G6" s="41" t="s">
        <v>23</v>
      </c>
      <c r="H6" s="42">
        <v>44928.0</v>
      </c>
      <c r="I6" s="41">
        <v>341.0</v>
      </c>
      <c r="J6" s="43">
        <v>467.92</v>
      </c>
      <c r="K6" s="43">
        <v>139.84</v>
      </c>
      <c r="L6" s="43">
        <v>159560.72</v>
      </c>
      <c r="M6" s="43">
        <v>47685.44</v>
      </c>
      <c r="N6" s="43">
        <v>111875.28</v>
      </c>
      <c r="O6" s="44">
        <v>0.7011454949564028</v>
      </c>
    </row>
    <row r="7" ht="22.5" customHeight="1">
      <c r="B7" s="41" t="s">
        <v>24</v>
      </c>
      <c r="C7" s="41" t="s">
        <v>25</v>
      </c>
      <c r="D7" s="41" t="s">
        <v>21</v>
      </c>
      <c r="E7" s="41" t="s">
        <v>26</v>
      </c>
      <c r="F7" s="41" t="s">
        <v>27</v>
      </c>
      <c r="G7" s="41" t="s">
        <v>18</v>
      </c>
      <c r="H7" s="42">
        <v>44929.0</v>
      </c>
      <c r="I7" s="41">
        <v>179.0</v>
      </c>
      <c r="J7" s="43">
        <v>473.94</v>
      </c>
      <c r="K7" s="43">
        <v>97.14</v>
      </c>
      <c r="L7" s="43">
        <v>84835.26</v>
      </c>
      <c r="M7" s="43">
        <v>17388.06</v>
      </c>
      <c r="N7" s="43">
        <v>67447.2</v>
      </c>
      <c r="O7" s="44">
        <v>0.7950373464995569</v>
      </c>
    </row>
    <row r="8" ht="22.5" customHeight="1">
      <c r="B8" s="41" t="s">
        <v>28</v>
      </c>
      <c r="C8" s="41" t="s">
        <v>14</v>
      </c>
      <c r="D8" s="41" t="s">
        <v>29</v>
      </c>
      <c r="E8" s="41" t="s">
        <v>30</v>
      </c>
      <c r="F8" s="41" t="s">
        <v>27</v>
      </c>
      <c r="G8" s="41" t="s">
        <v>31</v>
      </c>
      <c r="H8" s="42">
        <v>44930.0</v>
      </c>
      <c r="I8" s="41">
        <v>18.0</v>
      </c>
      <c r="J8" s="43">
        <v>314.53</v>
      </c>
      <c r="K8" s="43">
        <v>204.87</v>
      </c>
      <c r="L8" s="43">
        <v>5661.539999999999</v>
      </c>
      <c r="M8" s="43">
        <v>3687.66</v>
      </c>
      <c r="N8" s="43">
        <v>1973.8799999999992</v>
      </c>
      <c r="O8" s="44">
        <v>0.3486471878676119</v>
      </c>
    </row>
    <row r="9" ht="22.5" customHeight="1">
      <c r="B9" s="41" t="s">
        <v>32</v>
      </c>
      <c r="C9" s="41" t="s">
        <v>14</v>
      </c>
      <c r="D9" s="41" t="s">
        <v>21</v>
      </c>
      <c r="E9" s="41" t="s">
        <v>30</v>
      </c>
      <c r="F9" s="41" t="s">
        <v>27</v>
      </c>
      <c r="G9" s="41" t="s">
        <v>31</v>
      </c>
      <c r="H9" s="42">
        <v>44931.0</v>
      </c>
      <c r="I9" s="41">
        <v>472.0</v>
      </c>
      <c r="J9" s="43">
        <v>392.79</v>
      </c>
      <c r="K9" s="43">
        <v>330.46</v>
      </c>
      <c r="L9" s="43">
        <v>185396.88</v>
      </c>
      <c r="M9" s="43">
        <v>155977.12</v>
      </c>
      <c r="N9" s="43">
        <v>29419.76000000001</v>
      </c>
      <c r="O9" s="44">
        <v>0.15868530257898628</v>
      </c>
    </row>
    <row r="10" ht="22.5" customHeight="1">
      <c r="B10" s="41" t="s">
        <v>33</v>
      </c>
      <c r="C10" s="41" t="s">
        <v>20</v>
      </c>
      <c r="D10" s="41" t="s">
        <v>34</v>
      </c>
      <c r="E10" s="41" t="s">
        <v>26</v>
      </c>
      <c r="F10" s="41" t="s">
        <v>17</v>
      </c>
      <c r="G10" s="41" t="s">
        <v>18</v>
      </c>
      <c r="H10" s="42">
        <v>44932.0</v>
      </c>
      <c r="I10" s="41">
        <v>49.0</v>
      </c>
      <c r="J10" s="43">
        <v>308.07</v>
      </c>
      <c r="K10" s="43">
        <v>113.32</v>
      </c>
      <c r="L10" s="43">
        <v>15095.43</v>
      </c>
      <c r="M10" s="43">
        <v>5552.679999999999</v>
      </c>
      <c r="N10" s="43">
        <v>9542.75</v>
      </c>
      <c r="O10" s="44">
        <v>0.6321615217320739</v>
      </c>
    </row>
    <row r="11" ht="22.5" customHeight="1">
      <c r="B11" s="41" t="s">
        <v>35</v>
      </c>
      <c r="C11" s="41" t="s">
        <v>25</v>
      </c>
      <c r="D11" s="41" t="s">
        <v>15</v>
      </c>
      <c r="E11" s="41" t="s">
        <v>26</v>
      </c>
      <c r="F11" s="41" t="s">
        <v>17</v>
      </c>
      <c r="G11" s="41" t="s">
        <v>23</v>
      </c>
      <c r="H11" s="42">
        <v>44933.0</v>
      </c>
      <c r="I11" s="41">
        <v>34.0</v>
      </c>
      <c r="J11" s="43">
        <v>244.78</v>
      </c>
      <c r="K11" s="43">
        <v>377.07</v>
      </c>
      <c r="L11" s="43">
        <v>8322.52</v>
      </c>
      <c r="M11" s="43">
        <v>12820.38</v>
      </c>
      <c r="N11" s="43">
        <v>-4497.859999999999</v>
      </c>
      <c r="O11" s="44">
        <v>-0.5404444807582317</v>
      </c>
    </row>
    <row r="12" ht="22.5" customHeight="1">
      <c r="B12" s="41" t="s">
        <v>36</v>
      </c>
      <c r="C12" s="41" t="s">
        <v>25</v>
      </c>
      <c r="D12" s="41" t="s">
        <v>21</v>
      </c>
      <c r="E12" s="41" t="s">
        <v>16</v>
      </c>
      <c r="F12" s="41" t="s">
        <v>17</v>
      </c>
      <c r="G12" s="41" t="s">
        <v>18</v>
      </c>
      <c r="H12" s="42">
        <v>44934.0</v>
      </c>
      <c r="I12" s="41">
        <v>270.0</v>
      </c>
      <c r="J12" s="43">
        <v>332.11</v>
      </c>
      <c r="K12" s="43">
        <v>349.59</v>
      </c>
      <c r="L12" s="43">
        <v>89669.7</v>
      </c>
      <c r="M12" s="43">
        <v>94389.29999999999</v>
      </c>
      <c r="N12" s="43">
        <v>-4719.599999999991</v>
      </c>
      <c r="O12" s="44">
        <v>-0.05263316371081861</v>
      </c>
    </row>
    <row r="13" ht="22.5" customHeight="1">
      <c r="B13" s="41" t="s">
        <v>37</v>
      </c>
      <c r="C13" s="41" t="s">
        <v>14</v>
      </c>
      <c r="D13" s="41" t="s">
        <v>21</v>
      </c>
      <c r="E13" s="41" t="s">
        <v>16</v>
      </c>
      <c r="F13" s="41" t="s">
        <v>17</v>
      </c>
      <c r="G13" s="41" t="s">
        <v>23</v>
      </c>
      <c r="H13" s="42">
        <v>44935.0</v>
      </c>
      <c r="I13" s="41">
        <v>404.0</v>
      </c>
      <c r="J13" s="43">
        <v>278.74</v>
      </c>
      <c r="K13" s="43">
        <v>66.38</v>
      </c>
      <c r="L13" s="43">
        <v>112610.96</v>
      </c>
      <c r="M13" s="43">
        <v>26817.519999999997</v>
      </c>
      <c r="N13" s="43">
        <v>85793.44</v>
      </c>
      <c r="O13" s="44">
        <v>0.7618569276027839</v>
      </c>
    </row>
    <row r="14" ht="22.5" customHeight="1">
      <c r="B14" s="41" t="s">
        <v>38</v>
      </c>
      <c r="C14" s="41" t="s">
        <v>39</v>
      </c>
      <c r="D14" s="41" t="s">
        <v>29</v>
      </c>
      <c r="E14" s="41" t="s">
        <v>30</v>
      </c>
      <c r="F14" s="41" t="s">
        <v>17</v>
      </c>
      <c r="G14" s="41" t="s">
        <v>31</v>
      </c>
      <c r="H14" s="42">
        <v>44936.0</v>
      </c>
      <c r="I14" s="41">
        <v>452.0</v>
      </c>
      <c r="J14" s="43">
        <v>300.75</v>
      </c>
      <c r="K14" s="43">
        <v>314.94</v>
      </c>
      <c r="L14" s="43">
        <v>135939.0</v>
      </c>
      <c r="M14" s="43">
        <v>142352.88</v>
      </c>
      <c r="N14" s="43">
        <v>-6413.880000000005</v>
      </c>
      <c r="O14" s="44">
        <v>-0.047182044887780585</v>
      </c>
    </row>
    <row r="15" ht="22.5" customHeight="1">
      <c r="B15" s="41" t="s">
        <v>40</v>
      </c>
      <c r="C15" s="41" t="s">
        <v>14</v>
      </c>
      <c r="D15" s="41" t="s">
        <v>29</v>
      </c>
      <c r="E15" s="41" t="s">
        <v>22</v>
      </c>
      <c r="F15" s="41" t="s">
        <v>17</v>
      </c>
      <c r="G15" s="41" t="s">
        <v>23</v>
      </c>
      <c r="H15" s="42">
        <v>44937.0</v>
      </c>
      <c r="I15" s="41">
        <v>235.0</v>
      </c>
      <c r="J15" s="43">
        <v>393.0</v>
      </c>
      <c r="K15" s="43">
        <v>230.69</v>
      </c>
      <c r="L15" s="43">
        <v>92355.0</v>
      </c>
      <c r="M15" s="43">
        <v>54212.15</v>
      </c>
      <c r="N15" s="43">
        <v>38142.85</v>
      </c>
      <c r="O15" s="44">
        <v>0.41300254452926205</v>
      </c>
    </row>
    <row r="16" ht="22.5" customHeight="1">
      <c r="B16" s="41" t="s">
        <v>41</v>
      </c>
      <c r="C16" s="41" t="s">
        <v>14</v>
      </c>
      <c r="D16" s="41" t="s">
        <v>34</v>
      </c>
      <c r="E16" s="41" t="s">
        <v>30</v>
      </c>
      <c r="F16" s="41" t="s">
        <v>27</v>
      </c>
      <c r="G16" s="41" t="s">
        <v>31</v>
      </c>
      <c r="H16" s="42">
        <v>44938.0</v>
      </c>
      <c r="I16" s="41">
        <v>481.0</v>
      </c>
      <c r="J16" s="43">
        <v>243.05</v>
      </c>
      <c r="K16" s="43">
        <v>227.5</v>
      </c>
      <c r="L16" s="43">
        <v>116907.05</v>
      </c>
      <c r="M16" s="43">
        <v>109427.5</v>
      </c>
      <c r="N16" s="43">
        <v>7479.550000000003</v>
      </c>
      <c r="O16" s="44">
        <v>0.06397860522526232</v>
      </c>
    </row>
    <row r="17" ht="22.5" customHeight="1">
      <c r="B17" s="41" t="s">
        <v>42</v>
      </c>
      <c r="C17" s="41" t="s">
        <v>14</v>
      </c>
      <c r="D17" s="41" t="s">
        <v>15</v>
      </c>
      <c r="E17" s="41" t="s">
        <v>22</v>
      </c>
      <c r="F17" s="41" t="s">
        <v>27</v>
      </c>
      <c r="G17" s="41" t="s">
        <v>23</v>
      </c>
      <c r="H17" s="42">
        <v>44939.0</v>
      </c>
      <c r="I17" s="41">
        <v>133.0</v>
      </c>
      <c r="J17" s="43">
        <v>25.17</v>
      </c>
      <c r="K17" s="43">
        <v>157.64</v>
      </c>
      <c r="L17" s="43">
        <v>3347.61</v>
      </c>
      <c r="M17" s="43">
        <v>20966.12</v>
      </c>
      <c r="N17" s="43">
        <v>-17618.51</v>
      </c>
      <c r="O17" s="44">
        <v>-5.263011521652761</v>
      </c>
    </row>
    <row r="18" ht="22.5" customHeight="1">
      <c r="B18" s="41" t="s">
        <v>43</v>
      </c>
      <c r="C18" s="41" t="s">
        <v>14</v>
      </c>
      <c r="D18" s="41" t="s">
        <v>29</v>
      </c>
      <c r="E18" s="41" t="s">
        <v>22</v>
      </c>
      <c r="F18" s="41" t="s">
        <v>27</v>
      </c>
      <c r="G18" s="41" t="s">
        <v>23</v>
      </c>
      <c r="H18" s="42">
        <v>44940.0</v>
      </c>
      <c r="I18" s="41">
        <v>472.0</v>
      </c>
      <c r="J18" s="43">
        <v>86.18</v>
      </c>
      <c r="K18" s="43">
        <v>201.46</v>
      </c>
      <c r="L18" s="43">
        <v>40676.96000000001</v>
      </c>
      <c r="M18" s="43">
        <v>95089.12000000001</v>
      </c>
      <c r="N18" s="43">
        <v>-54412.16</v>
      </c>
      <c r="O18" s="44">
        <v>-1.337665351589696</v>
      </c>
    </row>
    <row r="19" ht="22.5" customHeight="1">
      <c r="B19" s="41" t="s">
        <v>44</v>
      </c>
      <c r="C19" s="41" t="s">
        <v>20</v>
      </c>
      <c r="D19" s="41" t="s">
        <v>21</v>
      </c>
      <c r="E19" s="41" t="s">
        <v>16</v>
      </c>
      <c r="F19" s="41" t="s">
        <v>27</v>
      </c>
      <c r="G19" s="41" t="s">
        <v>23</v>
      </c>
      <c r="H19" s="42">
        <v>44941.0</v>
      </c>
      <c r="I19" s="41">
        <v>47.0</v>
      </c>
      <c r="J19" s="43">
        <v>222.11</v>
      </c>
      <c r="K19" s="43">
        <v>160.08</v>
      </c>
      <c r="L19" s="43">
        <v>10439.17</v>
      </c>
      <c r="M19" s="43">
        <v>7523.76</v>
      </c>
      <c r="N19" s="43">
        <v>2915.41</v>
      </c>
      <c r="O19" s="44">
        <v>0.27927603439737064</v>
      </c>
    </row>
    <row r="20" ht="22.5" customHeight="1">
      <c r="B20" s="41" t="s">
        <v>45</v>
      </c>
      <c r="C20" s="41" t="s">
        <v>25</v>
      </c>
      <c r="D20" s="41" t="s">
        <v>15</v>
      </c>
      <c r="E20" s="41" t="s">
        <v>46</v>
      </c>
      <c r="F20" s="41" t="s">
        <v>17</v>
      </c>
      <c r="G20" s="41" t="s">
        <v>18</v>
      </c>
      <c r="H20" s="42">
        <v>44942.0</v>
      </c>
      <c r="I20" s="41">
        <v>337.0</v>
      </c>
      <c r="J20" s="43">
        <v>363.79</v>
      </c>
      <c r="K20" s="43">
        <v>216.81</v>
      </c>
      <c r="L20" s="43">
        <v>122597.23000000001</v>
      </c>
      <c r="M20" s="43">
        <v>73064.97</v>
      </c>
      <c r="N20" s="43">
        <v>49532.26000000001</v>
      </c>
      <c r="O20" s="44">
        <v>0.4040242997333627</v>
      </c>
    </row>
    <row r="21" ht="22.5" customHeight="1">
      <c r="B21" s="41" t="s">
        <v>47</v>
      </c>
      <c r="C21" s="41" t="s">
        <v>20</v>
      </c>
      <c r="D21" s="41" t="s">
        <v>15</v>
      </c>
      <c r="E21" s="41" t="s">
        <v>46</v>
      </c>
      <c r="F21" s="41" t="s">
        <v>17</v>
      </c>
      <c r="G21" s="41" t="s">
        <v>18</v>
      </c>
      <c r="H21" s="42">
        <v>44943.0</v>
      </c>
      <c r="I21" s="41">
        <v>260.0</v>
      </c>
      <c r="J21" s="43">
        <v>298.67</v>
      </c>
      <c r="K21" s="43">
        <v>251.92</v>
      </c>
      <c r="L21" s="43">
        <v>77654.2</v>
      </c>
      <c r="M21" s="43">
        <v>65499.2</v>
      </c>
      <c r="N21" s="43">
        <v>12155.0</v>
      </c>
      <c r="O21" s="44">
        <v>0.15652727090099441</v>
      </c>
    </row>
    <row r="22" ht="22.5" customHeight="1">
      <c r="B22" s="41" t="s">
        <v>48</v>
      </c>
      <c r="C22" s="41" t="s">
        <v>39</v>
      </c>
      <c r="D22" s="41" t="s">
        <v>21</v>
      </c>
      <c r="E22" s="41" t="s">
        <v>26</v>
      </c>
      <c r="F22" s="41" t="s">
        <v>27</v>
      </c>
      <c r="G22" s="41" t="s">
        <v>31</v>
      </c>
      <c r="H22" s="42">
        <v>44944.0</v>
      </c>
      <c r="I22" s="41">
        <v>398.0</v>
      </c>
      <c r="J22" s="43">
        <v>326.9</v>
      </c>
      <c r="K22" s="43">
        <v>270.37</v>
      </c>
      <c r="L22" s="43">
        <v>130106.2</v>
      </c>
      <c r="M22" s="43">
        <v>107607.26</v>
      </c>
      <c r="N22" s="43">
        <v>22498.940000000002</v>
      </c>
      <c r="O22" s="44">
        <v>0.17292750076475988</v>
      </c>
    </row>
    <row r="23" ht="22.5" customHeight="1">
      <c r="B23" s="41" t="s">
        <v>49</v>
      </c>
      <c r="C23" s="41" t="s">
        <v>20</v>
      </c>
      <c r="D23" s="41" t="s">
        <v>29</v>
      </c>
      <c r="E23" s="41" t="s">
        <v>16</v>
      </c>
      <c r="F23" s="41" t="s">
        <v>17</v>
      </c>
      <c r="G23" s="41" t="s">
        <v>31</v>
      </c>
      <c r="H23" s="42">
        <v>44945.0</v>
      </c>
      <c r="I23" s="41">
        <v>185.0</v>
      </c>
      <c r="J23" s="43">
        <v>242.24</v>
      </c>
      <c r="K23" s="43">
        <v>213.93</v>
      </c>
      <c r="L23" s="43">
        <v>44814.4</v>
      </c>
      <c r="M23" s="43">
        <v>39577.05</v>
      </c>
      <c r="N23" s="43">
        <v>5237.3499999999985</v>
      </c>
      <c r="O23" s="44">
        <v>0.11686756935270802</v>
      </c>
    </row>
    <row r="24" ht="22.5" customHeight="1">
      <c r="B24" s="41" t="s">
        <v>50</v>
      </c>
      <c r="C24" s="41" t="s">
        <v>14</v>
      </c>
      <c r="D24" s="41" t="s">
        <v>21</v>
      </c>
      <c r="E24" s="41" t="s">
        <v>22</v>
      </c>
      <c r="F24" s="41" t="s">
        <v>27</v>
      </c>
      <c r="G24" s="41" t="s">
        <v>18</v>
      </c>
      <c r="H24" s="42">
        <v>44946.0</v>
      </c>
      <c r="I24" s="41">
        <v>99.0</v>
      </c>
      <c r="J24" s="43">
        <v>309.79</v>
      </c>
      <c r="K24" s="43">
        <v>289.13</v>
      </c>
      <c r="L24" s="43">
        <v>30669.210000000003</v>
      </c>
      <c r="M24" s="43">
        <v>28623.87</v>
      </c>
      <c r="N24" s="43">
        <v>2045.3400000000038</v>
      </c>
      <c r="O24" s="44">
        <v>0.06669033861648226</v>
      </c>
    </row>
    <row r="25" ht="22.5" customHeight="1">
      <c r="B25" s="41" t="s">
        <v>51</v>
      </c>
      <c r="C25" s="41" t="s">
        <v>52</v>
      </c>
      <c r="D25" s="41" t="s">
        <v>15</v>
      </c>
      <c r="E25" s="41" t="s">
        <v>46</v>
      </c>
      <c r="F25" s="41" t="s">
        <v>27</v>
      </c>
      <c r="G25" s="41" t="s">
        <v>31</v>
      </c>
      <c r="H25" s="42">
        <v>44947.0</v>
      </c>
      <c r="I25" s="41">
        <v>411.0</v>
      </c>
      <c r="J25" s="43">
        <v>167.86</v>
      </c>
      <c r="K25" s="43">
        <v>58.23</v>
      </c>
      <c r="L25" s="43">
        <v>68990.46</v>
      </c>
      <c r="M25" s="43">
        <v>23932.53</v>
      </c>
      <c r="N25" s="43">
        <v>45057.93000000001</v>
      </c>
      <c r="O25" s="44">
        <v>0.6531037769569881</v>
      </c>
    </row>
    <row r="26" ht="22.5" customHeight="1">
      <c r="B26" s="41" t="s">
        <v>53</v>
      </c>
      <c r="C26" s="41" t="s">
        <v>25</v>
      </c>
      <c r="D26" s="41" t="s">
        <v>54</v>
      </c>
      <c r="E26" s="41" t="s">
        <v>22</v>
      </c>
      <c r="F26" s="41" t="s">
        <v>27</v>
      </c>
      <c r="G26" s="41" t="s">
        <v>18</v>
      </c>
      <c r="H26" s="42">
        <v>44948.0</v>
      </c>
      <c r="I26" s="41">
        <v>463.0</v>
      </c>
      <c r="J26" s="43">
        <v>237.74</v>
      </c>
      <c r="K26" s="43">
        <v>86.37</v>
      </c>
      <c r="L26" s="43">
        <v>110073.62000000001</v>
      </c>
      <c r="M26" s="43">
        <v>39989.310000000005</v>
      </c>
      <c r="N26" s="43">
        <v>70084.31</v>
      </c>
      <c r="O26" s="44">
        <v>0.6367039623117691</v>
      </c>
    </row>
    <row r="27" ht="22.5" customHeight="1">
      <c r="B27" s="41" t="s">
        <v>55</v>
      </c>
      <c r="C27" s="41" t="s">
        <v>52</v>
      </c>
      <c r="D27" s="41" t="s">
        <v>54</v>
      </c>
      <c r="E27" s="41" t="s">
        <v>46</v>
      </c>
      <c r="F27" s="41" t="s">
        <v>17</v>
      </c>
      <c r="G27" s="41" t="s">
        <v>23</v>
      </c>
      <c r="H27" s="42">
        <v>44949.0</v>
      </c>
      <c r="I27" s="41">
        <v>46.0</v>
      </c>
      <c r="J27" s="43">
        <v>373.42</v>
      </c>
      <c r="K27" s="43">
        <v>327.86</v>
      </c>
      <c r="L27" s="43">
        <v>17177.32</v>
      </c>
      <c r="M27" s="43">
        <v>15081.560000000001</v>
      </c>
      <c r="N27" s="43">
        <v>2095.7599999999984</v>
      </c>
      <c r="O27" s="44">
        <v>0.1220073911413421</v>
      </c>
    </row>
    <row r="28" ht="22.5" customHeight="1">
      <c r="B28" s="41" t="s">
        <v>56</v>
      </c>
      <c r="C28" s="41" t="s">
        <v>20</v>
      </c>
      <c r="D28" s="41" t="s">
        <v>34</v>
      </c>
      <c r="E28" s="41" t="s">
        <v>46</v>
      </c>
      <c r="F28" s="41" t="s">
        <v>27</v>
      </c>
      <c r="G28" s="41" t="s">
        <v>31</v>
      </c>
      <c r="H28" s="42">
        <v>44950.0</v>
      </c>
      <c r="I28" s="41">
        <v>325.0</v>
      </c>
      <c r="J28" s="43">
        <v>436.56</v>
      </c>
      <c r="K28" s="43">
        <v>130.37</v>
      </c>
      <c r="L28" s="43">
        <v>141882.0</v>
      </c>
      <c r="M28" s="43">
        <v>42370.25</v>
      </c>
      <c r="N28" s="43">
        <v>99511.75</v>
      </c>
      <c r="O28" s="44">
        <v>0.7013698002565513</v>
      </c>
    </row>
    <row r="29" ht="22.5" customHeight="1">
      <c r="B29" s="41" t="s">
        <v>57</v>
      </c>
      <c r="C29" s="41" t="s">
        <v>20</v>
      </c>
      <c r="D29" s="41" t="s">
        <v>21</v>
      </c>
      <c r="E29" s="41" t="s">
        <v>39</v>
      </c>
      <c r="F29" s="41" t="s">
        <v>27</v>
      </c>
      <c r="G29" s="41" t="s">
        <v>31</v>
      </c>
      <c r="H29" s="42">
        <v>44951.0</v>
      </c>
      <c r="I29" s="41">
        <v>185.0</v>
      </c>
      <c r="J29" s="43">
        <v>219.66</v>
      </c>
      <c r="K29" s="43">
        <v>11.11</v>
      </c>
      <c r="L29" s="43">
        <v>40637.1</v>
      </c>
      <c r="M29" s="43">
        <v>2055.35</v>
      </c>
      <c r="N29" s="43">
        <v>38581.75</v>
      </c>
      <c r="O29" s="44">
        <v>0.9494218337430574</v>
      </c>
    </row>
    <row r="30" ht="22.5" customHeight="1">
      <c r="B30" s="41" t="s">
        <v>58</v>
      </c>
      <c r="C30" s="41" t="s">
        <v>52</v>
      </c>
      <c r="D30" s="41" t="s">
        <v>21</v>
      </c>
      <c r="E30" s="41" t="s">
        <v>16</v>
      </c>
      <c r="F30" s="41" t="s">
        <v>27</v>
      </c>
      <c r="G30" s="41" t="s">
        <v>18</v>
      </c>
      <c r="H30" s="42">
        <v>44952.0</v>
      </c>
      <c r="I30" s="41">
        <v>470.0</v>
      </c>
      <c r="J30" s="43">
        <v>26.61</v>
      </c>
      <c r="K30" s="43">
        <v>63.21</v>
      </c>
      <c r="L30" s="43">
        <v>12506.699999999999</v>
      </c>
      <c r="M30" s="43">
        <v>29708.7</v>
      </c>
      <c r="N30" s="43">
        <v>-17202.0</v>
      </c>
      <c r="O30" s="44">
        <v>-1.3754227733934612</v>
      </c>
    </row>
    <row r="31" ht="22.5" customHeight="1">
      <c r="B31" s="41" t="s">
        <v>59</v>
      </c>
      <c r="C31" s="41" t="s">
        <v>52</v>
      </c>
      <c r="D31" s="41" t="s">
        <v>34</v>
      </c>
      <c r="E31" s="41" t="s">
        <v>30</v>
      </c>
      <c r="F31" s="41" t="s">
        <v>17</v>
      </c>
      <c r="G31" s="41" t="s">
        <v>31</v>
      </c>
      <c r="H31" s="42">
        <v>44953.0</v>
      </c>
      <c r="I31" s="41">
        <v>293.0</v>
      </c>
      <c r="J31" s="43">
        <v>85.03</v>
      </c>
      <c r="K31" s="43">
        <v>91.0</v>
      </c>
      <c r="L31" s="43">
        <v>24913.79</v>
      </c>
      <c r="M31" s="43">
        <v>26663.0</v>
      </c>
      <c r="N31" s="43">
        <v>-1749.2099999999991</v>
      </c>
      <c r="O31" s="44">
        <v>-0.07021051393625775</v>
      </c>
    </row>
    <row r="32" ht="22.5" hidden="1" customHeight="1">
      <c r="B32" s="41" t="s">
        <v>60</v>
      </c>
      <c r="C32" s="41" t="s">
        <v>52</v>
      </c>
      <c r="D32" s="41" t="s">
        <v>34</v>
      </c>
      <c r="E32" s="41" t="s">
        <v>22</v>
      </c>
      <c r="F32" s="41" t="s">
        <v>17</v>
      </c>
      <c r="G32" s="41" t="s">
        <v>31</v>
      </c>
      <c r="H32" s="42">
        <v>44954.0</v>
      </c>
      <c r="I32" s="41">
        <v>462.0</v>
      </c>
      <c r="J32" s="43">
        <v>249.64520588235297</v>
      </c>
      <c r="K32" s="43">
        <v>383.01</v>
      </c>
      <c r="L32" s="43">
        <v>115336.08511764708</v>
      </c>
      <c r="M32" s="43">
        <v>176950.62</v>
      </c>
      <c r="N32" s="43">
        <v>-61614.53488235292</v>
      </c>
      <c r="O32" s="44">
        <v>-0.5342173251285911</v>
      </c>
    </row>
    <row r="33" ht="22.5" customHeight="1">
      <c r="B33" s="41" t="s">
        <v>61</v>
      </c>
      <c r="C33" s="41" t="s">
        <v>20</v>
      </c>
      <c r="D33" s="41" t="s">
        <v>34</v>
      </c>
      <c r="E33" s="41" t="s">
        <v>16</v>
      </c>
      <c r="F33" s="41" t="s">
        <v>27</v>
      </c>
      <c r="G33" s="41" t="s">
        <v>23</v>
      </c>
      <c r="H33" s="42">
        <v>44955.0</v>
      </c>
      <c r="I33" s="41">
        <v>470.0</v>
      </c>
      <c r="J33" s="43">
        <v>328.37</v>
      </c>
      <c r="K33" s="43">
        <v>230.07</v>
      </c>
      <c r="L33" s="43">
        <v>154333.9</v>
      </c>
      <c r="M33" s="43">
        <v>108132.9</v>
      </c>
      <c r="N33" s="43">
        <v>46201.0</v>
      </c>
      <c r="O33" s="44">
        <v>0.29935743216493593</v>
      </c>
    </row>
    <row r="34" ht="22.5" customHeight="1">
      <c r="B34" s="41" t="s">
        <v>62</v>
      </c>
      <c r="C34" s="41" t="s">
        <v>20</v>
      </c>
      <c r="D34" s="41" t="s">
        <v>15</v>
      </c>
      <c r="E34" s="41" t="s">
        <v>16</v>
      </c>
      <c r="F34" s="41" t="s">
        <v>17</v>
      </c>
      <c r="G34" s="41" t="s">
        <v>31</v>
      </c>
      <c r="H34" s="42">
        <v>44956.0</v>
      </c>
      <c r="I34" s="41">
        <v>90.0</v>
      </c>
      <c r="J34" s="43">
        <v>169.5</v>
      </c>
      <c r="K34" s="43">
        <v>373.23</v>
      </c>
      <c r="L34" s="43">
        <v>15255.0</v>
      </c>
      <c r="M34" s="43">
        <v>33590.700000000004</v>
      </c>
      <c r="N34" s="43">
        <v>-18335.700000000004</v>
      </c>
      <c r="O34" s="44">
        <v>-1.2019469026548675</v>
      </c>
    </row>
    <row r="35" ht="22.5" customHeight="1">
      <c r="B35" s="41" t="s">
        <v>63</v>
      </c>
      <c r="C35" s="41" t="s">
        <v>39</v>
      </c>
      <c r="D35" s="41" t="s">
        <v>21</v>
      </c>
      <c r="E35" s="41" t="s">
        <v>16</v>
      </c>
      <c r="F35" s="41" t="s">
        <v>17</v>
      </c>
      <c r="G35" s="41" t="s">
        <v>23</v>
      </c>
      <c r="H35" s="42">
        <v>44957.0</v>
      </c>
      <c r="I35" s="41">
        <v>123.0</v>
      </c>
      <c r="J35" s="43">
        <v>273.53</v>
      </c>
      <c r="K35" s="43">
        <v>230.92</v>
      </c>
      <c r="L35" s="43">
        <v>33644.189999999995</v>
      </c>
      <c r="M35" s="43">
        <v>28403.16</v>
      </c>
      <c r="N35" s="43">
        <v>5241.029999999995</v>
      </c>
      <c r="O35" s="44">
        <v>0.15577815961686092</v>
      </c>
    </row>
    <row r="36" ht="22.5" customHeight="1">
      <c r="B36" s="41" t="s">
        <v>64</v>
      </c>
      <c r="C36" s="41" t="s">
        <v>25</v>
      </c>
      <c r="D36" s="41" t="s">
        <v>15</v>
      </c>
      <c r="E36" s="41" t="s">
        <v>16</v>
      </c>
      <c r="F36" s="41" t="s">
        <v>17</v>
      </c>
      <c r="G36" s="41" t="s">
        <v>18</v>
      </c>
      <c r="H36" s="42">
        <v>44958.0</v>
      </c>
      <c r="I36" s="41">
        <v>49.0</v>
      </c>
      <c r="J36" s="43">
        <v>249.17</v>
      </c>
      <c r="K36" s="43">
        <v>192.78</v>
      </c>
      <c r="L36" s="43">
        <v>12209.33</v>
      </c>
      <c r="M36" s="43">
        <v>9446.22</v>
      </c>
      <c r="N36" s="43">
        <v>2763.1100000000006</v>
      </c>
      <c r="O36" s="44">
        <v>0.226311353694265</v>
      </c>
    </row>
    <row r="37" ht="22.5" customHeight="1">
      <c r="B37" s="41" t="s">
        <v>65</v>
      </c>
      <c r="C37" s="41" t="s">
        <v>20</v>
      </c>
      <c r="D37" s="41" t="s">
        <v>34</v>
      </c>
      <c r="E37" s="41" t="s">
        <v>16</v>
      </c>
      <c r="F37" s="41" t="s">
        <v>17</v>
      </c>
      <c r="G37" s="41" t="s">
        <v>31</v>
      </c>
      <c r="H37" s="42">
        <v>44959.0</v>
      </c>
      <c r="I37" s="41">
        <v>310.0</v>
      </c>
      <c r="J37" s="43">
        <v>45.36</v>
      </c>
      <c r="K37" s="43">
        <v>126.86</v>
      </c>
      <c r="L37" s="43">
        <v>14061.6</v>
      </c>
      <c r="M37" s="43">
        <v>39326.6</v>
      </c>
      <c r="N37" s="43">
        <v>-25265.0</v>
      </c>
      <c r="O37" s="44">
        <v>-1.79673721340388</v>
      </c>
    </row>
    <row r="38" ht="22.5" customHeight="1">
      <c r="B38" s="41" t="s">
        <v>66</v>
      </c>
      <c r="C38" s="41" t="s">
        <v>52</v>
      </c>
      <c r="D38" s="41" t="s">
        <v>21</v>
      </c>
      <c r="E38" s="41" t="s">
        <v>26</v>
      </c>
      <c r="F38" s="41" t="s">
        <v>17</v>
      </c>
      <c r="G38" s="41" t="s">
        <v>23</v>
      </c>
      <c r="H38" s="42">
        <v>44960.0</v>
      </c>
      <c r="I38" s="41">
        <v>233.0</v>
      </c>
      <c r="J38" s="43">
        <v>204.61</v>
      </c>
      <c r="K38" s="43">
        <v>243.34</v>
      </c>
      <c r="L38" s="43">
        <v>47674.130000000005</v>
      </c>
      <c r="M38" s="43">
        <v>56698.22</v>
      </c>
      <c r="N38" s="43">
        <v>-9024.089999999997</v>
      </c>
      <c r="O38" s="44">
        <v>-0.18928693612237907</v>
      </c>
    </row>
    <row r="39" ht="22.5" customHeight="1">
      <c r="B39" s="41" t="s">
        <v>67</v>
      </c>
      <c r="C39" s="41" t="s">
        <v>52</v>
      </c>
      <c r="D39" s="41" t="s">
        <v>15</v>
      </c>
      <c r="E39" s="41" t="s">
        <v>22</v>
      </c>
      <c r="F39" s="41" t="s">
        <v>17</v>
      </c>
      <c r="G39" s="41" t="s">
        <v>18</v>
      </c>
      <c r="H39" s="42">
        <v>44961.0</v>
      </c>
      <c r="I39" s="41">
        <v>327.0</v>
      </c>
      <c r="J39" s="43">
        <v>114.18</v>
      </c>
      <c r="K39" s="43">
        <v>57.4</v>
      </c>
      <c r="L39" s="43">
        <v>37336.86</v>
      </c>
      <c r="M39" s="43">
        <v>18769.8</v>
      </c>
      <c r="N39" s="43">
        <v>18567.06</v>
      </c>
      <c r="O39" s="44">
        <v>0.4972849886144684</v>
      </c>
    </row>
    <row r="40" ht="22.5" customHeight="1">
      <c r="B40" s="41" t="s">
        <v>68</v>
      </c>
      <c r="C40" s="41" t="s">
        <v>25</v>
      </c>
      <c r="D40" s="41" t="s">
        <v>15</v>
      </c>
      <c r="E40" s="41" t="s">
        <v>16</v>
      </c>
      <c r="F40" s="41" t="s">
        <v>17</v>
      </c>
      <c r="G40" s="41" t="s">
        <v>31</v>
      </c>
      <c r="H40" s="42">
        <v>44962.0</v>
      </c>
      <c r="I40" s="41">
        <v>358.0</v>
      </c>
      <c r="J40" s="43">
        <v>212.11</v>
      </c>
      <c r="K40" s="43">
        <v>359.51</v>
      </c>
      <c r="L40" s="43">
        <v>75935.38</v>
      </c>
      <c r="M40" s="43">
        <v>128704.58</v>
      </c>
      <c r="N40" s="43">
        <v>-52769.2</v>
      </c>
      <c r="O40" s="44">
        <v>-0.6949224459007118</v>
      </c>
    </row>
    <row r="41" ht="22.5" hidden="1" customHeight="1">
      <c r="B41" s="41" t="s">
        <v>69</v>
      </c>
      <c r="C41" s="41" t="s">
        <v>20</v>
      </c>
      <c r="D41" s="41" t="s">
        <v>34</v>
      </c>
      <c r="E41" s="41" t="s">
        <v>22</v>
      </c>
      <c r="F41" s="41" t="s">
        <v>17</v>
      </c>
      <c r="G41" s="41" t="s">
        <v>18</v>
      </c>
      <c r="H41" s="42">
        <v>44963.0</v>
      </c>
      <c r="I41" s="41">
        <v>124.0</v>
      </c>
      <c r="J41" s="43">
        <v>249.64520588235297</v>
      </c>
      <c r="K41" s="43">
        <v>332.07</v>
      </c>
      <c r="L41" s="43">
        <v>30956.005529411766</v>
      </c>
      <c r="M41" s="43">
        <v>41176.68</v>
      </c>
      <c r="N41" s="43">
        <v>-10220.674470588234</v>
      </c>
      <c r="O41" s="44">
        <v>-0.3301677427624639</v>
      </c>
    </row>
    <row r="42" ht="22.5" customHeight="1">
      <c r="B42" s="41" t="s">
        <v>70</v>
      </c>
      <c r="C42" s="41" t="s">
        <v>25</v>
      </c>
      <c r="D42" s="41" t="s">
        <v>21</v>
      </c>
      <c r="E42" s="41" t="s">
        <v>26</v>
      </c>
      <c r="F42" s="41" t="s">
        <v>17</v>
      </c>
      <c r="G42" s="41" t="s">
        <v>31</v>
      </c>
      <c r="H42" s="42">
        <v>44964.0</v>
      </c>
      <c r="I42" s="41">
        <v>195.0</v>
      </c>
      <c r="J42" s="43">
        <v>421.02</v>
      </c>
      <c r="K42" s="43">
        <v>128.38</v>
      </c>
      <c r="L42" s="43">
        <v>82098.9</v>
      </c>
      <c r="M42" s="43">
        <v>25034.1</v>
      </c>
      <c r="N42" s="43">
        <v>57064.799999999996</v>
      </c>
      <c r="O42" s="44">
        <v>0.6950738682247875</v>
      </c>
    </row>
    <row r="43" ht="22.5" hidden="1" customHeight="1">
      <c r="B43" s="41" t="s">
        <v>71</v>
      </c>
      <c r="C43" s="41" t="s">
        <v>25</v>
      </c>
      <c r="D43" s="41" t="s">
        <v>34</v>
      </c>
      <c r="E43" s="41" t="s">
        <v>26</v>
      </c>
      <c r="F43" s="41" t="s">
        <v>17</v>
      </c>
      <c r="G43" s="41" t="s">
        <v>18</v>
      </c>
      <c r="H43" s="42">
        <v>44965.0</v>
      </c>
      <c r="I43" s="45">
        <v>255.9029411764706</v>
      </c>
      <c r="J43" s="43">
        <v>91.23</v>
      </c>
      <c r="K43" s="43">
        <v>381.21</v>
      </c>
      <c r="L43" s="43">
        <v>23346.02532352941</v>
      </c>
      <c r="M43" s="43">
        <v>97552.76020588235</v>
      </c>
      <c r="N43" s="43">
        <v>-74206.73488235295</v>
      </c>
      <c r="O43" s="44">
        <v>-3.1785596843143704</v>
      </c>
    </row>
    <row r="44" ht="22.5" customHeight="1">
      <c r="B44" s="41" t="s">
        <v>72</v>
      </c>
      <c r="C44" s="41" t="s">
        <v>14</v>
      </c>
      <c r="D44" s="41" t="s">
        <v>21</v>
      </c>
      <c r="E44" s="41" t="s">
        <v>22</v>
      </c>
      <c r="F44" s="41" t="s">
        <v>27</v>
      </c>
      <c r="G44" s="41" t="s">
        <v>18</v>
      </c>
      <c r="H44" s="42">
        <v>44966.0</v>
      </c>
      <c r="I44" s="41">
        <v>65.0</v>
      </c>
      <c r="J44" s="43">
        <v>480.59</v>
      </c>
      <c r="K44" s="43">
        <v>330.43</v>
      </c>
      <c r="L44" s="43">
        <v>31238.35</v>
      </c>
      <c r="M44" s="43">
        <v>21477.95</v>
      </c>
      <c r="N44" s="43">
        <v>9760.399999999998</v>
      </c>
      <c r="O44" s="44">
        <v>0.31244928109199105</v>
      </c>
    </row>
    <row r="45" ht="22.5" customHeight="1">
      <c r="B45" s="41" t="s">
        <v>73</v>
      </c>
      <c r="C45" s="41" t="s">
        <v>14</v>
      </c>
      <c r="D45" s="41" t="s">
        <v>54</v>
      </c>
      <c r="E45" s="41" t="s">
        <v>46</v>
      </c>
      <c r="F45" s="41" t="s">
        <v>27</v>
      </c>
      <c r="G45" s="41" t="s">
        <v>23</v>
      </c>
      <c r="H45" s="42">
        <v>44967.0</v>
      </c>
      <c r="I45" s="41">
        <v>49.0</v>
      </c>
      <c r="J45" s="43">
        <v>210.87</v>
      </c>
      <c r="K45" s="43">
        <v>267.19</v>
      </c>
      <c r="L45" s="43">
        <v>10332.630000000001</v>
      </c>
      <c r="M45" s="43">
        <v>13092.31</v>
      </c>
      <c r="N45" s="43">
        <v>-2759.6799999999985</v>
      </c>
      <c r="O45" s="44">
        <v>-0.26708398539384437</v>
      </c>
    </row>
    <row r="46" ht="22.5" customHeight="1">
      <c r="B46" s="41" t="s">
        <v>74</v>
      </c>
      <c r="C46" s="41" t="s">
        <v>14</v>
      </c>
      <c r="D46" s="41" t="s">
        <v>29</v>
      </c>
      <c r="E46" s="41" t="s">
        <v>30</v>
      </c>
      <c r="F46" s="41" t="s">
        <v>17</v>
      </c>
      <c r="G46" s="41" t="s">
        <v>18</v>
      </c>
      <c r="H46" s="42">
        <v>44968.0</v>
      </c>
      <c r="I46" s="41">
        <v>363.0</v>
      </c>
      <c r="J46" s="43">
        <v>423.89</v>
      </c>
      <c r="K46" s="43">
        <v>50.46</v>
      </c>
      <c r="L46" s="43">
        <v>153872.07</v>
      </c>
      <c r="M46" s="43">
        <v>18316.98</v>
      </c>
      <c r="N46" s="43">
        <v>135555.09</v>
      </c>
      <c r="O46" s="44">
        <v>0.8809596829366109</v>
      </c>
    </row>
    <row r="47" ht="22.5" customHeight="1">
      <c r="B47" s="41" t="s">
        <v>75</v>
      </c>
      <c r="C47" s="41" t="s">
        <v>52</v>
      </c>
      <c r="D47" s="41" t="s">
        <v>29</v>
      </c>
      <c r="E47" s="41" t="s">
        <v>46</v>
      </c>
      <c r="F47" s="41" t="s">
        <v>27</v>
      </c>
      <c r="G47" s="41" t="s">
        <v>31</v>
      </c>
      <c r="H47" s="42">
        <v>44969.0</v>
      </c>
      <c r="I47" s="41">
        <v>49.0</v>
      </c>
      <c r="J47" s="43">
        <v>316.24</v>
      </c>
      <c r="K47" s="43">
        <v>192.34</v>
      </c>
      <c r="L47" s="43">
        <v>15495.76</v>
      </c>
      <c r="M47" s="43">
        <v>9424.66</v>
      </c>
      <c r="N47" s="43">
        <v>6071.1</v>
      </c>
      <c r="O47" s="44">
        <v>0.3917910447761194</v>
      </c>
    </row>
    <row r="48" ht="22.5" customHeight="1">
      <c r="B48" s="41" t="s">
        <v>76</v>
      </c>
      <c r="C48" s="41" t="s">
        <v>20</v>
      </c>
      <c r="D48" s="41" t="s">
        <v>29</v>
      </c>
      <c r="E48" s="41" t="s">
        <v>46</v>
      </c>
      <c r="F48" s="41" t="s">
        <v>27</v>
      </c>
      <c r="G48" s="41" t="s">
        <v>31</v>
      </c>
      <c r="H48" s="42">
        <v>44970.0</v>
      </c>
      <c r="I48" s="41">
        <v>356.0</v>
      </c>
      <c r="J48" s="43">
        <v>369.0</v>
      </c>
      <c r="K48" s="43">
        <v>203.43</v>
      </c>
      <c r="L48" s="43">
        <v>131364.0</v>
      </c>
      <c r="M48" s="43">
        <v>72421.08</v>
      </c>
      <c r="N48" s="43">
        <v>58942.92</v>
      </c>
      <c r="O48" s="44">
        <v>0.4486991869918699</v>
      </c>
    </row>
    <row r="49" ht="22.5" hidden="1" customHeight="1">
      <c r="B49" s="41" t="s">
        <v>77</v>
      </c>
      <c r="C49" s="41" t="s">
        <v>20</v>
      </c>
      <c r="D49" s="41" t="s">
        <v>34</v>
      </c>
      <c r="E49" s="41" t="s">
        <v>46</v>
      </c>
      <c r="F49" s="41" t="s">
        <v>17</v>
      </c>
      <c r="G49" s="41" t="s">
        <v>23</v>
      </c>
      <c r="H49" s="42">
        <v>44971.0</v>
      </c>
      <c r="I49" s="41">
        <v>470.0</v>
      </c>
      <c r="J49" s="43">
        <v>249.64520588235297</v>
      </c>
      <c r="K49" s="43">
        <v>94.56</v>
      </c>
      <c r="L49" s="43">
        <v>117333.2467647059</v>
      </c>
      <c r="M49" s="43">
        <v>44443.200000000004</v>
      </c>
      <c r="N49" s="43">
        <v>72890.04676470588</v>
      </c>
      <c r="O49" s="44">
        <v>0.6212224478103454</v>
      </c>
    </row>
    <row r="50" ht="22.5" customHeight="1">
      <c r="B50" s="41" t="s">
        <v>78</v>
      </c>
      <c r="C50" s="41" t="s">
        <v>20</v>
      </c>
      <c r="D50" s="41" t="s">
        <v>54</v>
      </c>
      <c r="E50" s="41" t="s">
        <v>16</v>
      </c>
      <c r="F50" s="41" t="s">
        <v>17</v>
      </c>
      <c r="G50" s="41" t="s">
        <v>31</v>
      </c>
      <c r="H50" s="42">
        <v>44972.0</v>
      </c>
      <c r="I50" s="41">
        <v>246.0</v>
      </c>
      <c r="J50" s="43">
        <v>254.9</v>
      </c>
      <c r="K50" s="43">
        <v>33.83</v>
      </c>
      <c r="L50" s="43">
        <v>62705.4</v>
      </c>
      <c r="M50" s="43">
        <v>8322.18</v>
      </c>
      <c r="N50" s="43">
        <v>54383.22</v>
      </c>
      <c r="O50" s="44">
        <v>0.8672812867791291</v>
      </c>
    </row>
    <row r="51" ht="22.5" customHeight="1">
      <c r="B51" s="41" t="s">
        <v>79</v>
      </c>
      <c r="C51" s="41" t="s">
        <v>20</v>
      </c>
      <c r="D51" s="41" t="s">
        <v>21</v>
      </c>
      <c r="E51" s="41" t="s">
        <v>26</v>
      </c>
      <c r="F51" s="41" t="s">
        <v>17</v>
      </c>
      <c r="G51" s="41" t="s">
        <v>31</v>
      </c>
      <c r="H51" s="42">
        <v>44973.0</v>
      </c>
      <c r="I51" s="41">
        <v>298.0</v>
      </c>
      <c r="J51" s="43">
        <v>273.93</v>
      </c>
      <c r="K51" s="43">
        <v>311.14</v>
      </c>
      <c r="L51" s="43">
        <v>81631.14</v>
      </c>
      <c r="M51" s="43">
        <v>92719.72</v>
      </c>
      <c r="N51" s="43">
        <v>-11088.580000000002</v>
      </c>
      <c r="O51" s="44">
        <v>-0.1358376227503377</v>
      </c>
    </row>
    <row r="52" ht="22.5" customHeight="1">
      <c r="B52" s="41" t="s">
        <v>80</v>
      </c>
      <c r="C52" s="41" t="s">
        <v>14</v>
      </c>
      <c r="D52" s="41" t="s">
        <v>15</v>
      </c>
      <c r="E52" s="41" t="s">
        <v>46</v>
      </c>
      <c r="F52" s="41" t="s">
        <v>27</v>
      </c>
      <c r="G52" s="41" t="s">
        <v>31</v>
      </c>
      <c r="H52" s="42">
        <v>44974.0</v>
      </c>
      <c r="I52" s="41">
        <v>271.0</v>
      </c>
      <c r="J52" s="43">
        <v>259.43</v>
      </c>
      <c r="K52" s="43">
        <v>50.57</v>
      </c>
      <c r="L52" s="43">
        <v>70305.53</v>
      </c>
      <c r="M52" s="43">
        <v>13704.47</v>
      </c>
      <c r="N52" s="43">
        <v>56601.06</v>
      </c>
      <c r="O52" s="44">
        <v>0.8050726592915237</v>
      </c>
    </row>
    <row r="53" ht="22.5" customHeight="1">
      <c r="B53" s="41" t="s">
        <v>81</v>
      </c>
      <c r="C53" s="41" t="s">
        <v>52</v>
      </c>
      <c r="D53" s="41" t="s">
        <v>21</v>
      </c>
      <c r="E53" s="41" t="s">
        <v>26</v>
      </c>
      <c r="F53" s="41" t="s">
        <v>27</v>
      </c>
      <c r="G53" s="41" t="s">
        <v>18</v>
      </c>
      <c r="H53" s="42">
        <v>44975.0</v>
      </c>
      <c r="I53" s="41">
        <v>225.0</v>
      </c>
      <c r="J53" s="43">
        <v>296.09</v>
      </c>
      <c r="K53" s="43">
        <v>238.53</v>
      </c>
      <c r="L53" s="43">
        <v>66620.25</v>
      </c>
      <c r="M53" s="43">
        <v>53669.25</v>
      </c>
      <c r="N53" s="43">
        <v>12951.0</v>
      </c>
      <c r="O53" s="44">
        <v>0.19440035124455401</v>
      </c>
    </row>
    <row r="54" ht="22.5" customHeight="1">
      <c r="B54" s="41" t="s">
        <v>82</v>
      </c>
      <c r="C54" s="41" t="s">
        <v>39</v>
      </c>
      <c r="D54" s="41" t="s">
        <v>15</v>
      </c>
      <c r="E54" s="41" t="s">
        <v>22</v>
      </c>
      <c r="F54" s="41" t="s">
        <v>17</v>
      </c>
      <c r="G54" s="41" t="s">
        <v>18</v>
      </c>
      <c r="H54" s="42">
        <v>44976.0</v>
      </c>
      <c r="I54" s="41">
        <v>156.0</v>
      </c>
      <c r="J54" s="43">
        <v>19.55</v>
      </c>
      <c r="K54" s="43">
        <v>374.71</v>
      </c>
      <c r="L54" s="43">
        <v>3049.8</v>
      </c>
      <c r="M54" s="43">
        <v>58454.759999999995</v>
      </c>
      <c r="N54" s="43">
        <v>-55404.95999999999</v>
      </c>
      <c r="O54" s="44">
        <v>-18.166751918158564</v>
      </c>
    </row>
    <row r="55" ht="22.5" customHeight="1">
      <c r="B55" s="41" t="s">
        <v>83</v>
      </c>
      <c r="C55" s="41" t="s">
        <v>14</v>
      </c>
      <c r="D55" s="41" t="s">
        <v>21</v>
      </c>
      <c r="E55" s="41" t="s">
        <v>30</v>
      </c>
      <c r="F55" s="41" t="s">
        <v>17</v>
      </c>
      <c r="G55" s="41" t="s">
        <v>31</v>
      </c>
      <c r="H55" s="42">
        <v>44977.0</v>
      </c>
      <c r="I55" s="41">
        <v>345.0</v>
      </c>
      <c r="J55" s="43">
        <v>200.78</v>
      </c>
      <c r="K55" s="43">
        <v>350.69</v>
      </c>
      <c r="L55" s="43">
        <v>69269.1</v>
      </c>
      <c r="M55" s="43">
        <v>120988.05</v>
      </c>
      <c r="N55" s="43">
        <v>-51718.95</v>
      </c>
      <c r="O55" s="44">
        <v>-0.7466381113656738</v>
      </c>
    </row>
    <row r="56" ht="22.5" customHeight="1">
      <c r="B56" s="41" t="s">
        <v>84</v>
      </c>
      <c r="C56" s="41" t="s">
        <v>52</v>
      </c>
      <c r="D56" s="41" t="s">
        <v>54</v>
      </c>
      <c r="E56" s="41" t="s">
        <v>22</v>
      </c>
      <c r="F56" s="41" t="s">
        <v>17</v>
      </c>
      <c r="G56" s="41" t="s">
        <v>23</v>
      </c>
      <c r="H56" s="42">
        <v>44978.0</v>
      </c>
      <c r="I56" s="41">
        <v>177.0</v>
      </c>
      <c r="J56" s="43">
        <v>305.06</v>
      </c>
      <c r="K56" s="43">
        <v>112.55</v>
      </c>
      <c r="L56" s="43">
        <v>53995.62</v>
      </c>
      <c r="M56" s="43">
        <v>19921.35</v>
      </c>
      <c r="N56" s="43">
        <v>34074.270000000004</v>
      </c>
      <c r="O56" s="44">
        <v>0.6310561856683932</v>
      </c>
    </row>
    <row r="57" ht="22.5" customHeight="1">
      <c r="B57" s="41" t="s">
        <v>85</v>
      </c>
      <c r="C57" s="41" t="s">
        <v>14</v>
      </c>
      <c r="D57" s="41" t="s">
        <v>15</v>
      </c>
      <c r="E57" s="41" t="s">
        <v>22</v>
      </c>
      <c r="F57" s="41" t="s">
        <v>27</v>
      </c>
      <c r="G57" s="41" t="s">
        <v>18</v>
      </c>
      <c r="H57" s="42">
        <v>44979.0</v>
      </c>
      <c r="I57" s="41">
        <v>101.0</v>
      </c>
      <c r="J57" s="43">
        <v>300.87</v>
      </c>
      <c r="K57" s="43">
        <v>340.88</v>
      </c>
      <c r="L57" s="43">
        <v>30387.87</v>
      </c>
      <c r="M57" s="43">
        <v>34428.88</v>
      </c>
      <c r="N57" s="43">
        <v>-4041.0099999999984</v>
      </c>
      <c r="O57" s="44">
        <v>-0.1329810217037258</v>
      </c>
    </row>
    <row r="58" ht="22.5" customHeight="1">
      <c r="B58" s="41" t="s">
        <v>86</v>
      </c>
      <c r="C58" s="41" t="s">
        <v>20</v>
      </c>
      <c r="D58" s="41" t="s">
        <v>34</v>
      </c>
      <c r="E58" s="41" t="s">
        <v>16</v>
      </c>
      <c r="F58" s="41" t="s">
        <v>27</v>
      </c>
      <c r="G58" s="41" t="s">
        <v>23</v>
      </c>
      <c r="H58" s="42">
        <v>44980.0</v>
      </c>
      <c r="I58" s="41">
        <v>362.0</v>
      </c>
      <c r="J58" s="43">
        <v>397.51</v>
      </c>
      <c r="K58" s="43">
        <v>2.13</v>
      </c>
      <c r="L58" s="43">
        <v>143898.62</v>
      </c>
      <c r="M58" s="43">
        <v>771.06</v>
      </c>
      <c r="N58" s="43">
        <v>143127.56</v>
      </c>
      <c r="O58" s="44">
        <v>0.9946416442353652</v>
      </c>
    </row>
    <row r="59" ht="22.5" customHeight="1">
      <c r="B59" s="41" t="s">
        <v>87</v>
      </c>
      <c r="C59" s="41" t="s">
        <v>14</v>
      </c>
      <c r="D59" s="41" t="s">
        <v>21</v>
      </c>
      <c r="E59" s="41" t="s">
        <v>30</v>
      </c>
      <c r="F59" s="41" t="s">
        <v>27</v>
      </c>
      <c r="G59" s="41" t="s">
        <v>31</v>
      </c>
      <c r="H59" s="42">
        <v>44981.0</v>
      </c>
      <c r="I59" s="41">
        <v>68.0</v>
      </c>
      <c r="J59" s="43">
        <v>329.23</v>
      </c>
      <c r="K59" s="43">
        <v>9.04</v>
      </c>
      <c r="L59" s="43">
        <v>22387.64</v>
      </c>
      <c r="M59" s="43">
        <v>614.7199999999999</v>
      </c>
      <c r="N59" s="43">
        <v>21772.92</v>
      </c>
      <c r="O59" s="44">
        <v>0.9725419919205418</v>
      </c>
    </row>
    <row r="60" ht="22.5" customHeight="1">
      <c r="B60" s="41" t="s">
        <v>88</v>
      </c>
      <c r="C60" s="41" t="s">
        <v>20</v>
      </c>
      <c r="D60" s="41" t="s">
        <v>21</v>
      </c>
      <c r="E60" s="41" t="s">
        <v>22</v>
      </c>
      <c r="F60" s="41" t="s">
        <v>27</v>
      </c>
      <c r="G60" s="41" t="s">
        <v>31</v>
      </c>
      <c r="H60" s="42">
        <v>44982.0</v>
      </c>
      <c r="I60" s="41">
        <v>68.0</v>
      </c>
      <c r="J60" s="43">
        <v>496.11</v>
      </c>
      <c r="K60" s="43">
        <v>241.82</v>
      </c>
      <c r="L60" s="43">
        <v>33735.48</v>
      </c>
      <c r="M60" s="43">
        <v>16443.76</v>
      </c>
      <c r="N60" s="43">
        <v>17291.720000000005</v>
      </c>
      <c r="O60" s="44">
        <v>0.5125677773074521</v>
      </c>
    </row>
    <row r="61" ht="22.5" customHeight="1">
      <c r="B61" s="41" t="s">
        <v>89</v>
      </c>
      <c r="C61" s="41" t="s">
        <v>20</v>
      </c>
      <c r="D61" s="41" t="s">
        <v>15</v>
      </c>
      <c r="E61" s="41" t="s">
        <v>22</v>
      </c>
      <c r="F61" s="41" t="s">
        <v>17</v>
      </c>
      <c r="G61" s="41" t="s">
        <v>18</v>
      </c>
      <c r="H61" s="42">
        <v>44983.0</v>
      </c>
      <c r="I61" s="41">
        <v>313.0</v>
      </c>
      <c r="J61" s="43">
        <v>145.51</v>
      </c>
      <c r="K61" s="43">
        <v>147.19</v>
      </c>
      <c r="L61" s="43">
        <v>45544.63</v>
      </c>
      <c r="M61" s="43">
        <v>46070.47</v>
      </c>
      <c r="N61" s="43">
        <v>-525.8400000000038</v>
      </c>
      <c r="O61" s="44">
        <v>-0.011545598240670828</v>
      </c>
    </row>
    <row r="62" ht="22.5" customHeight="1">
      <c r="B62" s="41" t="s">
        <v>90</v>
      </c>
      <c r="C62" s="41" t="s">
        <v>25</v>
      </c>
      <c r="D62" s="41" t="s">
        <v>34</v>
      </c>
      <c r="E62" s="41" t="s">
        <v>30</v>
      </c>
      <c r="F62" s="41" t="s">
        <v>17</v>
      </c>
      <c r="G62" s="41" t="s">
        <v>31</v>
      </c>
      <c r="H62" s="42">
        <v>44984.0</v>
      </c>
      <c r="I62" s="41">
        <v>178.0</v>
      </c>
      <c r="J62" s="43">
        <v>182.78</v>
      </c>
      <c r="K62" s="43">
        <v>155.81</v>
      </c>
      <c r="L62" s="43">
        <v>32534.84</v>
      </c>
      <c r="M62" s="43">
        <v>27734.18</v>
      </c>
      <c r="N62" s="43">
        <v>4800.66</v>
      </c>
      <c r="O62" s="44">
        <v>0.14755443702812124</v>
      </c>
    </row>
    <row r="63" ht="22.5" customHeight="1">
      <c r="B63" s="41" t="s">
        <v>91</v>
      </c>
      <c r="C63" s="41" t="s">
        <v>14</v>
      </c>
      <c r="D63" s="41" t="s">
        <v>34</v>
      </c>
      <c r="E63" s="41" t="s">
        <v>30</v>
      </c>
      <c r="F63" s="41" t="s">
        <v>17</v>
      </c>
      <c r="G63" s="41" t="s">
        <v>18</v>
      </c>
      <c r="H63" s="42">
        <v>44985.0</v>
      </c>
      <c r="I63" s="41">
        <v>278.0</v>
      </c>
      <c r="J63" s="43">
        <v>195.0</v>
      </c>
      <c r="K63" s="43">
        <v>226.65</v>
      </c>
      <c r="L63" s="43">
        <v>54210.0</v>
      </c>
      <c r="M63" s="43">
        <v>63008.700000000004</v>
      </c>
      <c r="N63" s="43">
        <v>-8798.700000000004</v>
      </c>
      <c r="O63" s="44">
        <v>-0.16230769230769237</v>
      </c>
    </row>
    <row r="64" ht="22.5" customHeight="1">
      <c r="B64" s="41" t="s">
        <v>92</v>
      </c>
      <c r="C64" s="41" t="s">
        <v>25</v>
      </c>
      <c r="D64" s="41" t="s">
        <v>54</v>
      </c>
      <c r="E64" s="41" t="s">
        <v>22</v>
      </c>
      <c r="F64" s="41" t="s">
        <v>17</v>
      </c>
      <c r="G64" s="41" t="s">
        <v>31</v>
      </c>
      <c r="H64" s="42">
        <v>44986.0</v>
      </c>
      <c r="I64" s="41">
        <v>372.0</v>
      </c>
      <c r="J64" s="43">
        <v>235.58</v>
      </c>
      <c r="K64" s="43">
        <v>78.33</v>
      </c>
      <c r="L64" s="43">
        <v>87635.76000000001</v>
      </c>
      <c r="M64" s="43">
        <v>29138.76</v>
      </c>
      <c r="N64" s="43">
        <v>58497.000000000015</v>
      </c>
      <c r="O64" s="44">
        <v>0.6675014856948808</v>
      </c>
    </row>
    <row r="65" ht="22.5" customHeight="1">
      <c r="B65" s="41" t="s">
        <v>93</v>
      </c>
      <c r="C65" s="41" t="s">
        <v>14</v>
      </c>
      <c r="D65" s="41" t="s">
        <v>34</v>
      </c>
      <c r="E65" s="41" t="s">
        <v>30</v>
      </c>
      <c r="F65" s="41" t="s">
        <v>27</v>
      </c>
      <c r="G65" s="41" t="s">
        <v>31</v>
      </c>
      <c r="H65" s="42">
        <v>44987.0</v>
      </c>
      <c r="I65" s="41">
        <v>54.0</v>
      </c>
      <c r="J65" s="43">
        <v>418.82</v>
      </c>
      <c r="K65" s="43">
        <v>86.28</v>
      </c>
      <c r="L65" s="43">
        <v>22616.28</v>
      </c>
      <c r="M65" s="43">
        <v>4659.12</v>
      </c>
      <c r="N65" s="43">
        <v>17957.16</v>
      </c>
      <c r="O65" s="44">
        <v>0.793992646005444</v>
      </c>
    </row>
    <row r="66" ht="22.5" customHeight="1">
      <c r="B66" s="41" t="s">
        <v>94</v>
      </c>
      <c r="C66" s="41" t="s">
        <v>14</v>
      </c>
      <c r="D66" s="41" t="s">
        <v>34</v>
      </c>
      <c r="E66" s="41" t="s">
        <v>22</v>
      </c>
      <c r="F66" s="41" t="s">
        <v>27</v>
      </c>
      <c r="G66" s="41" t="s">
        <v>18</v>
      </c>
      <c r="H66" s="42">
        <v>44988.0</v>
      </c>
      <c r="I66" s="41">
        <v>354.0</v>
      </c>
      <c r="J66" s="43">
        <v>121.72</v>
      </c>
      <c r="K66" s="43">
        <v>194.87</v>
      </c>
      <c r="L66" s="43">
        <v>43088.88</v>
      </c>
      <c r="M66" s="43">
        <v>68983.98</v>
      </c>
      <c r="N66" s="43">
        <v>-25895.1</v>
      </c>
      <c r="O66" s="44">
        <v>-0.6009694380545514</v>
      </c>
    </row>
    <row r="67" ht="22.5" customHeight="1">
      <c r="B67" s="41" t="s">
        <v>95</v>
      </c>
      <c r="C67" s="41" t="s">
        <v>25</v>
      </c>
      <c r="D67" s="41" t="s">
        <v>34</v>
      </c>
      <c r="E67" s="41" t="s">
        <v>22</v>
      </c>
      <c r="F67" s="41" t="s">
        <v>17</v>
      </c>
      <c r="G67" s="41" t="s">
        <v>18</v>
      </c>
      <c r="H67" s="42">
        <v>44989.0</v>
      </c>
      <c r="I67" s="41">
        <v>190.0</v>
      </c>
      <c r="J67" s="43">
        <v>389.12</v>
      </c>
      <c r="K67" s="43">
        <v>302.19</v>
      </c>
      <c r="L67" s="43">
        <v>73932.8</v>
      </c>
      <c r="M67" s="43">
        <v>57416.1</v>
      </c>
      <c r="N67" s="43">
        <v>16516.700000000004</v>
      </c>
      <c r="O67" s="44">
        <v>0.223401521381579</v>
      </c>
    </row>
    <row r="68" ht="22.5" customHeight="1">
      <c r="B68" s="41" t="s">
        <v>96</v>
      </c>
      <c r="C68" s="41" t="s">
        <v>39</v>
      </c>
      <c r="D68" s="41" t="s">
        <v>29</v>
      </c>
      <c r="E68" s="41" t="s">
        <v>16</v>
      </c>
      <c r="F68" s="41" t="s">
        <v>17</v>
      </c>
      <c r="G68" s="41" t="s">
        <v>18</v>
      </c>
      <c r="H68" s="42">
        <v>44990.0</v>
      </c>
      <c r="I68" s="41">
        <v>179.0</v>
      </c>
      <c r="J68" s="43">
        <v>205.63</v>
      </c>
      <c r="K68" s="43">
        <v>248.56</v>
      </c>
      <c r="L68" s="43">
        <v>36807.77</v>
      </c>
      <c r="M68" s="43">
        <v>44492.24</v>
      </c>
      <c r="N68" s="43">
        <v>-7684.470000000001</v>
      </c>
      <c r="O68" s="44">
        <v>-0.20877303895346014</v>
      </c>
    </row>
    <row r="69" ht="22.5" customHeight="1">
      <c r="B69" s="41" t="s">
        <v>97</v>
      </c>
      <c r="C69" s="41" t="s">
        <v>14</v>
      </c>
      <c r="D69" s="41" t="s">
        <v>54</v>
      </c>
      <c r="E69" s="41" t="s">
        <v>46</v>
      </c>
      <c r="F69" s="41" t="s">
        <v>27</v>
      </c>
      <c r="G69" s="41" t="s">
        <v>31</v>
      </c>
      <c r="H69" s="42">
        <v>44991.0</v>
      </c>
      <c r="I69" s="41">
        <v>365.0</v>
      </c>
      <c r="J69" s="43">
        <v>302.92</v>
      </c>
      <c r="K69" s="43">
        <v>120.35</v>
      </c>
      <c r="L69" s="43">
        <v>110565.8</v>
      </c>
      <c r="M69" s="43">
        <v>43927.75</v>
      </c>
      <c r="N69" s="43">
        <v>66638.05</v>
      </c>
      <c r="O69" s="44">
        <v>0.60270038293939</v>
      </c>
    </row>
    <row r="70" ht="22.5" customHeight="1">
      <c r="B70" s="41" t="s">
        <v>98</v>
      </c>
      <c r="C70" s="41" t="s">
        <v>52</v>
      </c>
      <c r="D70" s="41" t="s">
        <v>21</v>
      </c>
      <c r="E70" s="41" t="s">
        <v>22</v>
      </c>
      <c r="F70" s="41" t="s">
        <v>17</v>
      </c>
      <c r="G70" s="41" t="s">
        <v>31</v>
      </c>
      <c r="H70" s="42">
        <v>44992.0</v>
      </c>
      <c r="I70" s="41">
        <v>200.0</v>
      </c>
      <c r="J70" s="43">
        <v>318.11</v>
      </c>
      <c r="K70" s="43">
        <v>173.27</v>
      </c>
      <c r="L70" s="43">
        <v>63622.0</v>
      </c>
      <c r="M70" s="43">
        <v>34654.0</v>
      </c>
      <c r="N70" s="43">
        <v>28968.0</v>
      </c>
      <c r="O70" s="44">
        <v>0.4553141994907422</v>
      </c>
    </row>
    <row r="71" ht="22.5" customHeight="1">
      <c r="B71" s="41" t="s">
        <v>99</v>
      </c>
      <c r="C71" s="41" t="s">
        <v>20</v>
      </c>
      <c r="D71" s="41" t="s">
        <v>15</v>
      </c>
      <c r="E71" s="41" t="s">
        <v>26</v>
      </c>
      <c r="F71" s="41" t="s">
        <v>27</v>
      </c>
      <c r="G71" s="41" t="s">
        <v>23</v>
      </c>
      <c r="H71" s="42">
        <v>44993.0</v>
      </c>
      <c r="I71" s="41">
        <v>164.0</v>
      </c>
      <c r="J71" s="43">
        <v>189.56</v>
      </c>
      <c r="K71" s="43">
        <v>69.92</v>
      </c>
      <c r="L71" s="43">
        <v>31087.84</v>
      </c>
      <c r="M71" s="43">
        <v>11466.880000000001</v>
      </c>
      <c r="N71" s="43">
        <v>19620.96</v>
      </c>
      <c r="O71" s="44">
        <v>0.6311458113526061</v>
      </c>
    </row>
    <row r="72" ht="22.5" customHeight="1">
      <c r="B72" s="41" t="s">
        <v>100</v>
      </c>
      <c r="C72" s="41" t="s">
        <v>25</v>
      </c>
      <c r="D72" s="41" t="s">
        <v>21</v>
      </c>
      <c r="E72" s="41" t="s">
        <v>46</v>
      </c>
      <c r="F72" s="41" t="s">
        <v>17</v>
      </c>
      <c r="G72" s="41" t="s">
        <v>18</v>
      </c>
      <c r="H72" s="42">
        <v>44994.0</v>
      </c>
      <c r="I72" s="41">
        <v>431.0</v>
      </c>
      <c r="J72" s="43">
        <v>258.74</v>
      </c>
      <c r="K72" s="43">
        <v>31.7</v>
      </c>
      <c r="L72" s="43">
        <v>111516.94</v>
      </c>
      <c r="M72" s="43">
        <v>13662.699999999999</v>
      </c>
      <c r="N72" s="43">
        <v>97854.24</v>
      </c>
      <c r="O72" s="44">
        <v>0.8774831877560486</v>
      </c>
    </row>
    <row r="73" ht="22.5" customHeight="1">
      <c r="B73" s="41" t="s">
        <v>101</v>
      </c>
      <c r="C73" s="41" t="s">
        <v>20</v>
      </c>
      <c r="D73" s="41" t="s">
        <v>54</v>
      </c>
      <c r="E73" s="41" t="s">
        <v>46</v>
      </c>
      <c r="F73" s="41" t="s">
        <v>17</v>
      </c>
      <c r="G73" s="41" t="s">
        <v>31</v>
      </c>
      <c r="H73" s="42">
        <v>44995.0</v>
      </c>
      <c r="I73" s="41">
        <v>197.0</v>
      </c>
      <c r="J73" s="43">
        <v>209.45</v>
      </c>
      <c r="K73" s="43">
        <v>313.51</v>
      </c>
      <c r="L73" s="43">
        <v>41261.649999999994</v>
      </c>
      <c r="M73" s="43">
        <v>61761.47</v>
      </c>
      <c r="N73" s="43">
        <v>-20499.820000000007</v>
      </c>
      <c r="O73" s="44">
        <v>-0.4968250179040346</v>
      </c>
    </row>
    <row r="74" ht="22.5" customHeight="1">
      <c r="B74" s="41" t="s">
        <v>102</v>
      </c>
      <c r="C74" s="41" t="s">
        <v>52</v>
      </c>
      <c r="D74" s="41" t="s">
        <v>15</v>
      </c>
      <c r="E74" s="41" t="s">
        <v>46</v>
      </c>
      <c r="F74" s="41" t="s">
        <v>17</v>
      </c>
      <c r="G74" s="41" t="s">
        <v>31</v>
      </c>
      <c r="H74" s="42">
        <v>44996.0</v>
      </c>
      <c r="I74" s="41">
        <v>16.0</v>
      </c>
      <c r="J74" s="43">
        <v>39.22</v>
      </c>
      <c r="K74" s="43">
        <v>107.62</v>
      </c>
      <c r="L74" s="43">
        <v>627.52</v>
      </c>
      <c r="M74" s="43">
        <v>1721.92</v>
      </c>
      <c r="N74" s="43">
        <v>-1094.4</v>
      </c>
      <c r="O74" s="44">
        <v>-1.744008159102499</v>
      </c>
    </row>
    <row r="75" ht="22.5" customHeight="1">
      <c r="B75" s="41" t="s">
        <v>103</v>
      </c>
      <c r="C75" s="41" t="s">
        <v>52</v>
      </c>
      <c r="D75" s="41" t="s">
        <v>54</v>
      </c>
      <c r="E75" s="41" t="s">
        <v>16</v>
      </c>
      <c r="F75" s="41" t="s">
        <v>17</v>
      </c>
      <c r="G75" s="41" t="s">
        <v>18</v>
      </c>
      <c r="H75" s="42">
        <v>44997.0</v>
      </c>
      <c r="I75" s="41">
        <v>142.0</v>
      </c>
      <c r="J75" s="43">
        <v>221.4</v>
      </c>
      <c r="K75" s="43">
        <v>72.75</v>
      </c>
      <c r="L75" s="43">
        <v>31438.8</v>
      </c>
      <c r="M75" s="43">
        <v>10330.5</v>
      </c>
      <c r="N75" s="43">
        <v>21108.3</v>
      </c>
      <c r="O75" s="44">
        <v>0.6714092140921409</v>
      </c>
    </row>
    <row r="76" ht="22.5" customHeight="1">
      <c r="B76" s="41" t="s">
        <v>104</v>
      </c>
      <c r="C76" s="41" t="s">
        <v>52</v>
      </c>
      <c r="D76" s="41" t="s">
        <v>34</v>
      </c>
      <c r="E76" s="41" t="s">
        <v>22</v>
      </c>
      <c r="F76" s="41" t="s">
        <v>17</v>
      </c>
      <c r="G76" s="41" t="s">
        <v>23</v>
      </c>
      <c r="H76" s="42">
        <v>44998.0</v>
      </c>
      <c r="I76" s="41">
        <v>244.0</v>
      </c>
      <c r="J76" s="43">
        <v>53.21</v>
      </c>
      <c r="K76" s="43">
        <v>277.26</v>
      </c>
      <c r="L76" s="43">
        <v>12983.24</v>
      </c>
      <c r="M76" s="43">
        <v>67651.44</v>
      </c>
      <c r="N76" s="43">
        <v>-54668.200000000004</v>
      </c>
      <c r="O76" s="44">
        <v>-4.210674685209548</v>
      </c>
    </row>
    <row r="77" ht="22.5" customHeight="1">
      <c r="B77" s="41" t="s">
        <v>105</v>
      </c>
      <c r="C77" s="41" t="s">
        <v>25</v>
      </c>
      <c r="D77" s="41" t="s">
        <v>15</v>
      </c>
      <c r="E77" s="41" t="s">
        <v>16</v>
      </c>
      <c r="F77" s="41" t="s">
        <v>17</v>
      </c>
      <c r="G77" s="41" t="s">
        <v>18</v>
      </c>
      <c r="H77" s="42">
        <v>44999.0</v>
      </c>
      <c r="I77" s="41">
        <v>54.0</v>
      </c>
      <c r="J77" s="43">
        <v>205.49</v>
      </c>
      <c r="K77" s="43">
        <v>247.98</v>
      </c>
      <c r="L77" s="43">
        <v>11096.460000000001</v>
      </c>
      <c r="M77" s="43">
        <v>13390.92</v>
      </c>
      <c r="N77" s="43">
        <v>-2294.459999999999</v>
      </c>
      <c r="O77" s="44">
        <v>-0.20677405226531695</v>
      </c>
    </row>
    <row r="78" ht="22.5" customHeight="1">
      <c r="B78" s="41" t="s">
        <v>106</v>
      </c>
      <c r="C78" s="41" t="s">
        <v>52</v>
      </c>
      <c r="D78" s="41" t="s">
        <v>34</v>
      </c>
      <c r="E78" s="41" t="s">
        <v>22</v>
      </c>
      <c r="F78" s="41" t="s">
        <v>17</v>
      </c>
      <c r="G78" s="41" t="s">
        <v>23</v>
      </c>
      <c r="H78" s="42">
        <v>45000.0</v>
      </c>
      <c r="I78" s="41">
        <v>323.0</v>
      </c>
      <c r="J78" s="43">
        <v>298.49</v>
      </c>
      <c r="K78" s="43">
        <v>254.01</v>
      </c>
      <c r="L78" s="43">
        <v>96412.27</v>
      </c>
      <c r="M78" s="43">
        <v>82045.23</v>
      </c>
      <c r="N78" s="43">
        <v>14367.040000000008</v>
      </c>
      <c r="O78" s="44">
        <v>0.14901671747797254</v>
      </c>
    </row>
    <row r="79" ht="22.5" customHeight="1">
      <c r="B79" s="41" t="s">
        <v>107</v>
      </c>
      <c r="C79" s="41" t="s">
        <v>25</v>
      </c>
      <c r="D79" s="41" t="s">
        <v>21</v>
      </c>
      <c r="E79" s="41" t="s">
        <v>16</v>
      </c>
      <c r="F79" s="41" t="s">
        <v>27</v>
      </c>
      <c r="G79" s="41" t="s">
        <v>31</v>
      </c>
      <c r="H79" s="42">
        <v>45001.0</v>
      </c>
      <c r="I79" s="41">
        <v>258.0</v>
      </c>
      <c r="J79" s="43">
        <v>291.81</v>
      </c>
      <c r="K79" s="43">
        <v>93.1</v>
      </c>
      <c r="L79" s="43">
        <v>75286.98</v>
      </c>
      <c r="M79" s="43">
        <v>24019.8</v>
      </c>
      <c r="N79" s="43">
        <v>51267.17999999999</v>
      </c>
      <c r="O79" s="44">
        <v>0.6809567869504128</v>
      </c>
    </row>
    <row r="80" ht="22.5" customHeight="1">
      <c r="B80" s="41" t="s">
        <v>108</v>
      </c>
      <c r="C80" s="41" t="s">
        <v>52</v>
      </c>
      <c r="D80" s="41" t="s">
        <v>21</v>
      </c>
      <c r="E80" s="41" t="s">
        <v>16</v>
      </c>
      <c r="F80" s="41" t="s">
        <v>27</v>
      </c>
      <c r="G80" s="41" t="s">
        <v>23</v>
      </c>
      <c r="H80" s="42">
        <v>45002.0</v>
      </c>
      <c r="I80" s="41">
        <v>40.0</v>
      </c>
      <c r="J80" s="43">
        <v>333.0</v>
      </c>
      <c r="K80" s="43">
        <v>94.59</v>
      </c>
      <c r="L80" s="43">
        <v>13320.0</v>
      </c>
      <c r="M80" s="43">
        <v>3783.6000000000004</v>
      </c>
      <c r="N80" s="43">
        <v>9536.4</v>
      </c>
      <c r="O80" s="44">
        <v>0.715945945945946</v>
      </c>
    </row>
    <row r="81" ht="22.5" customHeight="1">
      <c r="B81" s="41" t="s">
        <v>109</v>
      </c>
      <c r="C81" s="41" t="s">
        <v>20</v>
      </c>
      <c r="D81" s="41" t="s">
        <v>15</v>
      </c>
      <c r="E81" s="41" t="s">
        <v>26</v>
      </c>
      <c r="F81" s="41" t="s">
        <v>27</v>
      </c>
      <c r="G81" s="41" t="s">
        <v>31</v>
      </c>
      <c r="H81" s="42">
        <v>45003.0</v>
      </c>
      <c r="I81" s="41">
        <v>32.0</v>
      </c>
      <c r="J81" s="43">
        <v>52.15</v>
      </c>
      <c r="K81" s="43">
        <v>89.88</v>
      </c>
      <c r="L81" s="43">
        <v>1668.8</v>
      </c>
      <c r="M81" s="43">
        <v>2876.16</v>
      </c>
      <c r="N81" s="43">
        <v>-1207.36</v>
      </c>
      <c r="O81" s="44">
        <v>-0.723489932885906</v>
      </c>
    </row>
    <row r="82" ht="22.5" customHeight="1">
      <c r="B82" s="41" t="s">
        <v>110</v>
      </c>
      <c r="C82" s="41" t="s">
        <v>20</v>
      </c>
      <c r="D82" s="41" t="s">
        <v>15</v>
      </c>
      <c r="E82" s="41" t="s">
        <v>16</v>
      </c>
      <c r="F82" s="41" t="s">
        <v>27</v>
      </c>
      <c r="G82" s="41" t="s">
        <v>18</v>
      </c>
      <c r="H82" s="42">
        <v>45004.0</v>
      </c>
      <c r="I82" s="41">
        <v>435.0</v>
      </c>
      <c r="J82" s="43">
        <v>327.8</v>
      </c>
      <c r="K82" s="43">
        <v>71.15</v>
      </c>
      <c r="L82" s="43">
        <v>142593.0</v>
      </c>
      <c r="M82" s="43">
        <v>30950.250000000004</v>
      </c>
      <c r="N82" s="43">
        <v>111642.75</v>
      </c>
      <c r="O82" s="44">
        <v>0.7829469188529591</v>
      </c>
    </row>
    <row r="83" ht="22.5" customHeight="1">
      <c r="B83" s="41" t="s">
        <v>111</v>
      </c>
      <c r="C83" s="41" t="s">
        <v>14</v>
      </c>
      <c r="D83" s="41" t="s">
        <v>54</v>
      </c>
      <c r="E83" s="41" t="s">
        <v>30</v>
      </c>
      <c r="F83" s="41" t="s">
        <v>27</v>
      </c>
      <c r="G83" s="41" t="s">
        <v>18</v>
      </c>
      <c r="H83" s="42">
        <v>45005.0</v>
      </c>
      <c r="I83" s="41">
        <v>403.0</v>
      </c>
      <c r="J83" s="43">
        <v>159.51</v>
      </c>
      <c r="K83" s="43">
        <v>262.98</v>
      </c>
      <c r="L83" s="43">
        <v>64282.53</v>
      </c>
      <c r="M83" s="43">
        <v>105980.94</v>
      </c>
      <c r="N83" s="43">
        <v>-41698.41</v>
      </c>
      <c r="O83" s="44">
        <v>-0.6486740643219862</v>
      </c>
    </row>
    <row r="84" ht="22.5" hidden="1" customHeight="1">
      <c r="B84" s="41" t="s">
        <v>112</v>
      </c>
      <c r="C84" s="41" t="s">
        <v>20</v>
      </c>
      <c r="D84" s="41" t="s">
        <v>54</v>
      </c>
      <c r="E84" s="41" t="s">
        <v>26</v>
      </c>
      <c r="F84" s="41" t="s">
        <v>17</v>
      </c>
      <c r="G84" s="41" t="s">
        <v>18</v>
      </c>
      <c r="H84" s="42">
        <v>45006.0</v>
      </c>
      <c r="I84" s="41">
        <v>169.0</v>
      </c>
      <c r="J84" s="43">
        <v>249.64520588235297</v>
      </c>
      <c r="K84" s="43">
        <v>339.51</v>
      </c>
      <c r="L84" s="43">
        <v>42190.03979411765</v>
      </c>
      <c r="M84" s="43">
        <v>57377.189999999995</v>
      </c>
      <c r="N84" s="43">
        <v>-15187.150205882346</v>
      </c>
      <c r="O84" s="44">
        <v>-0.35997003747789347</v>
      </c>
    </row>
    <row r="85" ht="22.5" customHeight="1">
      <c r="B85" s="41" t="s">
        <v>113</v>
      </c>
      <c r="C85" s="41" t="s">
        <v>14</v>
      </c>
      <c r="D85" s="41" t="s">
        <v>34</v>
      </c>
      <c r="E85" s="41" t="s">
        <v>16</v>
      </c>
      <c r="F85" s="41" t="s">
        <v>17</v>
      </c>
      <c r="G85" s="41" t="s">
        <v>23</v>
      </c>
      <c r="H85" s="42">
        <v>45007.0</v>
      </c>
      <c r="I85" s="41">
        <v>372.0</v>
      </c>
      <c r="J85" s="43">
        <v>429.7</v>
      </c>
      <c r="K85" s="43">
        <v>290.28</v>
      </c>
      <c r="L85" s="43">
        <v>159848.4</v>
      </c>
      <c r="M85" s="43">
        <v>107984.15999999999</v>
      </c>
      <c r="N85" s="43">
        <v>51864.240000000005</v>
      </c>
      <c r="O85" s="44">
        <v>0.3244589248312777</v>
      </c>
    </row>
    <row r="86" ht="22.5" customHeight="1">
      <c r="B86" s="41" t="s">
        <v>114</v>
      </c>
      <c r="C86" s="41" t="s">
        <v>20</v>
      </c>
      <c r="D86" s="41" t="s">
        <v>15</v>
      </c>
      <c r="E86" s="41" t="s">
        <v>46</v>
      </c>
      <c r="F86" s="41" t="s">
        <v>27</v>
      </c>
      <c r="G86" s="41" t="s">
        <v>31</v>
      </c>
      <c r="H86" s="42">
        <v>45008.0</v>
      </c>
      <c r="I86" s="41">
        <v>446.0</v>
      </c>
      <c r="J86" s="43">
        <v>9.47</v>
      </c>
      <c r="K86" s="43">
        <v>317.25</v>
      </c>
      <c r="L86" s="43">
        <v>4223.62</v>
      </c>
      <c r="M86" s="43">
        <v>141493.5</v>
      </c>
      <c r="N86" s="43">
        <v>-137269.88</v>
      </c>
      <c r="O86" s="44">
        <v>-32.50052798310454</v>
      </c>
    </row>
    <row r="87" ht="22.5" customHeight="1">
      <c r="B87" s="41" t="s">
        <v>115</v>
      </c>
      <c r="C87" s="41" t="s">
        <v>25</v>
      </c>
      <c r="D87" s="41" t="s">
        <v>21</v>
      </c>
      <c r="E87" s="41" t="s">
        <v>30</v>
      </c>
      <c r="F87" s="41" t="s">
        <v>17</v>
      </c>
      <c r="G87" s="41" t="s">
        <v>18</v>
      </c>
      <c r="H87" s="42">
        <v>45009.0</v>
      </c>
      <c r="I87" s="41">
        <v>167.0</v>
      </c>
      <c r="J87" s="43">
        <v>296.26</v>
      </c>
      <c r="K87" s="43">
        <v>163.11</v>
      </c>
      <c r="L87" s="43">
        <v>49475.42</v>
      </c>
      <c r="M87" s="43">
        <v>27239.370000000003</v>
      </c>
      <c r="N87" s="43">
        <v>22236.049999999996</v>
      </c>
      <c r="O87" s="44">
        <v>0.4494363059474785</v>
      </c>
    </row>
    <row r="88" ht="22.5" customHeight="1">
      <c r="B88" s="41" t="s">
        <v>116</v>
      </c>
      <c r="C88" s="41" t="s">
        <v>20</v>
      </c>
      <c r="D88" s="41" t="s">
        <v>54</v>
      </c>
      <c r="E88" s="41" t="s">
        <v>30</v>
      </c>
      <c r="F88" s="41" t="s">
        <v>27</v>
      </c>
      <c r="G88" s="41" t="s">
        <v>18</v>
      </c>
      <c r="H88" s="42">
        <v>45010.0</v>
      </c>
      <c r="I88" s="41">
        <v>48.0</v>
      </c>
      <c r="J88" s="43">
        <v>301.36</v>
      </c>
      <c r="K88" s="43">
        <v>262.32</v>
      </c>
      <c r="L88" s="43">
        <v>14465.28</v>
      </c>
      <c r="M88" s="43">
        <v>12591.36</v>
      </c>
      <c r="N88" s="43">
        <v>1873.92</v>
      </c>
      <c r="O88" s="44">
        <v>0.12954605787098486</v>
      </c>
    </row>
    <row r="89" ht="22.5" customHeight="1">
      <c r="B89" s="41" t="s">
        <v>117</v>
      </c>
      <c r="C89" s="41" t="s">
        <v>14</v>
      </c>
      <c r="D89" s="41" t="s">
        <v>54</v>
      </c>
      <c r="E89" s="41" t="s">
        <v>30</v>
      </c>
      <c r="F89" s="41" t="s">
        <v>27</v>
      </c>
      <c r="G89" s="41" t="s">
        <v>31</v>
      </c>
      <c r="H89" s="42">
        <v>45011.0</v>
      </c>
      <c r="I89" s="41">
        <v>424.0</v>
      </c>
      <c r="J89" s="43">
        <v>201.35</v>
      </c>
      <c r="K89" s="43">
        <v>142.99</v>
      </c>
      <c r="L89" s="43">
        <v>85372.4</v>
      </c>
      <c r="M89" s="43">
        <v>60627.76</v>
      </c>
      <c r="N89" s="43">
        <v>24744.639999999992</v>
      </c>
      <c r="O89" s="44">
        <v>0.28984355599702005</v>
      </c>
    </row>
    <row r="90" ht="22.5" customHeight="1">
      <c r="B90" s="41" t="s">
        <v>118</v>
      </c>
      <c r="C90" s="41" t="s">
        <v>14</v>
      </c>
      <c r="D90" s="41" t="s">
        <v>21</v>
      </c>
      <c r="E90" s="41" t="s">
        <v>26</v>
      </c>
      <c r="F90" s="41" t="s">
        <v>17</v>
      </c>
      <c r="G90" s="41" t="s">
        <v>18</v>
      </c>
      <c r="H90" s="42">
        <v>45012.0</v>
      </c>
      <c r="I90" s="41">
        <v>91.0</v>
      </c>
      <c r="J90" s="43">
        <v>122.33</v>
      </c>
      <c r="K90" s="43">
        <v>211.15</v>
      </c>
      <c r="L90" s="43">
        <v>11132.03</v>
      </c>
      <c r="M90" s="43">
        <v>19214.65</v>
      </c>
      <c r="N90" s="43">
        <v>-8082.620000000001</v>
      </c>
      <c r="O90" s="44">
        <v>-0.7260688302133573</v>
      </c>
    </row>
    <row r="91" ht="22.5" customHeight="1">
      <c r="B91" s="41" t="s">
        <v>119</v>
      </c>
      <c r="C91" s="41" t="s">
        <v>52</v>
      </c>
      <c r="D91" s="41" t="s">
        <v>54</v>
      </c>
      <c r="E91" s="41" t="s">
        <v>16</v>
      </c>
      <c r="F91" s="41" t="s">
        <v>17</v>
      </c>
      <c r="G91" s="41" t="s">
        <v>31</v>
      </c>
      <c r="H91" s="42">
        <v>45013.0</v>
      </c>
      <c r="I91" s="41">
        <v>365.0</v>
      </c>
      <c r="J91" s="43">
        <v>121.16</v>
      </c>
      <c r="K91" s="43">
        <v>193.69</v>
      </c>
      <c r="L91" s="43">
        <v>44223.4</v>
      </c>
      <c r="M91" s="43">
        <v>70696.85</v>
      </c>
      <c r="N91" s="43">
        <v>-26473.450000000004</v>
      </c>
      <c r="O91" s="44">
        <v>-0.5986299108616706</v>
      </c>
    </row>
    <row r="92" ht="22.5" customHeight="1">
      <c r="B92" s="41" t="s">
        <v>120</v>
      </c>
      <c r="C92" s="41" t="s">
        <v>25</v>
      </c>
      <c r="D92" s="41" t="s">
        <v>34</v>
      </c>
      <c r="E92" s="41" t="s">
        <v>16</v>
      </c>
      <c r="F92" s="41" t="s">
        <v>17</v>
      </c>
      <c r="G92" s="41" t="s">
        <v>31</v>
      </c>
      <c r="H92" s="42">
        <v>45014.0</v>
      </c>
      <c r="I92" s="41">
        <v>267.0</v>
      </c>
      <c r="J92" s="43">
        <v>442.44</v>
      </c>
      <c r="K92" s="43">
        <v>72.4</v>
      </c>
      <c r="L92" s="43">
        <v>118131.48</v>
      </c>
      <c r="M92" s="43">
        <v>19330.800000000003</v>
      </c>
      <c r="N92" s="43">
        <v>98800.68</v>
      </c>
      <c r="O92" s="44">
        <v>0.8363619925865654</v>
      </c>
    </row>
    <row r="93" ht="22.5" customHeight="1">
      <c r="B93" s="41" t="s">
        <v>121</v>
      </c>
      <c r="C93" s="41" t="s">
        <v>20</v>
      </c>
      <c r="D93" s="41" t="s">
        <v>15</v>
      </c>
      <c r="E93" s="41" t="s">
        <v>46</v>
      </c>
      <c r="F93" s="41" t="s">
        <v>27</v>
      </c>
      <c r="G93" s="41" t="s">
        <v>31</v>
      </c>
      <c r="H93" s="42">
        <v>45015.0</v>
      </c>
      <c r="I93" s="41">
        <v>215.0</v>
      </c>
      <c r="J93" s="43">
        <v>223.8</v>
      </c>
      <c r="K93" s="43">
        <v>156.06</v>
      </c>
      <c r="L93" s="43">
        <v>48117.0</v>
      </c>
      <c r="M93" s="43">
        <v>33552.9</v>
      </c>
      <c r="N93" s="43">
        <v>14564.099999999999</v>
      </c>
      <c r="O93" s="44">
        <v>0.3026809651474531</v>
      </c>
    </row>
    <row r="94" ht="22.5" customHeight="1">
      <c r="B94" s="41" t="s">
        <v>122</v>
      </c>
      <c r="C94" s="41" t="s">
        <v>52</v>
      </c>
      <c r="D94" s="41" t="s">
        <v>21</v>
      </c>
      <c r="E94" s="41" t="s">
        <v>46</v>
      </c>
      <c r="F94" s="41" t="s">
        <v>17</v>
      </c>
      <c r="G94" s="41" t="s">
        <v>31</v>
      </c>
      <c r="H94" s="42">
        <v>45016.0</v>
      </c>
      <c r="I94" s="41">
        <v>86.0</v>
      </c>
      <c r="J94" s="43">
        <v>168.79</v>
      </c>
      <c r="K94" s="43">
        <v>385.6</v>
      </c>
      <c r="L94" s="43">
        <v>14515.939999999999</v>
      </c>
      <c r="M94" s="43">
        <v>33161.6</v>
      </c>
      <c r="N94" s="43">
        <v>-18645.66</v>
      </c>
      <c r="O94" s="44">
        <v>-1.284495526986196</v>
      </c>
    </row>
    <row r="95" ht="22.5" customHeight="1">
      <c r="B95" s="41" t="s">
        <v>123</v>
      </c>
      <c r="C95" s="41" t="s">
        <v>20</v>
      </c>
      <c r="D95" s="41" t="s">
        <v>15</v>
      </c>
      <c r="E95" s="41" t="s">
        <v>30</v>
      </c>
      <c r="F95" s="41" t="s">
        <v>27</v>
      </c>
      <c r="G95" s="41" t="s">
        <v>31</v>
      </c>
      <c r="H95" s="42">
        <v>45017.0</v>
      </c>
      <c r="I95" s="41">
        <v>486.0</v>
      </c>
      <c r="J95" s="43">
        <v>227.14</v>
      </c>
      <c r="K95" s="43">
        <v>100.93</v>
      </c>
      <c r="L95" s="43">
        <v>110390.04</v>
      </c>
      <c r="M95" s="43">
        <v>49051.98</v>
      </c>
      <c r="N95" s="43">
        <v>61338.05999999999</v>
      </c>
      <c r="O95" s="44">
        <v>0.5556484987232543</v>
      </c>
    </row>
    <row r="96" ht="22.5" hidden="1" customHeight="1">
      <c r="B96" s="41" t="s">
        <v>124</v>
      </c>
      <c r="C96" s="41" t="s">
        <v>20</v>
      </c>
      <c r="D96" s="41" t="s">
        <v>54</v>
      </c>
      <c r="E96" s="41" t="s">
        <v>46</v>
      </c>
      <c r="F96" s="41" t="s">
        <v>27</v>
      </c>
      <c r="G96" s="41" t="s">
        <v>23</v>
      </c>
      <c r="H96" s="42">
        <v>45018.0</v>
      </c>
      <c r="I96" s="41">
        <v>21.0</v>
      </c>
      <c r="J96" s="43">
        <v>249.64520588235297</v>
      </c>
      <c r="K96" s="43">
        <v>55.25</v>
      </c>
      <c r="L96" s="43">
        <v>5242.5493235294125</v>
      </c>
      <c r="M96" s="43">
        <v>1160.25</v>
      </c>
      <c r="N96" s="43">
        <v>4082.2993235294125</v>
      </c>
      <c r="O96" s="44">
        <v>0.778685916259746</v>
      </c>
    </row>
    <row r="97" ht="22.5" customHeight="1">
      <c r="B97" s="41" t="s">
        <v>125</v>
      </c>
      <c r="C97" s="41" t="s">
        <v>52</v>
      </c>
      <c r="D97" s="41" t="s">
        <v>54</v>
      </c>
      <c r="E97" s="41" t="s">
        <v>26</v>
      </c>
      <c r="F97" s="41" t="s">
        <v>27</v>
      </c>
      <c r="G97" s="41" t="s">
        <v>18</v>
      </c>
      <c r="H97" s="42">
        <v>45019.0</v>
      </c>
      <c r="I97" s="41">
        <v>304.0</v>
      </c>
      <c r="J97" s="43">
        <v>77.15</v>
      </c>
      <c r="K97" s="43">
        <v>168.6</v>
      </c>
      <c r="L97" s="43">
        <v>23453.600000000002</v>
      </c>
      <c r="M97" s="43">
        <v>51254.4</v>
      </c>
      <c r="N97" s="43">
        <v>-27800.8</v>
      </c>
      <c r="O97" s="44">
        <v>-1.1853532080362927</v>
      </c>
    </row>
    <row r="98" ht="22.5" customHeight="1">
      <c r="B98" s="41" t="s">
        <v>126</v>
      </c>
      <c r="C98" s="41" t="s">
        <v>52</v>
      </c>
      <c r="D98" s="41" t="s">
        <v>21</v>
      </c>
      <c r="E98" s="41" t="s">
        <v>16</v>
      </c>
      <c r="F98" s="41" t="s">
        <v>17</v>
      </c>
      <c r="G98" s="41" t="s">
        <v>23</v>
      </c>
      <c r="H98" s="42">
        <v>45020.0</v>
      </c>
      <c r="I98" s="41">
        <v>459.0</v>
      </c>
      <c r="J98" s="43">
        <v>227.47</v>
      </c>
      <c r="K98" s="43">
        <v>316.55</v>
      </c>
      <c r="L98" s="43">
        <v>104408.73</v>
      </c>
      <c r="M98" s="43">
        <v>145296.45</v>
      </c>
      <c r="N98" s="43">
        <v>-40887.720000000016</v>
      </c>
      <c r="O98" s="44">
        <v>-0.3916120807139405</v>
      </c>
    </row>
    <row r="99" ht="22.5" customHeight="1">
      <c r="B99" s="41" t="s">
        <v>127</v>
      </c>
      <c r="C99" s="41" t="s">
        <v>52</v>
      </c>
      <c r="D99" s="41" t="s">
        <v>34</v>
      </c>
      <c r="E99" s="41" t="s">
        <v>30</v>
      </c>
      <c r="F99" s="41" t="s">
        <v>17</v>
      </c>
      <c r="G99" s="41" t="s">
        <v>18</v>
      </c>
      <c r="H99" s="42">
        <v>45021.0</v>
      </c>
      <c r="I99" s="41">
        <v>233.0</v>
      </c>
      <c r="J99" s="43">
        <v>296.0</v>
      </c>
      <c r="K99" s="43">
        <v>233.69</v>
      </c>
      <c r="L99" s="43">
        <v>68968.0</v>
      </c>
      <c r="M99" s="43">
        <v>54449.77</v>
      </c>
      <c r="N99" s="43">
        <v>14518.230000000003</v>
      </c>
      <c r="O99" s="44">
        <v>0.2105067567567568</v>
      </c>
    </row>
    <row r="100" ht="22.5" customHeight="1">
      <c r="B100" s="41" t="s">
        <v>128</v>
      </c>
      <c r="C100" s="41" t="s">
        <v>52</v>
      </c>
      <c r="D100" s="41" t="s">
        <v>29</v>
      </c>
      <c r="E100" s="41" t="s">
        <v>46</v>
      </c>
      <c r="F100" s="41" t="s">
        <v>27</v>
      </c>
      <c r="G100" s="41" t="s">
        <v>23</v>
      </c>
      <c r="H100" s="42">
        <v>45022.0</v>
      </c>
      <c r="I100" s="41">
        <v>22.0</v>
      </c>
      <c r="J100" s="43">
        <v>474.55</v>
      </c>
      <c r="K100" s="43">
        <v>273.03</v>
      </c>
      <c r="L100" s="43">
        <v>10440.1</v>
      </c>
      <c r="M100" s="43">
        <v>6006.66</v>
      </c>
      <c r="N100" s="43">
        <v>4433.4400000000005</v>
      </c>
      <c r="O100" s="44">
        <v>0.4246549362553999</v>
      </c>
    </row>
    <row r="101" ht="22.5" customHeight="1">
      <c r="B101" s="41" t="s">
        <v>129</v>
      </c>
      <c r="C101" s="41" t="s">
        <v>52</v>
      </c>
      <c r="D101" s="41" t="s">
        <v>21</v>
      </c>
      <c r="E101" s="41" t="s">
        <v>26</v>
      </c>
      <c r="F101" s="41" t="s">
        <v>17</v>
      </c>
      <c r="G101" s="41" t="s">
        <v>31</v>
      </c>
      <c r="H101" s="42">
        <v>45023.0</v>
      </c>
      <c r="I101" s="41">
        <v>55.0</v>
      </c>
      <c r="J101" s="43">
        <v>130.0</v>
      </c>
      <c r="K101" s="43">
        <v>77.5</v>
      </c>
      <c r="L101" s="43">
        <v>7150.0</v>
      </c>
      <c r="M101" s="43">
        <v>4262.5</v>
      </c>
      <c r="N101" s="43">
        <v>2887.5</v>
      </c>
      <c r="O101" s="44">
        <v>0.40384615384615385</v>
      </c>
    </row>
    <row r="102" ht="22.5" customHeight="1">
      <c r="B102" s="41" t="s">
        <v>130</v>
      </c>
      <c r="C102" s="41" t="s">
        <v>20</v>
      </c>
      <c r="D102" s="41" t="s">
        <v>29</v>
      </c>
      <c r="E102" s="41" t="s">
        <v>26</v>
      </c>
      <c r="F102" s="41" t="s">
        <v>17</v>
      </c>
      <c r="G102" s="41" t="s">
        <v>18</v>
      </c>
      <c r="H102" s="42">
        <v>45024.0</v>
      </c>
      <c r="I102" s="41">
        <v>164.0</v>
      </c>
      <c r="J102" s="43">
        <v>182.83</v>
      </c>
      <c r="K102" s="43">
        <v>248.34</v>
      </c>
      <c r="L102" s="43">
        <v>29984.120000000003</v>
      </c>
      <c r="M102" s="43">
        <v>40727.76</v>
      </c>
      <c r="N102" s="43">
        <v>-10743.64</v>
      </c>
      <c r="O102" s="44">
        <v>-0.3583109992889569</v>
      </c>
    </row>
    <row r="103" ht="22.5" customHeight="1">
      <c r="B103" s="41" t="s">
        <v>131</v>
      </c>
      <c r="C103" s="41" t="s">
        <v>52</v>
      </c>
      <c r="D103" s="41" t="s">
        <v>29</v>
      </c>
      <c r="E103" s="41" t="s">
        <v>46</v>
      </c>
      <c r="F103" s="41" t="s">
        <v>17</v>
      </c>
      <c r="G103" s="41" t="s">
        <v>18</v>
      </c>
      <c r="H103" s="42">
        <v>45025.0</v>
      </c>
      <c r="I103" s="41">
        <v>122.0</v>
      </c>
      <c r="J103" s="43">
        <v>192.78</v>
      </c>
      <c r="K103" s="43">
        <v>130.75</v>
      </c>
      <c r="L103" s="43">
        <v>23519.16</v>
      </c>
      <c r="M103" s="43">
        <v>15951.5</v>
      </c>
      <c r="N103" s="43">
        <v>7567.66</v>
      </c>
      <c r="O103" s="44">
        <v>0.3217657433343708</v>
      </c>
    </row>
    <row r="104" ht="22.5" customHeight="1">
      <c r="B104" s="41" t="s">
        <v>132</v>
      </c>
      <c r="C104" s="41" t="s">
        <v>25</v>
      </c>
      <c r="D104" s="41" t="s">
        <v>34</v>
      </c>
      <c r="E104" s="41" t="s">
        <v>16</v>
      </c>
      <c r="F104" s="41" t="s">
        <v>27</v>
      </c>
      <c r="G104" s="41" t="s">
        <v>23</v>
      </c>
      <c r="H104" s="42">
        <v>45026.0</v>
      </c>
      <c r="I104" s="41">
        <v>242.0</v>
      </c>
      <c r="J104" s="43">
        <v>304.74</v>
      </c>
      <c r="K104" s="43">
        <v>334.05</v>
      </c>
      <c r="L104" s="43">
        <v>73747.08</v>
      </c>
      <c r="M104" s="43">
        <v>80840.1</v>
      </c>
      <c r="N104" s="43">
        <v>-7093.020000000004</v>
      </c>
      <c r="O104" s="44">
        <v>-0.09618035046268957</v>
      </c>
    </row>
    <row r="105" ht="22.5" customHeight="1">
      <c r="B105" s="41" t="s">
        <v>133</v>
      </c>
      <c r="C105" s="41" t="s">
        <v>14</v>
      </c>
      <c r="D105" s="41" t="s">
        <v>29</v>
      </c>
      <c r="E105" s="41" t="s">
        <v>46</v>
      </c>
      <c r="F105" s="41" t="s">
        <v>27</v>
      </c>
      <c r="G105" s="41" t="s">
        <v>23</v>
      </c>
      <c r="H105" s="42">
        <v>45027.0</v>
      </c>
      <c r="I105" s="41">
        <v>26.0</v>
      </c>
      <c r="J105" s="43">
        <v>181.58</v>
      </c>
      <c r="K105" s="43">
        <v>252.46</v>
      </c>
      <c r="L105" s="43">
        <v>4721.08</v>
      </c>
      <c r="M105" s="43">
        <v>6563.96</v>
      </c>
      <c r="N105" s="43">
        <v>-1842.88</v>
      </c>
      <c r="O105" s="44">
        <v>-0.39035136028196943</v>
      </c>
    </row>
    <row r="106" ht="22.5" customHeight="1">
      <c r="B106" s="41" t="s">
        <v>134</v>
      </c>
      <c r="C106" s="41" t="s">
        <v>52</v>
      </c>
      <c r="D106" s="41" t="s">
        <v>29</v>
      </c>
      <c r="E106" s="41" t="s">
        <v>30</v>
      </c>
      <c r="F106" s="41" t="s">
        <v>17</v>
      </c>
      <c r="G106" s="41" t="s">
        <v>18</v>
      </c>
      <c r="H106" s="42">
        <v>45028.0</v>
      </c>
      <c r="I106" s="41">
        <v>369.0</v>
      </c>
      <c r="J106" s="43">
        <v>269.09</v>
      </c>
      <c r="K106" s="43">
        <v>81.14</v>
      </c>
      <c r="L106" s="43">
        <v>99294.20999999999</v>
      </c>
      <c r="M106" s="43">
        <v>29940.66</v>
      </c>
      <c r="N106" s="43">
        <v>69353.54999999999</v>
      </c>
      <c r="O106" s="44">
        <v>0.6984651975175591</v>
      </c>
    </row>
    <row r="107" ht="22.5" customHeight="1">
      <c r="B107" s="41" t="s">
        <v>135</v>
      </c>
      <c r="C107" s="41" t="s">
        <v>52</v>
      </c>
      <c r="D107" s="41" t="s">
        <v>34</v>
      </c>
      <c r="E107" s="41" t="s">
        <v>46</v>
      </c>
      <c r="F107" s="41" t="s">
        <v>27</v>
      </c>
      <c r="G107" s="41" t="s">
        <v>23</v>
      </c>
      <c r="H107" s="42">
        <v>45029.0</v>
      </c>
      <c r="I107" s="41">
        <v>232.0</v>
      </c>
      <c r="J107" s="43">
        <v>391.99</v>
      </c>
      <c r="K107" s="43">
        <v>27.72</v>
      </c>
      <c r="L107" s="43">
        <v>90941.68000000001</v>
      </c>
      <c r="M107" s="43">
        <v>6431.04</v>
      </c>
      <c r="N107" s="43">
        <v>84510.64000000001</v>
      </c>
      <c r="O107" s="44">
        <v>0.9292839103038344</v>
      </c>
    </row>
    <row r="108" ht="22.5" customHeight="1">
      <c r="B108" s="41" t="s">
        <v>136</v>
      </c>
      <c r="C108" s="41" t="s">
        <v>20</v>
      </c>
      <c r="D108" s="41" t="s">
        <v>29</v>
      </c>
      <c r="E108" s="41" t="s">
        <v>26</v>
      </c>
      <c r="F108" s="41" t="s">
        <v>17</v>
      </c>
      <c r="G108" s="41" t="s">
        <v>23</v>
      </c>
      <c r="H108" s="42">
        <v>45030.0</v>
      </c>
      <c r="I108" s="41">
        <v>363.0</v>
      </c>
      <c r="J108" s="43">
        <v>354.17</v>
      </c>
      <c r="K108" s="43">
        <v>18.97</v>
      </c>
      <c r="L108" s="43">
        <v>128563.71</v>
      </c>
      <c r="M108" s="43">
        <v>6886.11</v>
      </c>
      <c r="N108" s="43">
        <v>121677.6</v>
      </c>
      <c r="O108" s="44">
        <v>0.9464381511703419</v>
      </c>
    </row>
    <row r="109" ht="22.5" customHeight="1">
      <c r="B109" s="41" t="s">
        <v>137</v>
      </c>
      <c r="C109" s="41" t="s">
        <v>52</v>
      </c>
      <c r="D109" s="41" t="s">
        <v>29</v>
      </c>
      <c r="E109" s="41" t="s">
        <v>46</v>
      </c>
      <c r="F109" s="41" t="s">
        <v>17</v>
      </c>
      <c r="G109" s="41" t="s">
        <v>23</v>
      </c>
      <c r="H109" s="42">
        <v>45031.0</v>
      </c>
      <c r="I109" s="41">
        <v>197.0</v>
      </c>
      <c r="J109" s="43">
        <v>225.95</v>
      </c>
      <c r="K109" s="43">
        <v>149.82</v>
      </c>
      <c r="L109" s="43">
        <v>44512.149999999994</v>
      </c>
      <c r="M109" s="43">
        <v>29514.539999999997</v>
      </c>
      <c r="N109" s="43">
        <v>14997.609999999997</v>
      </c>
      <c r="O109" s="44">
        <v>0.3369329497676477</v>
      </c>
    </row>
    <row r="110" ht="22.5" customHeight="1">
      <c r="B110" s="41" t="s">
        <v>138</v>
      </c>
      <c r="C110" s="41" t="s">
        <v>52</v>
      </c>
      <c r="D110" s="41" t="s">
        <v>29</v>
      </c>
      <c r="E110" s="41" t="s">
        <v>16</v>
      </c>
      <c r="F110" s="41" t="s">
        <v>17</v>
      </c>
      <c r="G110" s="41" t="s">
        <v>31</v>
      </c>
      <c r="H110" s="42">
        <v>45032.0</v>
      </c>
      <c r="I110" s="41">
        <v>457.0</v>
      </c>
      <c r="J110" s="43">
        <v>432.79</v>
      </c>
      <c r="K110" s="43">
        <v>107.81</v>
      </c>
      <c r="L110" s="43">
        <v>197785.03</v>
      </c>
      <c r="M110" s="43">
        <v>49269.17</v>
      </c>
      <c r="N110" s="43">
        <v>148515.86</v>
      </c>
      <c r="O110" s="44">
        <v>0.7508953534046534</v>
      </c>
    </row>
    <row r="111" ht="22.5" customHeight="1">
      <c r="B111" s="41" t="s">
        <v>139</v>
      </c>
      <c r="C111" s="41" t="s">
        <v>52</v>
      </c>
      <c r="D111" s="41" t="s">
        <v>21</v>
      </c>
      <c r="E111" s="41" t="s">
        <v>22</v>
      </c>
      <c r="F111" s="41" t="s">
        <v>17</v>
      </c>
      <c r="G111" s="41" t="s">
        <v>31</v>
      </c>
      <c r="H111" s="42">
        <v>45033.0</v>
      </c>
      <c r="I111" s="41">
        <v>353.0</v>
      </c>
      <c r="J111" s="43">
        <v>281.28</v>
      </c>
      <c r="K111" s="43">
        <v>259.14</v>
      </c>
      <c r="L111" s="43">
        <v>99291.84</v>
      </c>
      <c r="M111" s="43">
        <v>91476.42</v>
      </c>
      <c r="N111" s="43">
        <v>7815.419999999998</v>
      </c>
      <c r="O111" s="44">
        <v>0.07871160409556313</v>
      </c>
    </row>
    <row r="112" ht="22.5" customHeight="1">
      <c r="B112" s="41" t="s">
        <v>140</v>
      </c>
      <c r="C112" s="41" t="s">
        <v>20</v>
      </c>
      <c r="D112" s="41" t="s">
        <v>21</v>
      </c>
      <c r="E112" s="41" t="s">
        <v>46</v>
      </c>
      <c r="F112" s="41" t="s">
        <v>27</v>
      </c>
      <c r="G112" s="41" t="s">
        <v>23</v>
      </c>
      <c r="H112" s="42">
        <v>45034.0</v>
      </c>
      <c r="I112" s="41">
        <v>374.0</v>
      </c>
      <c r="J112" s="43">
        <v>272.25</v>
      </c>
      <c r="K112" s="43">
        <v>200.73</v>
      </c>
      <c r="L112" s="43">
        <v>101821.5</v>
      </c>
      <c r="M112" s="43">
        <v>75073.01999999999</v>
      </c>
      <c r="N112" s="43">
        <v>26748.48000000001</v>
      </c>
      <c r="O112" s="44">
        <v>0.26269972451790646</v>
      </c>
    </row>
    <row r="113" ht="22.5" customHeight="1">
      <c r="B113" s="41" t="s">
        <v>141</v>
      </c>
      <c r="C113" s="41" t="s">
        <v>52</v>
      </c>
      <c r="D113" s="41" t="s">
        <v>21</v>
      </c>
      <c r="E113" s="41" t="s">
        <v>16</v>
      </c>
      <c r="F113" s="41" t="s">
        <v>27</v>
      </c>
      <c r="G113" s="41" t="s">
        <v>23</v>
      </c>
      <c r="H113" s="42">
        <v>45035.0</v>
      </c>
      <c r="I113" s="41">
        <v>172.0</v>
      </c>
      <c r="J113" s="43">
        <v>21.92</v>
      </c>
      <c r="K113" s="43">
        <v>107.88</v>
      </c>
      <c r="L113" s="43">
        <v>3770.2400000000002</v>
      </c>
      <c r="M113" s="43">
        <v>18555.36</v>
      </c>
      <c r="N113" s="43">
        <v>-14785.12</v>
      </c>
      <c r="O113" s="44">
        <v>-3.9215328467153285</v>
      </c>
    </row>
    <row r="114" ht="22.5" customHeight="1">
      <c r="B114" s="41" t="s">
        <v>142</v>
      </c>
      <c r="C114" s="41" t="s">
        <v>14</v>
      </c>
      <c r="D114" s="41" t="s">
        <v>34</v>
      </c>
      <c r="E114" s="41" t="s">
        <v>16</v>
      </c>
      <c r="F114" s="41" t="s">
        <v>27</v>
      </c>
      <c r="G114" s="41" t="s">
        <v>31</v>
      </c>
      <c r="H114" s="42">
        <v>45036.0</v>
      </c>
      <c r="I114" s="41">
        <v>335.0</v>
      </c>
      <c r="J114" s="43">
        <v>493.41</v>
      </c>
      <c r="K114" s="43">
        <v>61.4</v>
      </c>
      <c r="L114" s="43">
        <v>165292.35</v>
      </c>
      <c r="M114" s="43">
        <v>20569.0</v>
      </c>
      <c r="N114" s="43">
        <v>144723.35</v>
      </c>
      <c r="O114" s="44">
        <v>0.875559879207961</v>
      </c>
    </row>
    <row r="115" ht="22.5" customHeight="1">
      <c r="B115" s="41" t="s">
        <v>143</v>
      </c>
      <c r="C115" s="41" t="s">
        <v>20</v>
      </c>
      <c r="D115" s="41" t="s">
        <v>54</v>
      </c>
      <c r="E115" s="41" t="s">
        <v>26</v>
      </c>
      <c r="F115" s="41" t="s">
        <v>17</v>
      </c>
      <c r="G115" s="41" t="s">
        <v>31</v>
      </c>
      <c r="H115" s="42">
        <v>45037.0</v>
      </c>
      <c r="I115" s="41">
        <v>476.0</v>
      </c>
      <c r="J115" s="43">
        <v>65.87</v>
      </c>
      <c r="K115" s="43">
        <v>52.63</v>
      </c>
      <c r="L115" s="43">
        <v>31354.120000000003</v>
      </c>
      <c r="M115" s="43">
        <v>25051.88</v>
      </c>
      <c r="N115" s="43">
        <v>6302.240000000002</v>
      </c>
      <c r="O115" s="44">
        <v>0.2010019735843328</v>
      </c>
    </row>
    <row r="116" ht="22.5" customHeight="1">
      <c r="B116" s="41" t="s">
        <v>144</v>
      </c>
      <c r="C116" s="41" t="s">
        <v>14</v>
      </c>
      <c r="D116" s="41" t="s">
        <v>29</v>
      </c>
      <c r="E116" s="41" t="s">
        <v>16</v>
      </c>
      <c r="F116" s="41" t="s">
        <v>17</v>
      </c>
      <c r="G116" s="41" t="s">
        <v>18</v>
      </c>
      <c r="H116" s="42">
        <v>45038.0</v>
      </c>
      <c r="I116" s="41">
        <v>423.0</v>
      </c>
      <c r="J116" s="43">
        <v>119.41</v>
      </c>
      <c r="K116" s="43">
        <v>346.13</v>
      </c>
      <c r="L116" s="43">
        <v>50510.43</v>
      </c>
      <c r="M116" s="43">
        <v>146412.99</v>
      </c>
      <c r="N116" s="43">
        <v>-95902.56</v>
      </c>
      <c r="O116" s="44">
        <v>-1.8986684532283729</v>
      </c>
    </row>
    <row r="117" ht="22.5" customHeight="1">
      <c r="B117" s="41" t="s">
        <v>145</v>
      </c>
      <c r="C117" s="41" t="s">
        <v>20</v>
      </c>
      <c r="D117" s="41" t="s">
        <v>29</v>
      </c>
      <c r="E117" s="41" t="s">
        <v>16</v>
      </c>
      <c r="F117" s="41" t="s">
        <v>17</v>
      </c>
      <c r="G117" s="41" t="s">
        <v>18</v>
      </c>
      <c r="H117" s="42">
        <v>45039.0</v>
      </c>
      <c r="I117" s="41">
        <v>464.0</v>
      </c>
      <c r="J117" s="43">
        <v>30.59</v>
      </c>
      <c r="K117" s="43">
        <v>98.9</v>
      </c>
      <c r="L117" s="43">
        <v>14193.76</v>
      </c>
      <c r="M117" s="43">
        <v>45889.600000000006</v>
      </c>
      <c r="N117" s="43">
        <v>-31695.840000000004</v>
      </c>
      <c r="O117" s="44">
        <v>-2.2330827067669174</v>
      </c>
    </row>
    <row r="118" ht="22.5" customHeight="1">
      <c r="B118" s="41" t="s">
        <v>146</v>
      </c>
      <c r="C118" s="41" t="s">
        <v>52</v>
      </c>
      <c r="D118" s="41" t="s">
        <v>34</v>
      </c>
      <c r="E118" s="41" t="s">
        <v>16</v>
      </c>
      <c r="F118" s="41" t="s">
        <v>27</v>
      </c>
      <c r="G118" s="41" t="s">
        <v>31</v>
      </c>
      <c r="H118" s="42">
        <v>45040.0</v>
      </c>
      <c r="I118" s="41">
        <v>83.0</v>
      </c>
      <c r="J118" s="43">
        <v>321.8</v>
      </c>
      <c r="K118" s="43">
        <v>261.38</v>
      </c>
      <c r="L118" s="43">
        <v>26709.4</v>
      </c>
      <c r="M118" s="43">
        <v>21694.54</v>
      </c>
      <c r="N118" s="43">
        <v>5014.860000000001</v>
      </c>
      <c r="O118" s="44">
        <v>0.18775637041640772</v>
      </c>
    </row>
    <row r="119" ht="22.5" customHeight="1">
      <c r="B119" s="41" t="s">
        <v>147</v>
      </c>
      <c r="C119" s="41" t="s">
        <v>14</v>
      </c>
      <c r="D119" s="41" t="s">
        <v>29</v>
      </c>
      <c r="E119" s="41" t="s">
        <v>16</v>
      </c>
      <c r="F119" s="41" t="s">
        <v>17</v>
      </c>
      <c r="G119" s="41" t="s">
        <v>23</v>
      </c>
      <c r="H119" s="42">
        <v>45041.0</v>
      </c>
      <c r="I119" s="41">
        <v>242.0</v>
      </c>
      <c r="J119" s="43">
        <v>116.23</v>
      </c>
      <c r="K119" s="43">
        <v>324.65</v>
      </c>
      <c r="L119" s="43">
        <v>28127.66</v>
      </c>
      <c r="M119" s="43">
        <v>78565.29999999999</v>
      </c>
      <c r="N119" s="43">
        <v>-50437.639999999985</v>
      </c>
      <c r="O119" s="44">
        <v>-1.7931687171986572</v>
      </c>
    </row>
    <row r="120" ht="22.5" customHeight="1">
      <c r="B120" s="41" t="s">
        <v>148</v>
      </c>
      <c r="C120" s="41" t="s">
        <v>20</v>
      </c>
      <c r="D120" s="41" t="s">
        <v>21</v>
      </c>
      <c r="E120" s="41" t="s">
        <v>30</v>
      </c>
      <c r="F120" s="41" t="s">
        <v>27</v>
      </c>
      <c r="G120" s="41" t="s">
        <v>23</v>
      </c>
      <c r="H120" s="42">
        <v>45042.0</v>
      </c>
      <c r="I120" s="41">
        <v>233.0</v>
      </c>
      <c r="J120" s="43">
        <v>94.11</v>
      </c>
      <c r="K120" s="43">
        <v>246.4</v>
      </c>
      <c r="L120" s="43">
        <v>21927.63</v>
      </c>
      <c r="M120" s="43">
        <v>57411.200000000004</v>
      </c>
      <c r="N120" s="43">
        <v>-35483.57000000001</v>
      </c>
      <c r="O120" s="44">
        <v>-1.6182127297842952</v>
      </c>
    </row>
    <row r="121" ht="22.5" customHeight="1">
      <c r="B121" s="41" t="s">
        <v>149</v>
      </c>
      <c r="C121" s="41" t="s">
        <v>25</v>
      </c>
      <c r="D121" s="41" t="s">
        <v>54</v>
      </c>
      <c r="E121" s="41" t="s">
        <v>30</v>
      </c>
      <c r="F121" s="41" t="s">
        <v>27</v>
      </c>
      <c r="G121" s="41" t="s">
        <v>23</v>
      </c>
      <c r="H121" s="42">
        <v>45043.0</v>
      </c>
      <c r="I121" s="41">
        <v>491.0</v>
      </c>
      <c r="J121" s="43">
        <v>48.84</v>
      </c>
      <c r="K121" s="43">
        <v>344.11</v>
      </c>
      <c r="L121" s="43">
        <v>23980.440000000002</v>
      </c>
      <c r="M121" s="43">
        <v>168958.01</v>
      </c>
      <c r="N121" s="43">
        <v>-144977.57</v>
      </c>
      <c r="O121" s="44">
        <v>-6.045659295659295</v>
      </c>
    </row>
    <row r="122" ht="22.5" customHeight="1">
      <c r="B122" s="41" t="s">
        <v>150</v>
      </c>
      <c r="C122" s="41" t="s">
        <v>39</v>
      </c>
      <c r="D122" s="41" t="s">
        <v>15</v>
      </c>
      <c r="E122" s="41" t="s">
        <v>26</v>
      </c>
      <c r="F122" s="41" t="s">
        <v>27</v>
      </c>
      <c r="G122" s="41" t="s">
        <v>23</v>
      </c>
      <c r="H122" s="42">
        <v>45044.0</v>
      </c>
      <c r="I122" s="41">
        <v>328.0</v>
      </c>
      <c r="J122" s="43">
        <v>56.14</v>
      </c>
      <c r="K122" s="43">
        <v>158.17</v>
      </c>
      <c r="L122" s="43">
        <v>18413.920000000002</v>
      </c>
      <c r="M122" s="43">
        <v>51879.759999999995</v>
      </c>
      <c r="N122" s="43">
        <v>-33465.84</v>
      </c>
      <c r="O122" s="44">
        <v>-1.8174207338795865</v>
      </c>
    </row>
    <row r="123" ht="22.5" customHeight="1">
      <c r="B123" s="41" t="s">
        <v>151</v>
      </c>
      <c r="C123" s="41" t="s">
        <v>20</v>
      </c>
      <c r="D123" s="41" t="s">
        <v>29</v>
      </c>
      <c r="E123" s="41" t="s">
        <v>46</v>
      </c>
      <c r="F123" s="41" t="s">
        <v>27</v>
      </c>
      <c r="G123" s="41" t="s">
        <v>18</v>
      </c>
      <c r="H123" s="42">
        <v>45045.0</v>
      </c>
      <c r="I123" s="41">
        <v>421.0</v>
      </c>
      <c r="J123" s="43">
        <v>294.41</v>
      </c>
      <c r="K123" s="43">
        <v>382.58</v>
      </c>
      <c r="L123" s="43">
        <v>123946.61000000002</v>
      </c>
      <c r="M123" s="43">
        <v>161066.18</v>
      </c>
      <c r="N123" s="43">
        <v>-37119.56999999998</v>
      </c>
      <c r="O123" s="44">
        <v>-0.29948031656533386</v>
      </c>
    </row>
    <row r="124" ht="22.5" customHeight="1">
      <c r="B124" s="41" t="s">
        <v>152</v>
      </c>
      <c r="C124" s="41" t="s">
        <v>25</v>
      </c>
      <c r="D124" s="41" t="s">
        <v>21</v>
      </c>
      <c r="E124" s="41" t="s">
        <v>16</v>
      </c>
      <c r="F124" s="41" t="s">
        <v>27</v>
      </c>
      <c r="G124" s="41" t="s">
        <v>31</v>
      </c>
      <c r="H124" s="42">
        <v>45046.0</v>
      </c>
      <c r="I124" s="41">
        <v>69.0</v>
      </c>
      <c r="J124" s="43">
        <v>345.66</v>
      </c>
      <c r="K124" s="43">
        <v>54.99</v>
      </c>
      <c r="L124" s="43">
        <v>23850.54</v>
      </c>
      <c r="M124" s="43">
        <v>3794.31</v>
      </c>
      <c r="N124" s="43">
        <v>20056.23</v>
      </c>
      <c r="O124" s="44">
        <v>0.8409130359312619</v>
      </c>
    </row>
    <row r="125" ht="22.5" customHeight="1">
      <c r="B125" s="41" t="s">
        <v>153</v>
      </c>
      <c r="C125" s="41" t="s">
        <v>20</v>
      </c>
      <c r="D125" s="41" t="s">
        <v>15</v>
      </c>
      <c r="E125" s="41" t="s">
        <v>46</v>
      </c>
      <c r="F125" s="41" t="s">
        <v>27</v>
      </c>
      <c r="G125" s="41" t="s">
        <v>23</v>
      </c>
      <c r="H125" s="42">
        <v>45047.0</v>
      </c>
      <c r="I125" s="41">
        <v>344.0</v>
      </c>
      <c r="J125" s="43">
        <v>201.7</v>
      </c>
      <c r="K125" s="43">
        <v>42.66</v>
      </c>
      <c r="L125" s="43">
        <v>69384.8</v>
      </c>
      <c r="M125" s="43">
        <v>14675.039999999999</v>
      </c>
      <c r="N125" s="43">
        <v>54709.76</v>
      </c>
      <c r="O125" s="44">
        <v>0.7884977689638076</v>
      </c>
    </row>
    <row r="126" ht="22.5" customHeight="1">
      <c r="B126" s="41" t="s">
        <v>154</v>
      </c>
      <c r="C126" s="41" t="s">
        <v>39</v>
      </c>
      <c r="D126" s="41" t="s">
        <v>54</v>
      </c>
      <c r="E126" s="41" t="s">
        <v>46</v>
      </c>
      <c r="F126" s="41" t="s">
        <v>17</v>
      </c>
      <c r="G126" s="41" t="s">
        <v>18</v>
      </c>
      <c r="H126" s="42">
        <v>45048.0</v>
      </c>
      <c r="I126" s="41">
        <v>231.0</v>
      </c>
      <c r="J126" s="43">
        <v>242.55</v>
      </c>
      <c r="K126" s="43">
        <v>264.16</v>
      </c>
      <c r="L126" s="43">
        <v>56029.05</v>
      </c>
      <c r="M126" s="43">
        <v>61020.96000000001</v>
      </c>
      <c r="N126" s="43">
        <v>-4991.9100000000035</v>
      </c>
      <c r="O126" s="44">
        <v>-0.08909503195217487</v>
      </c>
    </row>
    <row r="127" ht="22.5" customHeight="1">
      <c r="B127" s="41" t="s">
        <v>155</v>
      </c>
      <c r="C127" s="41" t="s">
        <v>52</v>
      </c>
      <c r="D127" s="41" t="s">
        <v>15</v>
      </c>
      <c r="E127" s="41" t="s">
        <v>26</v>
      </c>
      <c r="F127" s="41" t="s">
        <v>17</v>
      </c>
      <c r="G127" s="41" t="s">
        <v>23</v>
      </c>
      <c r="H127" s="42">
        <v>45049.0</v>
      </c>
      <c r="I127" s="41">
        <v>46.0</v>
      </c>
      <c r="J127" s="43">
        <v>344.55</v>
      </c>
      <c r="K127" s="43">
        <v>377.25</v>
      </c>
      <c r="L127" s="43">
        <v>15849.300000000001</v>
      </c>
      <c r="M127" s="43">
        <v>17353.5</v>
      </c>
      <c r="N127" s="43">
        <v>-1504.199999999999</v>
      </c>
      <c r="O127" s="44">
        <v>-0.09490639965171956</v>
      </c>
    </row>
    <row r="128" ht="22.5" customHeight="1">
      <c r="B128" s="41" t="s">
        <v>156</v>
      </c>
      <c r="C128" s="41" t="s">
        <v>14</v>
      </c>
      <c r="D128" s="41" t="s">
        <v>21</v>
      </c>
      <c r="E128" s="41" t="s">
        <v>16</v>
      </c>
      <c r="F128" s="41" t="s">
        <v>27</v>
      </c>
      <c r="G128" s="41" t="s">
        <v>31</v>
      </c>
      <c r="H128" s="42">
        <v>45050.0</v>
      </c>
      <c r="I128" s="41">
        <v>486.0</v>
      </c>
      <c r="J128" s="43">
        <v>13.6</v>
      </c>
      <c r="K128" s="43">
        <v>323.94</v>
      </c>
      <c r="L128" s="43">
        <v>6609.599999999999</v>
      </c>
      <c r="M128" s="43">
        <v>157434.84</v>
      </c>
      <c r="N128" s="43">
        <v>-150825.24</v>
      </c>
      <c r="O128" s="44">
        <v>-22.819117647058825</v>
      </c>
    </row>
    <row r="129" ht="22.5" customHeight="1">
      <c r="B129" s="41" t="s">
        <v>157</v>
      </c>
      <c r="C129" s="41" t="s">
        <v>25</v>
      </c>
      <c r="D129" s="41" t="s">
        <v>15</v>
      </c>
      <c r="E129" s="41" t="s">
        <v>16</v>
      </c>
      <c r="F129" s="41" t="s">
        <v>27</v>
      </c>
      <c r="G129" s="41" t="s">
        <v>18</v>
      </c>
      <c r="H129" s="42">
        <v>45051.0</v>
      </c>
      <c r="I129" s="41">
        <v>287.0</v>
      </c>
      <c r="J129" s="43">
        <v>164.95</v>
      </c>
      <c r="K129" s="43">
        <v>32.41</v>
      </c>
      <c r="L129" s="43">
        <v>47340.649999999994</v>
      </c>
      <c r="M129" s="43">
        <v>9301.669999999998</v>
      </c>
      <c r="N129" s="43">
        <v>38038.979999999996</v>
      </c>
      <c r="O129" s="44">
        <v>0.8035162170354653</v>
      </c>
    </row>
    <row r="130" ht="22.5" customHeight="1">
      <c r="B130" s="41" t="s">
        <v>158</v>
      </c>
      <c r="C130" s="41" t="s">
        <v>20</v>
      </c>
      <c r="D130" s="41" t="s">
        <v>34</v>
      </c>
      <c r="E130" s="41" t="s">
        <v>22</v>
      </c>
      <c r="F130" s="41" t="s">
        <v>17</v>
      </c>
      <c r="G130" s="41" t="s">
        <v>31</v>
      </c>
      <c r="H130" s="42">
        <v>45052.0</v>
      </c>
      <c r="I130" s="41">
        <v>205.0</v>
      </c>
      <c r="J130" s="43">
        <v>486.68</v>
      </c>
      <c r="K130" s="43">
        <v>113.19</v>
      </c>
      <c r="L130" s="43">
        <v>99769.4</v>
      </c>
      <c r="M130" s="43">
        <v>23203.95</v>
      </c>
      <c r="N130" s="43">
        <v>76565.45</v>
      </c>
      <c r="O130" s="44">
        <v>0.7674241801594477</v>
      </c>
    </row>
    <row r="131" ht="22.5" customHeight="1">
      <c r="B131" s="41" t="s">
        <v>159</v>
      </c>
      <c r="C131" s="41" t="s">
        <v>52</v>
      </c>
      <c r="D131" s="41" t="s">
        <v>15</v>
      </c>
      <c r="E131" s="41" t="s">
        <v>46</v>
      </c>
      <c r="F131" s="41" t="s">
        <v>27</v>
      </c>
      <c r="G131" s="41" t="s">
        <v>31</v>
      </c>
      <c r="H131" s="42">
        <v>45053.0</v>
      </c>
      <c r="I131" s="41">
        <v>413.0</v>
      </c>
      <c r="J131" s="43">
        <v>292.16</v>
      </c>
      <c r="K131" s="43">
        <v>372.27</v>
      </c>
      <c r="L131" s="43">
        <v>120662.08000000002</v>
      </c>
      <c r="M131" s="43">
        <v>153747.50999999998</v>
      </c>
      <c r="N131" s="43">
        <v>-33085.429999999964</v>
      </c>
      <c r="O131" s="44">
        <v>-0.27419906900328556</v>
      </c>
    </row>
    <row r="132" ht="22.5" customHeight="1">
      <c r="B132" s="41" t="s">
        <v>160</v>
      </c>
      <c r="C132" s="41" t="s">
        <v>25</v>
      </c>
      <c r="D132" s="41" t="s">
        <v>29</v>
      </c>
      <c r="E132" s="41" t="s">
        <v>46</v>
      </c>
      <c r="F132" s="41" t="s">
        <v>27</v>
      </c>
      <c r="G132" s="41" t="s">
        <v>18</v>
      </c>
      <c r="H132" s="42">
        <v>45054.0</v>
      </c>
      <c r="I132" s="41">
        <v>361.0</v>
      </c>
      <c r="J132" s="43">
        <v>130.84</v>
      </c>
      <c r="K132" s="43">
        <v>102.72</v>
      </c>
      <c r="L132" s="43">
        <v>47233.24</v>
      </c>
      <c r="M132" s="43">
        <v>37081.92</v>
      </c>
      <c r="N132" s="43">
        <v>10151.32</v>
      </c>
      <c r="O132" s="44">
        <v>0.2149189850198716</v>
      </c>
    </row>
    <row r="133" ht="22.5" customHeight="1">
      <c r="B133" s="41" t="s">
        <v>161</v>
      </c>
      <c r="C133" s="41" t="s">
        <v>20</v>
      </c>
      <c r="D133" s="41" t="s">
        <v>29</v>
      </c>
      <c r="E133" s="41" t="s">
        <v>30</v>
      </c>
      <c r="F133" s="41" t="s">
        <v>17</v>
      </c>
      <c r="G133" s="41" t="s">
        <v>18</v>
      </c>
      <c r="H133" s="42">
        <v>45055.0</v>
      </c>
      <c r="I133" s="41">
        <v>493.0</v>
      </c>
      <c r="J133" s="43">
        <v>263.26</v>
      </c>
      <c r="K133" s="43">
        <v>312.91</v>
      </c>
      <c r="L133" s="43">
        <v>129787.18</v>
      </c>
      <c r="M133" s="43">
        <v>154264.63</v>
      </c>
      <c r="N133" s="43">
        <v>-24477.45000000001</v>
      </c>
      <c r="O133" s="44">
        <v>-0.18859682443212045</v>
      </c>
    </row>
    <row r="134" ht="22.5" customHeight="1">
      <c r="B134" s="41" t="s">
        <v>162</v>
      </c>
      <c r="C134" s="41" t="s">
        <v>20</v>
      </c>
      <c r="D134" s="41" t="s">
        <v>34</v>
      </c>
      <c r="E134" s="41" t="s">
        <v>22</v>
      </c>
      <c r="F134" s="41" t="s">
        <v>27</v>
      </c>
      <c r="G134" s="41" t="s">
        <v>18</v>
      </c>
      <c r="H134" s="42">
        <v>45056.0</v>
      </c>
      <c r="I134" s="41">
        <v>251.0</v>
      </c>
      <c r="J134" s="43">
        <v>174.61</v>
      </c>
      <c r="K134" s="43">
        <v>330.4</v>
      </c>
      <c r="L134" s="43">
        <v>43827.11</v>
      </c>
      <c r="M134" s="43">
        <v>82930.4</v>
      </c>
      <c r="N134" s="43">
        <v>-39103.28999999999</v>
      </c>
      <c r="O134" s="44">
        <v>-0.8922169406105033</v>
      </c>
    </row>
    <row r="135" ht="22.5" hidden="1" customHeight="1">
      <c r="B135" s="41" t="s">
        <v>163</v>
      </c>
      <c r="C135" s="41" t="s">
        <v>20</v>
      </c>
      <c r="D135" s="41" t="s">
        <v>21</v>
      </c>
      <c r="E135" s="41" t="s">
        <v>30</v>
      </c>
      <c r="F135" s="41" t="s">
        <v>27</v>
      </c>
      <c r="G135" s="41" t="s">
        <v>18</v>
      </c>
      <c r="H135" s="42">
        <v>45057.0</v>
      </c>
      <c r="I135" s="45">
        <v>255.9029411764706</v>
      </c>
      <c r="J135" s="43">
        <v>268.46</v>
      </c>
      <c r="K135" s="43">
        <v>199.19</v>
      </c>
      <c r="L135" s="43">
        <v>68699.7035882353</v>
      </c>
      <c r="M135" s="43">
        <v>50973.306852941176</v>
      </c>
      <c r="N135" s="43">
        <v>17726.396735294118</v>
      </c>
      <c r="O135" s="44">
        <v>0.25802726663190045</v>
      </c>
    </row>
    <row r="136" ht="22.5" customHeight="1">
      <c r="B136" s="41" t="s">
        <v>164</v>
      </c>
      <c r="C136" s="41" t="s">
        <v>25</v>
      </c>
      <c r="D136" s="41" t="s">
        <v>29</v>
      </c>
      <c r="E136" s="41" t="s">
        <v>30</v>
      </c>
      <c r="F136" s="41" t="s">
        <v>27</v>
      </c>
      <c r="G136" s="41" t="s">
        <v>18</v>
      </c>
      <c r="H136" s="42">
        <v>45058.0</v>
      </c>
      <c r="I136" s="41">
        <v>228.0</v>
      </c>
      <c r="J136" s="43">
        <v>67.24</v>
      </c>
      <c r="K136" s="43">
        <v>155.77</v>
      </c>
      <c r="L136" s="43">
        <v>15330.72</v>
      </c>
      <c r="M136" s="43">
        <v>35515.560000000005</v>
      </c>
      <c r="N136" s="43">
        <v>-20184.840000000004</v>
      </c>
      <c r="O136" s="44">
        <v>-1.3166270077334923</v>
      </c>
    </row>
    <row r="137" ht="22.5" customHeight="1">
      <c r="B137" s="41" t="s">
        <v>165</v>
      </c>
      <c r="C137" s="41" t="s">
        <v>25</v>
      </c>
      <c r="D137" s="41" t="s">
        <v>54</v>
      </c>
      <c r="E137" s="41" t="s">
        <v>30</v>
      </c>
      <c r="F137" s="41" t="s">
        <v>17</v>
      </c>
      <c r="G137" s="41" t="s">
        <v>18</v>
      </c>
      <c r="H137" s="42">
        <v>45059.0</v>
      </c>
      <c r="I137" s="41">
        <v>201.0</v>
      </c>
      <c r="J137" s="43">
        <v>70.69</v>
      </c>
      <c r="K137" s="43">
        <v>181.15</v>
      </c>
      <c r="L137" s="43">
        <v>14208.689999999999</v>
      </c>
      <c r="M137" s="43">
        <v>36411.15</v>
      </c>
      <c r="N137" s="43">
        <v>-22202.460000000003</v>
      </c>
      <c r="O137" s="44">
        <v>-1.5625972556231436</v>
      </c>
    </row>
    <row r="138" ht="22.5" customHeight="1">
      <c r="B138" s="41" t="s">
        <v>166</v>
      </c>
      <c r="C138" s="41" t="s">
        <v>25</v>
      </c>
      <c r="D138" s="41" t="s">
        <v>29</v>
      </c>
      <c r="E138" s="41" t="s">
        <v>26</v>
      </c>
      <c r="F138" s="41" t="s">
        <v>17</v>
      </c>
      <c r="G138" s="41" t="s">
        <v>18</v>
      </c>
      <c r="H138" s="42">
        <v>45060.0</v>
      </c>
      <c r="I138" s="41">
        <v>26.0</v>
      </c>
      <c r="J138" s="43">
        <v>76.05</v>
      </c>
      <c r="K138" s="43">
        <v>92.33</v>
      </c>
      <c r="L138" s="43">
        <v>1977.3</v>
      </c>
      <c r="M138" s="43">
        <v>2400.58</v>
      </c>
      <c r="N138" s="43">
        <v>-423.28</v>
      </c>
      <c r="O138" s="44">
        <v>-0.2140696909927679</v>
      </c>
    </row>
    <row r="139" ht="22.5" customHeight="1">
      <c r="B139" s="41" t="s">
        <v>167</v>
      </c>
      <c r="C139" s="41" t="s">
        <v>14</v>
      </c>
      <c r="D139" s="41" t="s">
        <v>29</v>
      </c>
      <c r="E139" s="41" t="s">
        <v>26</v>
      </c>
      <c r="F139" s="41" t="s">
        <v>17</v>
      </c>
      <c r="G139" s="41" t="s">
        <v>23</v>
      </c>
      <c r="H139" s="42">
        <v>45061.0</v>
      </c>
      <c r="I139" s="41">
        <v>21.0</v>
      </c>
      <c r="J139" s="43">
        <v>470.21</v>
      </c>
      <c r="K139" s="43">
        <v>355.98</v>
      </c>
      <c r="L139" s="43">
        <v>9874.41</v>
      </c>
      <c r="M139" s="43">
        <v>7475.58</v>
      </c>
      <c r="N139" s="43">
        <v>2398.83</v>
      </c>
      <c r="O139" s="44">
        <v>0.24293400820909805</v>
      </c>
    </row>
    <row r="140" ht="22.5" customHeight="1">
      <c r="B140" s="41" t="s">
        <v>168</v>
      </c>
      <c r="C140" s="41" t="s">
        <v>25</v>
      </c>
      <c r="D140" s="41" t="s">
        <v>21</v>
      </c>
      <c r="E140" s="41" t="s">
        <v>30</v>
      </c>
      <c r="F140" s="41" t="s">
        <v>27</v>
      </c>
      <c r="G140" s="41" t="s">
        <v>31</v>
      </c>
      <c r="H140" s="42">
        <v>45062.0</v>
      </c>
      <c r="I140" s="41">
        <v>415.0</v>
      </c>
      <c r="J140" s="43">
        <v>367.78</v>
      </c>
      <c r="K140" s="43">
        <v>181.35</v>
      </c>
      <c r="L140" s="43">
        <v>152628.69999999998</v>
      </c>
      <c r="M140" s="43">
        <v>75260.25</v>
      </c>
      <c r="N140" s="43">
        <v>77368.44999999998</v>
      </c>
      <c r="O140" s="44">
        <v>0.5069063026809505</v>
      </c>
    </row>
    <row r="141" ht="22.5" customHeight="1">
      <c r="B141" s="41" t="s">
        <v>169</v>
      </c>
      <c r="C141" s="41" t="s">
        <v>25</v>
      </c>
      <c r="D141" s="41" t="s">
        <v>15</v>
      </c>
      <c r="E141" s="41" t="s">
        <v>22</v>
      </c>
      <c r="F141" s="41" t="s">
        <v>27</v>
      </c>
      <c r="G141" s="41" t="s">
        <v>18</v>
      </c>
      <c r="H141" s="42">
        <v>45063.0</v>
      </c>
      <c r="I141" s="41">
        <v>410.0</v>
      </c>
      <c r="J141" s="43">
        <v>85.38</v>
      </c>
      <c r="K141" s="43">
        <v>353.22</v>
      </c>
      <c r="L141" s="43">
        <v>35005.799999999996</v>
      </c>
      <c r="M141" s="43">
        <v>144820.2</v>
      </c>
      <c r="N141" s="43">
        <v>-109814.40000000002</v>
      </c>
      <c r="O141" s="44">
        <v>-3.1370344342937466</v>
      </c>
    </row>
    <row r="142" ht="22.5" customHeight="1">
      <c r="B142" s="41" t="s">
        <v>170</v>
      </c>
      <c r="C142" s="41" t="s">
        <v>25</v>
      </c>
      <c r="D142" s="41" t="s">
        <v>29</v>
      </c>
      <c r="E142" s="41" t="s">
        <v>46</v>
      </c>
      <c r="F142" s="41" t="s">
        <v>17</v>
      </c>
      <c r="G142" s="41" t="s">
        <v>23</v>
      </c>
      <c r="H142" s="42">
        <v>45064.0</v>
      </c>
      <c r="I142" s="41">
        <v>403.0</v>
      </c>
      <c r="J142" s="43">
        <v>98.23</v>
      </c>
      <c r="K142" s="43">
        <v>44.07</v>
      </c>
      <c r="L142" s="43">
        <v>39586.69</v>
      </c>
      <c r="M142" s="43">
        <v>17760.21</v>
      </c>
      <c r="N142" s="43">
        <v>21826.480000000003</v>
      </c>
      <c r="O142" s="44">
        <v>0.5513590552784282</v>
      </c>
    </row>
    <row r="143" ht="22.5" customHeight="1">
      <c r="B143" s="41" t="s">
        <v>171</v>
      </c>
      <c r="C143" s="41" t="s">
        <v>14</v>
      </c>
      <c r="D143" s="41" t="s">
        <v>34</v>
      </c>
      <c r="E143" s="41" t="s">
        <v>22</v>
      </c>
      <c r="F143" s="41" t="s">
        <v>27</v>
      </c>
      <c r="G143" s="41" t="s">
        <v>23</v>
      </c>
      <c r="H143" s="42">
        <v>45065.0</v>
      </c>
      <c r="I143" s="41">
        <v>383.0</v>
      </c>
      <c r="J143" s="43">
        <v>366.76</v>
      </c>
      <c r="K143" s="43">
        <v>395.33</v>
      </c>
      <c r="L143" s="43">
        <v>140469.08</v>
      </c>
      <c r="M143" s="43">
        <v>151411.38999999998</v>
      </c>
      <c r="N143" s="43">
        <v>-10942.309999999998</v>
      </c>
      <c r="O143" s="44">
        <v>-0.0778983531464718</v>
      </c>
    </row>
    <row r="144" ht="22.5" customHeight="1">
      <c r="B144" s="41" t="s">
        <v>172</v>
      </c>
      <c r="C144" s="41" t="s">
        <v>25</v>
      </c>
      <c r="D144" s="41" t="s">
        <v>15</v>
      </c>
      <c r="E144" s="41" t="s">
        <v>16</v>
      </c>
      <c r="F144" s="41" t="s">
        <v>27</v>
      </c>
      <c r="G144" s="41" t="s">
        <v>23</v>
      </c>
      <c r="H144" s="42">
        <v>45066.0</v>
      </c>
      <c r="I144" s="41">
        <v>202.0</v>
      </c>
      <c r="J144" s="43">
        <v>82.3</v>
      </c>
      <c r="K144" s="43">
        <v>178.42</v>
      </c>
      <c r="L144" s="43">
        <v>16624.6</v>
      </c>
      <c r="M144" s="43">
        <v>36040.84</v>
      </c>
      <c r="N144" s="43">
        <v>-19416.239999999998</v>
      </c>
      <c r="O144" s="44">
        <v>-1.1679222357229648</v>
      </c>
    </row>
    <row r="145" ht="22.5" customHeight="1">
      <c r="B145" s="41" t="s">
        <v>173</v>
      </c>
      <c r="C145" s="41" t="s">
        <v>20</v>
      </c>
      <c r="D145" s="41" t="s">
        <v>54</v>
      </c>
      <c r="E145" s="41" t="s">
        <v>26</v>
      </c>
      <c r="F145" s="41" t="s">
        <v>27</v>
      </c>
      <c r="G145" s="41" t="s">
        <v>31</v>
      </c>
      <c r="H145" s="42">
        <v>45067.0</v>
      </c>
      <c r="I145" s="41">
        <v>31.0</v>
      </c>
      <c r="J145" s="43">
        <v>121.11</v>
      </c>
      <c r="K145" s="43">
        <v>21.04</v>
      </c>
      <c r="L145" s="43">
        <v>3754.41</v>
      </c>
      <c r="M145" s="43">
        <v>652.24</v>
      </c>
      <c r="N145" s="43">
        <v>3102.17</v>
      </c>
      <c r="O145" s="44">
        <v>0.8262736355379408</v>
      </c>
    </row>
    <row r="146" ht="22.5" customHeight="1">
      <c r="B146" s="41" t="s">
        <v>174</v>
      </c>
      <c r="C146" s="41" t="s">
        <v>25</v>
      </c>
      <c r="D146" s="41" t="s">
        <v>21</v>
      </c>
      <c r="E146" s="41" t="s">
        <v>46</v>
      </c>
      <c r="F146" s="41" t="s">
        <v>27</v>
      </c>
      <c r="G146" s="41" t="s">
        <v>18</v>
      </c>
      <c r="H146" s="42">
        <v>45068.0</v>
      </c>
      <c r="I146" s="41">
        <v>483.0</v>
      </c>
      <c r="J146" s="43">
        <v>481.86</v>
      </c>
      <c r="K146" s="43">
        <v>17.13</v>
      </c>
      <c r="L146" s="43">
        <v>232738.38</v>
      </c>
      <c r="M146" s="43">
        <v>8273.789999999999</v>
      </c>
      <c r="N146" s="43">
        <v>224464.59</v>
      </c>
      <c r="O146" s="44">
        <v>0.9644502552608641</v>
      </c>
    </row>
    <row r="147" ht="22.5" customHeight="1">
      <c r="B147" s="41" t="s">
        <v>175</v>
      </c>
      <c r="C147" s="41" t="s">
        <v>20</v>
      </c>
      <c r="D147" s="41" t="s">
        <v>54</v>
      </c>
      <c r="E147" s="41" t="s">
        <v>46</v>
      </c>
      <c r="F147" s="41" t="s">
        <v>27</v>
      </c>
      <c r="G147" s="41" t="s">
        <v>23</v>
      </c>
      <c r="H147" s="42">
        <v>45069.0</v>
      </c>
      <c r="I147" s="41">
        <v>129.0</v>
      </c>
      <c r="J147" s="43">
        <v>131.38</v>
      </c>
      <c r="K147" s="43">
        <v>298.99</v>
      </c>
      <c r="L147" s="43">
        <v>16948.02</v>
      </c>
      <c r="M147" s="43">
        <v>38569.71</v>
      </c>
      <c r="N147" s="43">
        <v>-21621.69</v>
      </c>
      <c r="O147" s="44">
        <v>-1.275764956614401</v>
      </c>
    </row>
    <row r="148" ht="22.5" customHeight="1">
      <c r="B148" s="41" t="s">
        <v>176</v>
      </c>
      <c r="C148" s="41" t="s">
        <v>20</v>
      </c>
      <c r="D148" s="41" t="s">
        <v>15</v>
      </c>
      <c r="E148" s="41" t="s">
        <v>16</v>
      </c>
      <c r="F148" s="41" t="s">
        <v>17</v>
      </c>
      <c r="G148" s="41" t="s">
        <v>31</v>
      </c>
      <c r="H148" s="42">
        <v>45070.0</v>
      </c>
      <c r="I148" s="41">
        <v>219.0</v>
      </c>
      <c r="J148" s="43">
        <v>332.51</v>
      </c>
      <c r="K148" s="43">
        <v>264.3</v>
      </c>
      <c r="L148" s="43">
        <v>72819.69</v>
      </c>
      <c r="M148" s="43">
        <v>57881.700000000004</v>
      </c>
      <c r="N148" s="43">
        <v>14937.989999999998</v>
      </c>
      <c r="O148" s="44">
        <v>0.20513668761841747</v>
      </c>
    </row>
    <row r="149" ht="22.5" customHeight="1">
      <c r="B149" s="41" t="s">
        <v>177</v>
      </c>
      <c r="C149" s="41" t="s">
        <v>20</v>
      </c>
      <c r="D149" s="41" t="s">
        <v>15</v>
      </c>
      <c r="E149" s="41" t="s">
        <v>16</v>
      </c>
      <c r="F149" s="41" t="s">
        <v>27</v>
      </c>
      <c r="G149" s="41" t="s">
        <v>31</v>
      </c>
      <c r="H149" s="42">
        <v>45071.0</v>
      </c>
      <c r="I149" s="41">
        <v>315.0</v>
      </c>
      <c r="J149" s="43">
        <v>489.42</v>
      </c>
      <c r="K149" s="43">
        <v>321.25</v>
      </c>
      <c r="L149" s="43">
        <v>154167.30000000002</v>
      </c>
      <c r="M149" s="43">
        <v>101193.75</v>
      </c>
      <c r="N149" s="43">
        <v>52973.55000000002</v>
      </c>
      <c r="O149" s="44">
        <v>0.3436108046258838</v>
      </c>
    </row>
    <row r="150" ht="22.5" customHeight="1">
      <c r="B150" s="41" t="s">
        <v>178</v>
      </c>
      <c r="C150" s="41" t="s">
        <v>14</v>
      </c>
      <c r="D150" s="41" t="s">
        <v>15</v>
      </c>
      <c r="E150" s="41" t="s">
        <v>30</v>
      </c>
      <c r="F150" s="41" t="s">
        <v>17</v>
      </c>
      <c r="G150" s="41" t="s">
        <v>31</v>
      </c>
      <c r="H150" s="42">
        <v>45072.0</v>
      </c>
      <c r="I150" s="41">
        <v>279.0</v>
      </c>
      <c r="J150" s="43">
        <v>190.28</v>
      </c>
      <c r="K150" s="43">
        <v>43.94</v>
      </c>
      <c r="L150" s="43">
        <v>53088.12</v>
      </c>
      <c r="M150" s="43">
        <v>12259.26</v>
      </c>
      <c r="N150" s="43">
        <v>40828.86</v>
      </c>
      <c r="O150" s="44">
        <v>0.7690771494639478</v>
      </c>
    </row>
    <row r="151" ht="22.5" customHeight="1">
      <c r="B151" s="41" t="s">
        <v>179</v>
      </c>
      <c r="C151" s="41" t="s">
        <v>14</v>
      </c>
      <c r="D151" s="41" t="s">
        <v>54</v>
      </c>
      <c r="E151" s="41" t="s">
        <v>26</v>
      </c>
      <c r="F151" s="41" t="s">
        <v>27</v>
      </c>
      <c r="G151" s="41" t="s">
        <v>23</v>
      </c>
      <c r="H151" s="42">
        <v>45073.0</v>
      </c>
      <c r="I151" s="41">
        <v>201.0</v>
      </c>
      <c r="J151" s="43">
        <v>13.67</v>
      </c>
      <c r="K151" s="43">
        <v>16.16</v>
      </c>
      <c r="L151" s="43">
        <v>2747.67</v>
      </c>
      <c r="M151" s="43">
        <v>3248.16</v>
      </c>
      <c r="N151" s="43">
        <v>-500.4899999999998</v>
      </c>
      <c r="O151" s="44">
        <v>-0.18215069495245054</v>
      </c>
    </row>
    <row r="152" ht="22.5" customHeight="1">
      <c r="B152" s="41" t="s">
        <v>180</v>
      </c>
      <c r="C152" s="41" t="s">
        <v>14</v>
      </c>
      <c r="D152" s="41" t="s">
        <v>15</v>
      </c>
      <c r="E152" s="41" t="s">
        <v>26</v>
      </c>
      <c r="F152" s="41" t="s">
        <v>17</v>
      </c>
      <c r="G152" s="41" t="s">
        <v>18</v>
      </c>
      <c r="H152" s="42">
        <v>45074.0</v>
      </c>
      <c r="I152" s="41">
        <v>184.0</v>
      </c>
      <c r="J152" s="43">
        <v>125.85</v>
      </c>
      <c r="K152" s="43">
        <v>204.41</v>
      </c>
      <c r="L152" s="43">
        <v>23156.399999999998</v>
      </c>
      <c r="M152" s="43">
        <v>37611.44</v>
      </c>
      <c r="N152" s="43">
        <v>-14455.040000000005</v>
      </c>
      <c r="O152" s="44">
        <v>-0.6242352006356776</v>
      </c>
    </row>
    <row r="153" ht="22.5" customHeight="1">
      <c r="B153" s="41" t="s">
        <v>181</v>
      </c>
      <c r="C153" s="41" t="s">
        <v>25</v>
      </c>
      <c r="D153" s="41" t="s">
        <v>54</v>
      </c>
      <c r="E153" s="41" t="s">
        <v>22</v>
      </c>
      <c r="F153" s="41" t="s">
        <v>27</v>
      </c>
      <c r="G153" s="41" t="s">
        <v>23</v>
      </c>
      <c r="H153" s="42">
        <v>45075.0</v>
      </c>
      <c r="I153" s="41">
        <v>294.0</v>
      </c>
      <c r="J153" s="43">
        <v>416.28</v>
      </c>
      <c r="K153" s="43">
        <v>156.26</v>
      </c>
      <c r="L153" s="43">
        <v>122386.31999999999</v>
      </c>
      <c r="M153" s="43">
        <v>45940.439999999995</v>
      </c>
      <c r="N153" s="43">
        <v>76445.88</v>
      </c>
      <c r="O153" s="44">
        <v>0.624627654463342</v>
      </c>
    </row>
    <row r="154" ht="22.5" customHeight="1">
      <c r="B154" s="41" t="s">
        <v>182</v>
      </c>
      <c r="C154" s="41" t="s">
        <v>20</v>
      </c>
      <c r="D154" s="41" t="s">
        <v>15</v>
      </c>
      <c r="E154" s="41" t="s">
        <v>30</v>
      </c>
      <c r="F154" s="41" t="s">
        <v>17</v>
      </c>
      <c r="G154" s="41" t="s">
        <v>23</v>
      </c>
      <c r="H154" s="42">
        <v>45076.0</v>
      </c>
      <c r="I154" s="41">
        <v>213.0</v>
      </c>
      <c r="J154" s="43">
        <v>432.98</v>
      </c>
      <c r="K154" s="43">
        <v>185.85</v>
      </c>
      <c r="L154" s="43">
        <v>92224.74</v>
      </c>
      <c r="M154" s="43">
        <v>39586.049999999996</v>
      </c>
      <c r="N154" s="43">
        <v>52638.69000000001</v>
      </c>
      <c r="O154" s="44">
        <v>0.5707653933207077</v>
      </c>
    </row>
    <row r="155" ht="22.5" customHeight="1">
      <c r="B155" s="41" t="s">
        <v>183</v>
      </c>
      <c r="C155" s="41" t="s">
        <v>14</v>
      </c>
      <c r="D155" s="41" t="s">
        <v>34</v>
      </c>
      <c r="E155" s="41" t="s">
        <v>30</v>
      </c>
      <c r="F155" s="41" t="s">
        <v>27</v>
      </c>
      <c r="G155" s="41" t="s">
        <v>18</v>
      </c>
      <c r="H155" s="42">
        <v>45077.0</v>
      </c>
      <c r="I155" s="41">
        <v>173.0</v>
      </c>
      <c r="J155" s="43">
        <v>385.42</v>
      </c>
      <c r="K155" s="43">
        <v>396.65</v>
      </c>
      <c r="L155" s="43">
        <v>66677.66</v>
      </c>
      <c r="M155" s="43">
        <v>68620.45</v>
      </c>
      <c r="N155" s="43">
        <v>-1942.7899999999936</v>
      </c>
      <c r="O155" s="44">
        <v>-0.02913704530122973</v>
      </c>
    </row>
    <row r="156" ht="22.5" customHeight="1">
      <c r="B156" s="41" t="s">
        <v>184</v>
      </c>
      <c r="C156" s="41" t="s">
        <v>14</v>
      </c>
      <c r="D156" s="41" t="s">
        <v>15</v>
      </c>
      <c r="E156" s="41" t="s">
        <v>30</v>
      </c>
      <c r="F156" s="41" t="s">
        <v>17</v>
      </c>
      <c r="G156" s="41" t="s">
        <v>18</v>
      </c>
      <c r="H156" s="42">
        <v>45078.0</v>
      </c>
      <c r="I156" s="41">
        <v>260.0</v>
      </c>
      <c r="J156" s="43">
        <v>60.99</v>
      </c>
      <c r="K156" s="43">
        <v>388.36</v>
      </c>
      <c r="L156" s="43">
        <v>15857.4</v>
      </c>
      <c r="M156" s="43">
        <v>100973.6</v>
      </c>
      <c r="N156" s="43">
        <v>-85116.20000000001</v>
      </c>
      <c r="O156" s="44">
        <v>-5.36760124610592</v>
      </c>
    </row>
    <row r="157" ht="22.5" customHeight="1">
      <c r="B157" s="41" t="s">
        <v>185</v>
      </c>
      <c r="C157" s="41" t="s">
        <v>25</v>
      </c>
      <c r="D157" s="41" t="s">
        <v>54</v>
      </c>
      <c r="E157" s="41" t="s">
        <v>30</v>
      </c>
      <c r="F157" s="41" t="s">
        <v>27</v>
      </c>
      <c r="G157" s="41" t="s">
        <v>18</v>
      </c>
      <c r="H157" s="42">
        <v>45079.0</v>
      </c>
      <c r="I157" s="41">
        <v>236.0</v>
      </c>
      <c r="J157" s="43">
        <v>398.78</v>
      </c>
      <c r="K157" s="43">
        <v>377.04</v>
      </c>
      <c r="L157" s="43">
        <v>94112.07999999999</v>
      </c>
      <c r="M157" s="43">
        <v>88981.44</v>
      </c>
      <c r="N157" s="43">
        <v>5130.639999999985</v>
      </c>
      <c r="O157" s="44">
        <v>0.05451627463764466</v>
      </c>
    </row>
    <row r="158" ht="22.5" customHeight="1">
      <c r="B158" s="41" t="s">
        <v>186</v>
      </c>
      <c r="C158" s="41" t="s">
        <v>14</v>
      </c>
      <c r="D158" s="41" t="s">
        <v>29</v>
      </c>
      <c r="E158" s="41" t="s">
        <v>26</v>
      </c>
      <c r="F158" s="41" t="s">
        <v>17</v>
      </c>
      <c r="G158" s="41" t="s">
        <v>31</v>
      </c>
      <c r="H158" s="42">
        <v>45080.0</v>
      </c>
      <c r="I158" s="41">
        <v>445.0</v>
      </c>
      <c r="J158" s="43">
        <v>459.75</v>
      </c>
      <c r="K158" s="43">
        <v>313.97</v>
      </c>
      <c r="L158" s="43">
        <v>204588.75</v>
      </c>
      <c r="M158" s="43">
        <v>139716.65000000002</v>
      </c>
      <c r="N158" s="43">
        <v>64872.09999999998</v>
      </c>
      <c r="O158" s="44">
        <v>0.3170853724850461</v>
      </c>
    </row>
    <row r="159" ht="22.5" customHeight="1">
      <c r="B159" s="41" t="s">
        <v>187</v>
      </c>
      <c r="C159" s="41" t="s">
        <v>25</v>
      </c>
      <c r="D159" s="41" t="s">
        <v>15</v>
      </c>
      <c r="E159" s="41" t="s">
        <v>26</v>
      </c>
      <c r="F159" s="41" t="s">
        <v>27</v>
      </c>
      <c r="G159" s="41" t="s">
        <v>18</v>
      </c>
      <c r="H159" s="42">
        <v>45081.0</v>
      </c>
      <c r="I159" s="41">
        <v>390.0</v>
      </c>
      <c r="J159" s="43">
        <v>302.3</v>
      </c>
      <c r="K159" s="43">
        <v>143.23</v>
      </c>
      <c r="L159" s="43">
        <v>117897.0</v>
      </c>
      <c r="M159" s="43">
        <v>55859.7</v>
      </c>
      <c r="N159" s="43">
        <v>62037.3</v>
      </c>
      <c r="O159" s="44">
        <v>0.5261991399272247</v>
      </c>
    </row>
    <row r="160" ht="22.5" customHeight="1">
      <c r="B160" s="41" t="s">
        <v>188</v>
      </c>
      <c r="C160" s="41" t="s">
        <v>52</v>
      </c>
      <c r="D160" s="41" t="s">
        <v>29</v>
      </c>
      <c r="E160" s="41" t="s">
        <v>30</v>
      </c>
      <c r="F160" s="41" t="s">
        <v>17</v>
      </c>
      <c r="G160" s="41" t="s">
        <v>23</v>
      </c>
      <c r="H160" s="42">
        <v>45082.0</v>
      </c>
      <c r="I160" s="41">
        <v>469.0</v>
      </c>
      <c r="J160" s="43">
        <v>470.73</v>
      </c>
      <c r="K160" s="43">
        <v>166.03</v>
      </c>
      <c r="L160" s="43">
        <v>220772.37</v>
      </c>
      <c r="M160" s="43">
        <v>77868.07</v>
      </c>
      <c r="N160" s="43">
        <v>142904.3</v>
      </c>
      <c r="O160" s="44">
        <v>0.647292503133431</v>
      </c>
    </row>
    <row r="161" ht="22.5" hidden="1" customHeight="1">
      <c r="B161" s="41" t="s">
        <v>189</v>
      </c>
      <c r="C161" s="41" t="s">
        <v>14</v>
      </c>
      <c r="D161" s="41" t="s">
        <v>34</v>
      </c>
      <c r="E161" s="41" t="s">
        <v>22</v>
      </c>
      <c r="F161" s="41" t="s">
        <v>17</v>
      </c>
      <c r="G161" s="41" t="s">
        <v>18</v>
      </c>
      <c r="H161" s="42">
        <v>45083.0</v>
      </c>
      <c r="I161" s="41">
        <v>16.0</v>
      </c>
      <c r="J161" s="43">
        <v>249.64520588235297</v>
      </c>
      <c r="K161" s="43">
        <v>220.75</v>
      </c>
      <c r="L161" s="43">
        <v>3994.3232941176475</v>
      </c>
      <c r="M161" s="43">
        <v>3532.0</v>
      </c>
      <c r="N161" s="43">
        <v>462.3232941176475</v>
      </c>
      <c r="O161" s="44">
        <v>0.11574508623237906</v>
      </c>
    </row>
    <row r="162" ht="22.5" customHeight="1">
      <c r="B162" s="41" t="s">
        <v>190</v>
      </c>
      <c r="C162" s="41" t="s">
        <v>52</v>
      </c>
      <c r="D162" s="41" t="s">
        <v>21</v>
      </c>
      <c r="E162" s="41" t="s">
        <v>46</v>
      </c>
      <c r="F162" s="41" t="s">
        <v>27</v>
      </c>
      <c r="G162" s="41" t="s">
        <v>23</v>
      </c>
      <c r="H162" s="42">
        <v>45084.0</v>
      </c>
      <c r="I162" s="41">
        <v>38.0</v>
      </c>
      <c r="J162" s="43">
        <v>335.15</v>
      </c>
      <c r="K162" s="43">
        <v>332.55</v>
      </c>
      <c r="L162" s="43">
        <v>12735.699999999999</v>
      </c>
      <c r="M162" s="43">
        <v>12636.9</v>
      </c>
      <c r="N162" s="43">
        <v>98.79999999999927</v>
      </c>
      <c r="O162" s="44">
        <v>0.007757720423690828</v>
      </c>
    </row>
    <row r="163" ht="22.5" customHeight="1">
      <c r="B163" s="41" t="s">
        <v>191</v>
      </c>
      <c r="C163" s="41" t="s">
        <v>25</v>
      </c>
      <c r="D163" s="41" t="s">
        <v>34</v>
      </c>
      <c r="E163" s="41" t="s">
        <v>39</v>
      </c>
      <c r="F163" s="41" t="s">
        <v>27</v>
      </c>
      <c r="G163" s="41" t="s">
        <v>31</v>
      </c>
      <c r="H163" s="42">
        <v>45085.0</v>
      </c>
      <c r="I163" s="41">
        <v>404.0</v>
      </c>
      <c r="J163" s="43">
        <v>290.71</v>
      </c>
      <c r="K163" s="43">
        <v>29.35</v>
      </c>
      <c r="L163" s="43">
        <v>117446.84</v>
      </c>
      <c r="M163" s="43">
        <v>11857.400000000001</v>
      </c>
      <c r="N163" s="43">
        <v>105589.44</v>
      </c>
      <c r="O163" s="44">
        <v>0.8990402806920987</v>
      </c>
    </row>
    <row r="164" ht="22.5" customHeight="1">
      <c r="B164" s="41" t="s">
        <v>192</v>
      </c>
      <c r="C164" s="41" t="s">
        <v>20</v>
      </c>
      <c r="D164" s="41" t="s">
        <v>15</v>
      </c>
      <c r="E164" s="41" t="s">
        <v>22</v>
      </c>
      <c r="F164" s="41" t="s">
        <v>17</v>
      </c>
      <c r="G164" s="41" t="s">
        <v>23</v>
      </c>
      <c r="H164" s="42">
        <v>45086.0</v>
      </c>
      <c r="I164" s="41">
        <v>42.0</v>
      </c>
      <c r="J164" s="43">
        <v>177.54</v>
      </c>
      <c r="K164" s="43">
        <v>170.87</v>
      </c>
      <c r="L164" s="43">
        <v>7456.679999999999</v>
      </c>
      <c r="M164" s="43">
        <v>7176.54</v>
      </c>
      <c r="N164" s="43">
        <v>280.1399999999994</v>
      </c>
      <c r="O164" s="44">
        <v>0.037568998535541215</v>
      </c>
    </row>
    <row r="165" ht="22.5" customHeight="1">
      <c r="B165" s="41" t="s">
        <v>193</v>
      </c>
      <c r="C165" s="41" t="s">
        <v>14</v>
      </c>
      <c r="D165" s="41" t="s">
        <v>29</v>
      </c>
      <c r="E165" s="41" t="s">
        <v>30</v>
      </c>
      <c r="F165" s="41" t="s">
        <v>27</v>
      </c>
      <c r="G165" s="41" t="s">
        <v>23</v>
      </c>
      <c r="H165" s="42">
        <v>45087.0</v>
      </c>
      <c r="I165" s="41">
        <v>143.0</v>
      </c>
      <c r="J165" s="43">
        <v>83.85</v>
      </c>
      <c r="K165" s="43">
        <v>34.88</v>
      </c>
      <c r="L165" s="43">
        <v>11990.55</v>
      </c>
      <c r="M165" s="43">
        <v>4987.84</v>
      </c>
      <c r="N165" s="43">
        <v>7002.709999999999</v>
      </c>
      <c r="O165" s="44">
        <v>0.5840190816935003</v>
      </c>
    </row>
    <row r="166" ht="22.5" customHeight="1">
      <c r="B166" s="41" t="s">
        <v>194</v>
      </c>
      <c r="C166" s="41" t="s">
        <v>25</v>
      </c>
      <c r="D166" s="41" t="s">
        <v>29</v>
      </c>
      <c r="E166" s="41" t="s">
        <v>26</v>
      </c>
      <c r="F166" s="41" t="s">
        <v>17</v>
      </c>
      <c r="G166" s="41" t="s">
        <v>18</v>
      </c>
      <c r="H166" s="42">
        <v>45088.0</v>
      </c>
      <c r="I166" s="41">
        <v>376.0</v>
      </c>
      <c r="J166" s="43">
        <v>304.45</v>
      </c>
      <c r="K166" s="43">
        <v>206.83</v>
      </c>
      <c r="L166" s="43">
        <v>114473.2</v>
      </c>
      <c r="M166" s="43">
        <v>77768.08</v>
      </c>
      <c r="N166" s="43">
        <v>36705.119999999995</v>
      </c>
      <c r="O166" s="44">
        <v>0.32064378387255704</v>
      </c>
    </row>
    <row r="167" ht="22.5" customHeight="1">
      <c r="B167" s="41" t="s">
        <v>195</v>
      </c>
      <c r="C167" s="41" t="s">
        <v>20</v>
      </c>
      <c r="D167" s="41" t="s">
        <v>54</v>
      </c>
      <c r="E167" s="41" t="s">
        <v>46</v>
      </c>
      <c r="F167" s="41" t="s">
        <v>17</v>
      </c>
      <c r="G167" s="41" t="s">
        <v>18</v>
      </c>
      <c r="H167" s="42">
        <v>45089.0</v>
      </c>
      <c r="I167" s="41">
        <v>88.0</v>
      </c>
      <c r="J167" s="43">
        <v>162.47</v>
      </c>
      <c r="K167" s="43">
        <v>359.76</v>
      </c>
      <c r="L167" s="43">
        <v>14297.36</v>
      </c>
      <c r="M167" s="43">
        <v>31658.879999999997</v>
      </c>
      <c r="N167" s="43">
        <v>-17361.519999999997</v>
      </c>
      <c r="O167" s="44">
        <v>-1.2143164891980056</v>
      </c>
    </row>
    <row r="168" ht="22.5" customHeight="1">
      <c r="B168" s="41" t="s">
        <v>196</v>
      </c>
      <c r="C168" s="41" t="s">
        <v>20</v>
      </c>
      <c r="D168" s="41" t="s">
        <v>29</v>
      </c>
      <c r="E168" s="41" t="s">
        <v>16</v>
      </c>
      <c r="F168" s="41" t="s">
        <v>17</v>
      </c>
      <c r="G168" s="41" t="s">
        <v>23</v>
      </c>
      <c r="H168" s="42">
        <v>45090.0</v>
      </c>
      <c r="I168" s="41">
        <v>425.0</v>
      </c>
      <c r="J168" s="43">
        <v>433.89</v>
      </c>
      <c r="K168" s="43">
        <v>313.43</v>
      </c>
      <c r="L168" s="43">
        <v>184403.25</v>
      </c>
      <c r="M168" s="43">
        <v>133207.75</v>
      </c>
      <c r="N168" s="43">
        <v>51195.5</v>
      </c>
      <c r="O168" s="44">
        <v>0.27762797022286756</v>
      </c>
    </row>
    <row r="169" ht="22.5" customHeight="1">
      <c r="B169" s="41" t="s">
        <v>197</v>
      </c>
      <c r="C169" s="41" t="s">
        <v>52</v>
      </c>
      <c r="D169" s="41" t="s">
        <v>54</v>
      </c>
      <c r="E169" s="41" t="s">
        <v>16</v>
      </c>
      <c r="F169" s="41" t="s">
        <v>27</v>
      </c>
      <c r="G169" s="41" t="s">
        <v>18</v>
      </c>
      <c r="H169" s="42">
        <v>45091.0</v>
      </c>
      <c r="I169" s="41">
        <v>444.0</v>
      </c>
      <c r="J169" s="43">
        <v>496.7</v>
      </c>
      <c r="K169" s="43">
        <v>92.68</v>
      </c>
      <c r="L169" s="43">
        <v>220534.8</v>
      </c>
      <c r="M169" s="43">
        <v>41149.920000000006</v>
      </c>
      <c r="N169" s="43">
        <v>179384.87999999998</v>
      </c>
      <c r="O169" s="44">
        <v>0.8134084960740889</v>
      </c>
    </row>
    <row r="170" ht="22.5" customHeight="1">
      <c r="B170" s="41" t="s">
        <v>198</v>
      </c>
      <c r="C170" s="41" t="s">
        <v>25</v>
      </c>
      <c r="D170" s="41" t="s">
        <v>21</v>
      </c>
      <c r="E170" s="41" t="s">
        <v>22</v>
      </c>
      <c r="F170" s="41" t="s">
        <v>17</v>
      </c>
      <c r="G170" s="41" t="s">
        <v>31</v>
      </c>
      <c r="H170" s="42">
        <v>45092.0</v>
      </c>
      <c r="I170" s="41">
        <v>468.0</v>
      </c>
      <c r="J170" s="43">
        <v>377.45</v>
      </c>
      <c r="K170" s="43">
        <v>390.44</v>
      </c>
      <c r="L170" s="43">
        <v>176646.6</v>
      </c>
      <c r="M170" s="43">
        <v>182725.92</v>
      </c>
      <c r="N170" s="43">
        <v>-6079.320000000007</v>
      </c>
      <c r="O170" s="44">
        <v>-0.034415154325076205</v>
      </c>
    </row>
    <row r="171" ht="22.5" customHeight="1">
      <c r="B171" s="41" t="s">
        <v>199</v>
      </c>
      <c r="C171" s="41" t="s">
        <v>20</v>
      </c>
      <c r="D171" s="41" t="s">
        <v>15</v>
      </c>
      <c r="E171" s="41" t="s">
        <v>30</v>
      </c>
      <c r="F171" s="41" t="s">
        <v>17</v>
      </c>
      <c r="G171" s="41" t="s">
        <v>31</v>
      </c>
      <c r="H171" s="42">
        <v>45093.0</v>
      </c>
      <c r="I171" s="41">
        <v>67.0</v>
      </c>
      <c r="J171" s="43">
        <v>49.79</v>
      </c>
      <c r="K171" s="43">
        <v>267.61</v>
      </c>
      <c r="L171" s="43">
        <v>3335.93</v>
      </c>
      <c r="M171" s="43">
        <v>17929.870000000003</v>
      </c>
      <c r="N171" s="43">
        <v>-14593.940000000002</v>
      </c>
      <c r="O171" s="44">
        <v>-4.374774051014261</v>
      </c>
    </row>
    <row r="172" ht="22.5" customHeight="1">
      <c r="B172" s="41" t="s">
        <v>200</v>
      </c>
      <c r="C172" s="41" t="s">
        <v>14</v>
      </c>
      <c r="D172" s="41" t="s">
        <v>54</v>
      </c>
      <c r="E172" s="41" t="s">
        <v>46</v>
      </c>
      <c r="F172" s="41" t="s">
        <v>27</v>
      </c>
      <c r="G172" s="41" t="s">
        <v>18</v>
      </c>
      <c r="H172" s="42">
        <v>45094.0</v>
      </c>
      <c r="I172" s="41">
        <v>480.0</v>
      </c>
      <c r="J172" s="43">
        <v>147.9</v>
      </c>
      <c r="K172" s="43">
        <v>6.15</v>
      </c>
      <c r="L172" s="43">
        <v>70992.0</v>
      </c>
      <c r="M172" s="43">
        <v>2952.0</v>
      </c>
      <c r="N172" s="43">
        <v>68040.0</v>
      </c>
      <c r="O172" s="44">
        <v>0.9584178498985801</v>
      </c>
    </row>
    <row r="173" ht="22.5" customHeight="1">
      <c r="B173" s="41" t="s">
        <v>201</v>
      </c>
      <c r="C173" s="41" t="s">
        <v>14</v>
      </c>
      <c r="D173" s="41" t="s">
        <v>21</v>
      </c>
      <c r="E173" s="41" t="s">
        <v>30</v>
      </c>
      <c r="F173" s="41" t="s">
        <v>27</v>
      </c>
      <c r="G173" s="41" t="s">
        <v>31</v>
      </c>
      <c r="H173" s="42">
        <v>45095.0</v>
      </c>
      <c r="I173" s="41">
        <v>35.0</v>
      </c>
      <c r="J173" s="43">
        <v>59.01</v>
      </c>
      <c r="K173" s="43">
        <v>103.65</v>
      </c>
      <c r="L173" s="43">
        <v>2065.35</v>
      </c>
      <c r="M173" s="43">
        <v>3627.75</v>
      </c>
      <c r="N173" s="43">
        <v>-1562.4</v>
      </c>
      <c r="O173" s="44">
        <v>-0.7564819522114896</v>
      </c>
    </row>
    <row r="174" ht="22.5" customHeight="1">
      <c r="B174" s="41" t="s">
        <v>202</v>
      </c>
      <c r="C174" s="41" t="s">
        <v>52</v>
      </c>
      <c r="D174" s="41" t="s">
        <v>29</v>
      </c>
      <c r="E174" s="41" t="s">
        <v>46</v>
      </c>
      <c r="F174" s="41" t="s">
        <v>27</v>
      </c>
      <c r="G174" s="41" t="s">
        <v>18</v>
      </c>
      <c r="H174" s="42">
        <v>45096.0</v>
      </c>
      <c r="I174" s="41">
        <v>491.0</v>
      </c>
      <c r="J174" s="43">
        <v>327.0</v>
      </c>
      <c r="K174" s="43">
        <v>105.76</v>
      </c>
      <c r="L174" s="43">
        <v>160557.0</v>
      </c>
      <c r="M174" s="43">
        <v>51928.16</v>
      </c>
      <c r="N174" s="43">
        <v>108628.84</v>
      </c>
      <c r="O174" s="44">
        <v>0.6765749235474006</v>
      </c>
    </row>
    <row r="175" ht="22.5" customHeight="1">
      <c r="B175" s="41" t="s">
        <v>203</v>
      </c>
      <c r="C175" s="41" t="s">
        <v>20</v>
      </c>
      <c r="D175" s="41" t="s">
        <v>29</v>
      </c>
      <c r="E175" s="41" t="s">
        <v>22</v>
      </c>
      <c r="F175" s="41" t="s">
        <v>27</v>
      </c>
      <c r="G175" s="41" t="s">
        <v>23</v>
      </c>
      <c r="H175" s="42">
        <v>45097.0</v>
      </c>
      <c r="I175" s="41">
        <v>439.0</v>
      </c>
      <c r="J175" s="43">
        <v>383.77</v>
      </c>
      <c r="K175" s="43">
        <v>29.56</v>
      </c>
      <c r="L175" s="43">
        <v>168475.03</v>
      </c>
      <c r="M175" s="43">
        <v>12976.84</v>
      </c>
      <c r="N175" s="43">
        <v>155498.19</v>
      </c>
      <c r="O175" s="44">
        <v>0.9229746983870548</v>
      </c>
    </row>
    <row r="176" ht="22.5" customHeight="1">
      <c r="B176" s="41" t="s">
        <v>204</v>
      </c>
      <c r="C176" s="41" t="s">
        <v>25</v>
      </c>
      <c r="D176" s="41" t="s">
        <v>21</v>
      </c>
      <c r="E176" s="41" t="s">
        <v>22</v>
      </c>
      <c r="F176" s="41" t="s">
        <v>17</v>
      </c>
      <c r="G176" s="41" t="s">
        <v>23</v>
      </c>
      <c r="H176" s="42">
        <v>45098.0</v>
      </c>
      <c r="I176" s="41">
        <v>235.0</v>
      </c>
      <c r="J176" s="43">
        <v>463.21</v>
      </c>
      <c r="K176" s="43">
        <v>384.01</v>
      </c>
      <c r="L176" s="43">
        <v>108854.34999999999</v>
      </c>
      <c r="M176" s="43">
        <v>90242.34999999999</v>
      </c>
      <c r="N176" s="43">
        <v>18612.0</v>
      </c>
      <c r="O176" s="44">
        <v>0.17098076466397533</v>
      </c>
    </row>
    <row r="177" ht="22.5" customHeight="1">
      <c r="B177" s="41" t="s">
        <v>205</v>
      </c>
      <c r="C177" s="41" t="s">
        <v>14</v>
      </c>
      <c r="D177" s="41" t="s">
        <v>29</v>
      </c>
      <c r="E177" s="41" t="s">
        <v>16</v>
      </c>
      <c r="F177" s="41" t="s">
        <v>17</v>
      </c>
      <c r="G177" s="41" t="s">
        <v>31</v>
      </c>
      <c r="H177" s="42">
        <v>45099.0</v>
      </c>
      <c r="I177" s="41">
        <v>294.0</v>
      </c>
      <c r="J177" s="43">
        <v>221.9</v>
      </c>
      <c r="K177" s="43">
        <v>192.35</v>
      </c>
      <c r="L177" s="43">
        <v>65238.6</v>
      </c>
      <c r="M177" s="43">
        <v>56550.9</v>
      </c>
      <c r="N177" s="43">
        <v>8687.699999999997</v>
      </c>
      <c r="O177" s="44">
        <v>0.13316809373591704</v>
      </c>
    </row>
    <row r="178" ht="22.5" customHeight="1">
      <c r="B178" s="41" t="s">
        <v>206</v>
      </c>
      <c r="C178" s="41" t="s">
        <v>20</v>
      </c>
      <c r="D178" s="41" t="s">
        <v>21</v>
      </c>
      <c r="E178" s="41" t="s">
        <v>30</v>
      </c>
      <c r="F178" s="41" t="s">
        <v>17</v>
      </c>
      <c r="G178" s="41" t="s">
        <v>18</v>
      </c>
      <c r="H178" s="42">
        <v>45100.0</v>
      </c>
      <c r="I178" s="41">
        <v>13.0</v>
      </c>
      <c r="J178" s="43">
        <v>451.18</v>
      </c>
      <c r="K178" s="43">
        <v>358.53</v>
      </c>
      <c r="L178" s="43">
        <v>5865.34</v>
      </c>
      <c r="M178" s="43">
        <v>4660.889999999999</v>
      </c>
      <c r="N178" s="43">
        <v>1204.4500000000007</v>
      </c>
      <c r="O178" s="44">
        <v>0.20535041446872657</v>
      </c>
    </row>
    <row r="179" ht="22.5" customHeight="1">
      <c r="B179" s="41" t="s">
        <v>207</v>
      </c>
      <c r="C179" s="41" t="s">
        <v>20</v>
      </c>
      <c r="D179" s="41" t="s">
        <v>54</v>
      </c>
      <c r="E179" s="41" t="s">
        <v>16</v>
      </c>
      <c r="F179" s="41" t="s">
        <v>17</v>
      </c>
      <c r="G179" s="41" t="s">
        <v>18</v>
      </c>
      <c r="H179" s="42">
        <v>45101.0</v>
      </c>
      <c r="I179" s="41">
        <v>474.0</v>
      </c>
      <c r="J179" s="43">
        <v>439.56</v>
      </c>
      <c r="K179" s="43">
        <v>130.24</v>
      </c>
      <c r="L179" s="43">
        <v>208351.44</v>
      </c>
      <c r="M179" s="43">
        <v>61733.76</v>
      </c>
      <c r="N179" s="43">
        <v>146617.68</v>
      </c>
      <c r="O179" s="44">
        <v>0.7037037037037036</v>
      </c>
    </row>
    <row r="180" ht="22.5" customHeight="1">
      <c r="B180" s="41" t="s">
        <v>208</v>
      </c>
      <c r="C180" s="41" t="s">
        <v>52</v>
      </c>
      <c r="D180" s="41" t="s">
        <v>54</v>
      </c>
      <c r="E180" s="41" t="s">
        <v>30</v>
      </c>
      <c r="F180" s="41" t="s">
        <v>27</v>
      </c>
      <c r="G180" s="41" t="s">
        <v>31</v>
      </c>
      <c r="H180" s="42">
        <v>45102.0</v>
      </c>
      <c r="I180" s="41">
        <v>108.0</v>
      </c>
      <c r="J180" s="43">
        <v>162.01</v>
      </c>
      <c r="K180" s="43">
        <v>51.84</v>
      </c>
      <c r="L180" s="43">
        <v>17497.079999999998</v>
      </c>
      <c r="M180" s="43">
        <v>5598.72</v>
      </c>
      <c r="N180" s="43">
        <v>11898.359999999997</v>
      </c>
      <c r="O180" s="44">
        <v>0.6800197518671686</v>
      </c>
    </row>
    <row r="181" ht="22.5" customHeight="1">
      <c r="B181" s="41" t="s">
        <v>209</v>
      </c>
      <c r="C181" s="41" t="s">
        <v>14</v>
      </c>
      <c r="D181" s="41" t="s">
        <v>21</v>
      </c>
      <c r="E181" s="41" t="s">
        <v>16</v>
      </c>
      <c r="F181" s="41" t="s">
        <v>17</v>
      </c>
      <c r="G181" s="41" t="s">
        <v>23</v>
      </c>
      <c r="H181" s="42">
        <v>45103.0</v>
      </c>
      <c r="I181" s="41">
        <v>406.0</v>
      </c>
      <c r="J181" s="43">
        <v>435.11</v>
      </c>
      <c r="K181" s="43">
        <v>190.79</v>
      </c>
      <c r="L181" s="43">
        <v>176654.66</v>
      </c>
      <c r="M181" s="43">
        <v>77460.73999999999</v>
      </c>
      <c r="N181" s="43">
        <v>99193.92000000001</v>
      </c>
      <c r="O181" s="44">
        <v>0.5615131805750271</v>
      </c>
    </row>
    <row r="182" ht="22.5" customHeight="1">
      <c r="B182" s="41" t="s">
        <v>210</v>
      </c>
      <c r="C182" s="41" t="s">
        <v>14</v>
      </c>
      <c r="D182" s="41" t="s">
        <v>54</v>
      </c>
      <c r="E182" s="41" t="s">
        <v>26</v>
      </c>
      <c r="F182" s="41" t="s">
        <v>17</v>
      </c>
      <c r="G182" s="41" t="s">
        <v>31</v>
      </c>
      <c r="H182" s="42">
        <v>45104.0</v>
      </c>
      <c r="I182" s="41">
        <v>498.0</v>
      </c>
      <c r="J182" s="43">
        <v>190.96</v>
      </c>
      <c r="K182" s="43">
        <v>47.35</v>
      </c>
      <c r="L182" s="43">
        <v>95098.08</v>
      </c>
      <c r="M182" s="43">
        <v>23580.3</v>
      </c>
      <c r="N182" s="43">
        <v>71517.78</v>
      </c>
      <c r="O182" s="44">
        <v>0.7520423125261835</v>
      </c>
    </row>
    <row r="183" ht="22.5" customHeight="1">
      <c r="B183" s="41" t="s">
        <v>211</v>
      </c>
      <c r="C183" s="41" t="s">
        <v>25</v>
      </c>
      <c r="D183" s="41" t="s">
        <v>54</v>
      </c>
      <c r="E183" s="41" t="s">
        <v>26</v>
      </c>
      <c r="F183" s="41" t="s">
        <v>27</v>
      </c>
      <c r="G183" s="41" t="s">
        <v>23</v>
      </c>
      <c r="H183" s="42">
        <v>45105.0</v>
      </c>
      <c r="I183" s="41">
        <v>48.0</v>
      </c>
      <c r="J183" s="43">
        <v>151.95</v>
      </c>
      <c r="K183" s="43">
        <v>195.43</v>
      </c>
      <c r="L183" s="43">
        <v>7293.599999999999</v>
      </c>
      <c r="M183" s="43">
        <v>9380.64</v>
      </c>
      <c r="N183" s="43">
        <v>-2087.04</v>
      </c>
      <c r="O183" s="44">
        <v>-0.2861467588022376</v>
      </c>
    </row>
    <row r="184" ht="22.5" customHeight="1">
      <c r="B184" s="41" t="s">
        <v>212</v>
      </c>
      <c r="C184" s="41" t="s">
        <v>14</v>
      </c>
      <c r="D184" s="41" t="s">
        <v>54</v>
      </c>
      <c r="E184" s="41" t="s">
        <v>26</v>
      </c>
      <c r="F184" s="41" t="s">
        <v>17</v>
      </c>
      <c r="G184" s="41" t="s">
        <v>18</v>
      </c>
      <c r="H184" s="42">
        <v>45106.0</v>
      </c>
      <c r="I184" s="41">
        <v>280.0</v>
      </c>
      <c r="J184" s="43">
        <v>326.29</v>
      </c>
      <c r="K184" s="43">
        <v>368.28</v>
      </c>
      <c r="L184" s="43">
        <v>91361.20000000001</v>
      </c>
      <c r="M184" s="43">
        <v>103118.4</v>
      </c>
      <c r="N184" s="43">
        <v>-11757.199999999983</v>
      </c>
      <c r="O184" s="44">
        <v>-0.12868920285635457</v>
      </c>
    </row>
    <row r="185" ht="22.5" customHeight="1">
      <c r="B185" s="41" t="s">
        <v>213</v>
      </c>
      <c r="C185" s="41" t="s">
        <v>25</v>
      </c>
      <c r="D185" s="41" t="s">
        <v>34</v>
      </c>
      <c r="E185" s="41" t="s">
        <v>26</v>
      </c>
      <c r="F185" s="41" t="s">
        <v>17</v>
      </c>
      <c r="G185" s="41" t="s">
        <v>23</v>
      </c>
      <c r="H185" s="42">
        <v>45107.0</v>
      </c>
      <c r="I185" s="41">
        <v>384.0</v>
      </c>
      <c r="J185" s="43">
        <v>167.55</v>
      </c>
      <c r="K185" s="43">
        <v>209.27</v>
      </c>
      <c r="L185" s="43">
        <v>64339.200000000004</v>
      </c>
      <c r="M185" s="43">
        <v>80359.68000000001</v>
      </c>
      <c r="N185" s="43">
        <v>-16020.480000000003</v>
      </c>
      <c r="O185" s="44">
        <v>-0.24900029841838262</v>
      </c>
    </row>
    <row r="186" ht="22.5" customHeight="1">
      <c r="B186" s="41" t="s">
        <v>214</v>
      </c>
      <c r="C186" s="41" t="s">
        <v>14</v>
      </c>
      <c r="D186" s="41" t="s">
        <v>15</v>
      </c>
      <c r="E186" s="41" t="s">
        <v>46</v>
      </c>
      <c r="F186" s="41" t="s">
        <v>17</v>
      </c>
      <c r="G186" s="41" t="s">
        <v>31</v>
      </c>
      <c r="H186" s="42">
        <v>45108.0</v>
      </c>
      <c r="I186" s="41">
        <v>294.0</v>
      </c>
      <c r="J186" s="43">
        <v>316.95</v>
      </c>
      <c r="K186" s="43">
        <v>247.37</v>
      </c>
      <c r="L186" s="43">
        <v>93183.3</v>
      </c>
      <c r="M186" s="43">
        <v>72726.78</v>
      </c>
      <c r="N186" s="43">
        <v>20456.520000000004</v>
      </c>
      <c r="O186" s="44">
        <v>0.21952989430509548</v>
      </c>
    </row>
    <row r="187" ht="22.5" customHeight="1">
      <c r="B187" s="41" t="s">
        <v>215</v>
      </c>
      <c r="C187" s="41" t="s">
        <v>52</v>
      </c>
      <c r="D187" s="41" t="s">
        <v>29</v>
      </c>
      <c r="E187" s="41" t="s">
        <v>26</v>
      </c>
      <c r="F187" s="41" t="s">
        <v>17</v>
      </c>
      <c r="G187" s="41" t="s">
        <v>18</v>
      </c>
      <c r="H187" s="42">
        <v>45109.0</v>
      </c>
      <c r="I187" s="41">
        <v>166.0</v>
      </c>
      <c r="J187" s="43">
        <v>306.87</v>
      </c>
      <c r="K187" s="43">
        <v>64.34</v>
      </c>
      <c r="L187" s="43">
        <v>50940.42</v>
      </c>
      <c r="M187" s="43">
        <v>10680.44</v>
      </c>
      <c r="N187" s="43">
        <v>40259.979999999996</v>
      </c>
      <c r="O187" s="44">
        <v>0.7903346694039821</v>
      </c>
    </row>
    <row r="188" ht="22.5" customHeight="1">
      <c r="B188" s="41" t="s">
        <v>216</v>
      </c>
      <c r="C188" s="41" t="s">
        <v>14</v>
      </c>
      <c r="D188" s="41" t="s">
        <v>34</v>
      </c>
      <c r="E188" s="41" t="s">
        <v>22</v>
      </c>
      <c r="F188" s="41" t="s">
        <v>17</v>
      </c>
      <c r="G188" s="41" t="s">
        <v>31</v>
      </c>
      <c r="H188" s="42">
        <v>45110.0</v>
      </c>
      <c r="I188" s="41">
        <v>84.0</v>
      </c>
      <c r="J188" s="43">
        <v>283.9</v>
      </c>
      <c r="K188" s="43">
        <v>19.41</v>
      </c>
      <c r="L188" s="43">
        <v>23847.6</v>
      </c>
      <c r="M188" s="43">
        <v>1630.44</v>
      </c>
      <c r="N188" s="43">
        <v>22217.16</v>
      </c>
      <c r="O188" s="44">
        <v>0.9316308559351885</v>
      </c>
    </row>
    <row r="189" ht="22.5" customHeight="1">
      <c r="B189" s="41" t="s">
        <v>217</v>
      </c>
      <c r="C189" s="41" t="s">
        <v>25</v>
      </c>
      <c r="D189" s="41" t="s">
        <v>54</v>
      </c>
      <c r="E189" s="41" t="s">
        <v>22</v>
      </c>
      <c r="F189" s="41" t="s">
        <v>17</v>
      </c>
      <c r="G189" s="41" t="s">
        <v>31</v>
      </c>
      <c r="H189" s="42">
        <v>45111.0</v>
      </c>
      <c r="I189" s="41">
        <v>381.0</v>
      </c>
      <c r="J189" s="43">
        <v>193.31</v>
      </c>
      <c r="K189" s="43">
        <v>46.1</v>
      </c>
      <c r="L189" s="43">
        <v>73651.11</v>
      </c>
      <c r="M189" s="43">
        <v>17564.100000000002</v>
      </c>
      <c r="N189" s="43">
        <v>56087.009999999995</v>
      </c>
      <c r="O189" s="44">
        <v>0.7615229424240856</v>
      </c>
    </row>
    <row r="190" ht="22.5" customHeight="1">
      <c r="B190" s="41" t="s">
        <v>218</v>
      </c>
      <c r="C190" s="41" t="s">
        <v>25</v>
      </c>
      <c r="D190" s="41" t="s">
        <v>21</v>
      </c>
      <c r="E190" s="41" t="s">
        <v>46</v>
      </c>
      <c r="F190" s="41" t="s">
        <v>27</v>
      </c>
      <c r="G190" s="41" t="s">
        <v>23</v>
      </c>
      <c r="H190" s="42">
        <v>45112.0</v>
      </c>
      <c r="I190" s="41">
        <v>297.0</v>
      </c>
      <c r="J190" s="43">
        <v>276.51</v>
      </c>
      <c r="K190" s="43">
        <v>240.22</v>
      </c>
      <c r="L190" s="43">
        <v>82123.47</v>
      </c>
      <c r="M190" s="43">
        <v>71345.34</v>
      </c>
      <c r="N190" s="43">
        <v>10778.130000000005</v>
      </c>
      <c r="O190" s="44">
        <v>0.131242993020144</v>
      </c>
    </row>
    <row r="191" ht="22.5" customHeight="1">
      <c r="B191" s="41" t="s">
        <v>219</v>
      </c>
      <c r="C191" s="41" t="s">
        <v>52</v>
      </c>
      <c r="D191" s="41" t="s">
        <v>54</v>
      </c>
      <c r="E191" s="41" t="s">
        <v>26</v>
      </c>
      <c r="F191" s="41" t="s">
        <v>27</v>
      </c>
      <c r="G191" s="41" t="s">
        <v>31</v>
      </c>
      <c r="H191" s="42">
        <v>45113.0</v>
      </c>
      <c r="I191" s="41">
        <v>139.0</v>
      </c>
      <c r="J191" s="43">
        <v>300.26</v>
      </c>
      <c r="K191" s="43">
        <v>39.81</v>
      </c>
      <c r="L191" s="43">
        <v>41736.14</v>
      </c>
      <c r="M191" s="43">
        <v>5533.59</v>
      </c>
      <c r="N191" s="43">
        <v>36202.55</v>
      </c>
      <c r="O191" s="44">
        <v>0.8674149070805303</v>
      </c>
    </row>
    <row r="192" ht="22.5" customHeight="1">
      <c r="B192" s="41" t="s">
        <v>220</v>
      </c>
      <c r="C192" s="41" t="s">
        <v>14</v>
      </c>
      <c r="D192" s="41" t="s">
        <v>15</v>
      </c>
      <c r="E192" s="41" t="s">
        <v>26</v>
      </c>
      <c r="F192" s="41" t="s">
        <v>17</v>
      </c>
      <c r="G192" s="41" t="s">
        <v>23</v>
      </c>
      <c r="H192" s="42">
        <v>45114.0</v>
      </c>
      <c r="I192" s="41">
        <v>184.0</v>
      </c>
      <c r="J192" s="43">
        <v>275.12</v>
      </c>
      <c r="K192" s="43">
        <v>151.65</v>
      </c>
      <c r="L192" s="43">
        <v>50622.08</v>
      </c>
      <c r="M192" s="43">
        <v>27903.600000000002</v>
      </c>
      <c r="N192" s="43">
        <v>22718.48</v>
      </c>
      <c r="O192" s="44">
        <v>0.44878598429776095</v>
      </c>
    </row>
    <row r="193" ht="22.5" customHeight="1">
      <c r="B193" s="41" t="s">
        <v>221</v>
      </c>
      <c r="C193" s="41" t="s">
        <v>14</v>
      </c>
      <c r="D193" s="41" t="s">
        <v>54</v>
      </c>
      <c r="E193" s="41" t="s">
        <v>26</v>
      </c>
      <c r="F193" s="41" t="s">
        <v>17</v>
      </c>
      <c r="G193" s="41" t="s">
        <v>18</v>
      </c>
      <c r="H193" s="42">
        <v>45115.0</v>
      </c>
      <c r="I193" s="41">
        <v>471.0</v>
      </c>
      <c r="J193" s="43">
        <v>224.99</v>
      </c>
      <c r="K193" s="43">
        <v>220.94</v>
      </c>
      <c r="L193" s="43">
        <v>105970.29000000001</v>
      </c>
      <c r="M193" s="43">
        <v>104062.74</v>
      </c>
      <c r="N193" s="43">
        <v>1907.550000000003</v>
      </c>
      <c r="O193" s="44">
        <v>0.018000800035557162</v>
      </c>
    </row>
    <row r="194" ht="22.5" customHeight="1">
      <c r="B194" s="41" t="s">
        <v>222</v>
      </c>
      <c r="C194" s="41" t="s">
        <v>52</v>
      </c>
      <c r="D194" s="41" t="s">
        <v>21</v>
      </c>
      <c r="E194" s="41" t="s">
        <v>16</v>
      </c>
      <c r="F194" s="41" t="s">
        <v>27</v>
      </c>
      <c r="G194" s="41" t="s">
        <v>23</v>
      </c>
      <c r="H194" s="42">
        <v>45116.0</v>
      </c>
      <c r="I194" s="41">
        <v>93.0</v>
      </c>
      <c r="J194" s="43">
        <v>12.26</v>
      </c>
      <c r="K194" s="43">
        <v>156.68</v>
      </c>
      <c r="L194" s="43">
        <v>1140.18</v>
      </c>
      <c r="M194" s="43">
        <v>14571.24</v>
      </c>
      <c r="N194" s="43">
        <v>-13431.06</v>
      </c>
      <c r="O194" s="44">
        <v>-11.779771615008155</v>
      </c>
    </row>
    <row r="195" ht="22.5" customHeight="1">
      <c r="B195" s="41" t="s">
        <v>223</v>
      </c>
      <c r="C195" s="41" t="s">
        <v>14</v>
      </c>
      <c r="D195" s="41" t="s">
        <v>15</v>
      </c>
      <c r="E195" s="41" t="s">
        <v>30</v>
      </c>
      <c r="F195" s="41" t="s">
        <v>17</v>
      </c>
      <c r="G195" s="41" t="s">
        <v>18</v>
      </c>
      <c r="H195" s="42">
        <v>45117.0</v>
      </c>
      <c r="I195" s="41">
        <v>31.0</v>
      </c>
      <c r="J195" s="43">
        <v>295.6</v>
      </c>
      <c r="K195" s="43">
        <v>67.15</v>
      </c>
      <c r="L195" s="43">
        <v>9163.6</v>
      </c>
      <c r="M195" s="43">
        <v>2081.65</v>
      </c>
      <c r="N195" s="43">
        <v>7081.950000000001</v>
      </c>
      <c r="O195" s="44">
        <v>0.7728349120433018</v>
      </c>
    </row>
    <row r="196" ht="22.5" customHeight="1">
      <c r="B196" s="41" t="s">
        <v>224</v>
      </c>
      <c r="C196" s="41" t="s">
        <v>14</v>
      </c>
      <c r="D196" s="41" t="s">
        <v>54</v>
      </c>
      <c r="E196" s="41" t="s">
        <v>16</v>
      </c>
      <c r="F196" s="41" t="s">
        <v>17</v>
      </c>
      <c r="G196" s="41" t="s">
        <v>23</v>
      </c>
      <c r="H196" s="42">
        <v>45118.0</v>
      </c>
      <c r="I196" s="41">
        <v>468.0</v>
      </c>
      <c r="J196" s="43">
        <v>88.38</v>
      </c>
      <c r="K196" s="43">
        <v>110.97</v>
      </c>
      <c r="L196" s="43">
        <v>41361.84</v>
      </c>
      <c r="M196" s="43">
        <v>51933.96</v>
      </c>
      <c r="N196" s="43">
        <v>-10572.120000000003</v>
      </c>
      <c r="O196" s="44">
        <v>-0.2556008146639512</v>
      </c>
    </row>
    <row r="197" ht="22.5" customHeight="1">
      <c r="B197" s="41" t="s">
        <v>225</v>
      </c>
      <c r="C197" s="41" t="s">
        <v>25</v>
      </c>
      <c r="D197" s="41" t="s">
        <v>15</v>
      </c>
      <c r="E197" s="41" t="s">
        <v>30</v>
      </c>
      <c r="F197" s="41" t="s">
        <v>17</v>
      </c>
      <c r="G197" s="41" t="s">
        <v>31</v>
      </c>
      <c r="H197" s="42">
        <v>45119.0</v>
      </c>
      <c r="I197" s="41">
        <v>36.0</v>
      </c>
      <c r="J197" s="43">
        <v>323.08</v>
      </c>
      <c r="K197" s="43">
        <v>371.47</v>
      </c>
      <c r="L197" s="43">
        <v>11630.88</v>
      </c>
      <c r="M197" s="43">
        <v>13372.920000000002</v>
      </c>
      <c r="N197" s="43">
        <v>-1742.0400000000027</v>
      </c>
      <c r="O197" s="44">
        <v>-0.14977714497957187</v>
      </c>
    </row>
    <row r="198" ht="22.5" customHeight="1">
      <c r="B198" s="41" t="s">
        <v>226</v>
      </c>
      <c r="C198" s="41" t="s">
        <v>14</v>
      </c>
      <c r="D198" s="41" t="s">
        <v>29</v>
      </c>
      <c r="E198" s="41" t="s">
        <v>26</v>
      </c>
      <c r="F198" s="41" t="s">
        <v>27</v>
      </c>
      <c r="G198" s="41" t="s">
        <v>23</v>
      </c>
      <c r="H198" s="42">
        <v>45120.0</v>
      </c>
      <c r="I198" s="41">
        <v>204.0</v>
      </c>
      <c r="J198" s="43">
        <v>380.88</v>
      </c>
      <c r="K198" s="43">
        <v>271.04</v>
      </c>
      <c r="L198" s="43">
        <v>77699.52</v>
      </c>
      <c r="M198" s="43">
        <v>55292.16</v>
      </c>
      <c r="N198" s="43">
        <v>22407.36</v>
      </c>
      <c r="O198" s="44">
        <v>0.28838479311069104</v>
      </c>
    </row>
    <row r="199" ht="22.5" customHeight="1">
      <c r="B199" s="41" t="s">
        <v>227</v>
      </c>
      <c r="C199" s="41" t="s">
        <v>14</v>
      </c>
      <c r="D199" s="41" t="s">
        <v>29</v>
      </c>
      <c r="E199" s="41" t="s">
        <v>26</v>
      </c>
      <c r="F199" s="41" t="s">
        <v>17</v>
      </c>
      <c r="G199" s="41" t="s">
        <v>23</v>
      </c>
      <c r="H199" s="42">
        <v>45121.0</v>
      </c>
      <c r="I199" s="41">
        <v>346.0</v>
      </c>
      <c r="J199" s="43">
        <v>252.72</v>
      </c>
      <c r="K199" s="43">
        <v>199.43</v>
      </c>
      <c r="L199" s="43">
        <v>87441.12</v>
      </c>
      <c r="M199" s="43">
        <v>69002.78</v>
      </c>
      <c r="N199" s="43">
        <v>18438.339999999997</v>
      </c>
      <c r="O199" s="44">
        <v>0.21086578031022474</v>
      </c>
    </row>
    <row r="200" ht="22.5" customHeight="1">
      <c r="B200" s="41" t="s">
        <v>228</v>
      </c>
      <c r="C200" s="41" t="s">
        <v>52</v>
      </c>
      <c r="D200" s="41" t="s">
        <v>54</v>
      </c>
      <c r="E200" s="41" t="s">
        <v>16</v>
      </c>
      <c r="F200" s="41" t="s">
        <v>27</v>
      </c>
      <c r="G200" s="41" t="s">
        <v>18</v>
      </c>
      <c r="H200" s="42">
        <v>45122.0</v>
      </c>
      <c r="I200" s="41">
        <v>391.0</v>
      </c>
      <c r="J200" s="43">
        <v>273.47</v>
      </c>
      <c r="K200" s="43">
        <v>7.06</v>
      </c>
      <c r="L200" s="43">
        <v>106926.77</v>
      </c>
      <c r="M200" s="43">
        <v>2760.46</v>
      </c>
      <c r="N200" s="43">
        <v>104166.31</v>
      </c>
      <c r="O200" s="44">
        <v>0.9741836398873733</v>
      </c>
    </row>
    <row r="201" ht="22.5" customHeight="1">
      <c r="B201" s="41" t="s">
        <v>229</v>
      </c>
      <c r="C201" s="41" t="s">
        <v>52</v>
      </c>
      <c r="D201" s="41" t="s">
        <v>15</v>
      </c>
      <c r="E201" s="41" t="s">
        <v>16</v>
      </c>
      <c r="F201" s="41" t="s">
        <v>17</v>
      </c>
      <c r="G201" s="41" t="s">
        <v>31</v>
      </c>
      <c r="H201" s="42">
        <v>45123.0</v>
      </c>
      <c r="I201" s="41">
        <v>245.0</v>
      </c>
      <c r="J201" s="43">
        <v>475.98</v>
      </c>
      <c r="K201" s="43">
        <v>396.98</v>
      </c>
      <c r="L201" s="43">
        <v>116615.1</v>
      </c>
      <c r="M201" s="43">
        <v>97260.1</v>
      </c>
      <c r="N201" s="43">
        <v>19355.0</v>
      </c>
      <c r="O201" s="44">
        <v>0.16597336022521955</v>
      </c>
    </row>
    <row r="202" ht="22.5" customHeight="1">
      <c r="B202" s="41" t="s">
        <v>230</v>
      </c>
      <c r="C202" s="41" t="s">
        <v>20</v>
      </c>
      <c r="D202" s="41" t="s">
        <v>21</v>
      </c>
      <c r="E202" s="41" t="s">
        <v>30</v>
      </c>
      <c r="F202" s="41" t="s">
        <v>27</v>
      </c>
      <c r="G202" s="41" t="s">
        <v>23</v>
      </c>
      <c r="H202" s="42">
        <v>45124.0</v>
      </c>
      <c r="I202" s="41">
        <v>449.0</v>
      </c>
      <c r="J202" s="43">
        <v>424.35</v>
      </c>
      <c r="K202" s="43">
        <v>269.24</v>
      </c>
      <c r="L202" s="43">
        <v>190533.15000000002</v>
      </c>
      <c r="M202" s="43">
        <v>120888.76000000001</v>
      </c>
      <c r="N202" s="43">
        <v>69644.39000000001</v>
      </c>
      <c r="O202" s="44">
        <v>0.36552374219394373</v>
      </c>
    </row>
    <row r="203" ht="22.5" customHeight="1">
      <c r="B203" s="41" t="s">
        <v>231</v>
      </c>
      <c r="C203" s="41" t="s">
        <v>25</v>
      </c>
      <c r="D203" s="41" t="s">
        <v>54</v>
      </c>
      <c r="E203" s="41" t="s">
        <v>22</v>
      </c>
      <c r="F203" s="41" t="s">
        <v>27</v>
      </c>
      <c r="G203" s="41" t="s">
        <v>31</v>
      </c>
      <c r="H203" s="42">
        <v>45125.0</v>
      </c>
      <c r="I203" s="41">
        <v>101.0</v>
      </c>
      <c r="J203" s="43">
        <v>457.55</v>
      </c>
      <c r="K203" s="43">
        <v>128.14</v>
      </c>
      <c r="L203" s="43">
        <v>46212.55</v>
      </c>
      <c r="M203" s="43">
        <v>12942.14</v>
      </c>
      <c r="N203" s="43">
        <v>33270.41</v>
      </c>
      <c r="O203" s="44">
        <v>0.719943175609223</v>
      </c>
    </row>
    <row r="204" ht="22.5" hidden="1" customHeight="1">
      <c r="B204" s="41" t="s">
        <v>232</v>
      </c>
      <c r="C204" s="41" t="s">
        <v>14</v>
      </c>
      <c r="D204" s="41" t="s">
        <v>29</v>
      </c>
      <c r="E204" s="41" t="s">
        <v>30</v>
      </c>
      <c r="F204" s="41" t="s">
        <v>17</v>
      </c>
      <c r="G204" s="41" t="s">
        <v>23</v>
      </c>
      <c r="H204" s="42">
        <v>45126.0</v>
      </c>
      <c r="I204" s="41">
        <v>255.9029411764706</v>
      </c>
      <c r="J204" s="43">
        <v>407.81</v>
      </c>
      <c r="K204" s="43">
        <v>351.95</v>
      </c>
      <c r="L204" s="43">
        <v>104359.77844117647</v>
      </c>
      <c r="M204" s="43">
        <v>90065.04014705883</v>
      </c>
      <c r="N204" s="43">
        <v>14294.738294117647</v>
      </c>
      <c r="O204" s="44">
        <v>0.13697555234055075</v>
      </c>
    </row>
    <row r="205" ht="22.5" customHeight="1">
      <c r="B205" s="41" t="s">
        <v>233</v>
      </c>
      <c r="C205" s="41" t="s">
        <v>14</v>
      </c>
      <c r="D205" s="41" t="s">
        <v>29</v>
      </c>
      <c r="E205" s="41" t="s">
        <v>16</v>
      </c>
      <c r="F205" s="41" t="s">
        <v>27</v>
      </c>
      <c r="G205" s="41" t="s">
        <v>23</v>
      </c>
      <c r="H205" s="42">
        <v>45127.0</v>
      </c>
      <c r="I205" s="41">
        <v>30.0</v>
      </c>
      <c r="J205" s="43">
        <v>58.91</v>
      </c>
      <c r="K205" s="43">
        <v>104.86</v>
      </c>
      <c r="L205" s="43">
        <v>1767.3</v>
      </c>
      <c r="M205" s="43">
        <v>3145.8</v>
      </c>
      <c r="N205" s="43">
        <v>-1378.5000000000002</v>
      </c>
      <c r="O205" s="44">
        <v>-0.7800033950093365</v>
      </c>
    </row>
    <row r="206" ht="22.5" customHeight="1">
      <c r="B206" s="41" t="s">
        <v>234</v>
      </c>
      <c r="C206" s="41" t="s">
        <v>20</v>
      </c>
      <c r="D206" s="41" t="s">
        <v>54</v>
      </c>
      <c r="E206" s="41" t="s">
        <v>16</v>
      </c>
      <c r="F206" s="41" t="s">
        <v>17</v>
      </c>
      <c r="G206" s="41" t="s">
        <v>31</v>
      </c>
      <c r="H206" s="42">
        <v>45128.0</v>
      </c>
      <c r="I206" s="41">
        <v>312.0</v>
      </c>
      <c r="J206" s="43">
        <v>78.75</v>
      </c>
      <c r="K206" s="43">
        <v>218.52</v>
      </c>
      <c r="L206" s="43">
        <v>24570.0</v>
      </c>
      <c r="M206" s="43">
        <v>68178.24</v>
      </c>
      <c r="N206" s="43">
        <v>-43608.240000000005</v>
      </c>
      <c r="O206" s="44">
        <v>-1.7748571428571431</v>
      </c>
    </row>
    <row r="207" ht="22.5" customHeight="1">
      <c r="B207" s="41" t="s">
        <v>235</v>
      </c>
      <c r="C207" s="41" t="s">
        <v>14</v>
      </c>
      <c r="D207" s="41" t="s">
        <v>15</v>
      </c>
      <c r="E207" s="41" t="s">
        <v>46</v>
      </c>
      <c r="F207" s="41" t="s">
        <v>27</v>
      </c>
      <c r="G207" s="41" t="s">
        <v>23</v>
      </c>
      <c r="H207" s="42">
        <v>45129.0</v>
      </c>
      <c r="I207" s="41">
        <v>473.0</v>
      </c>
      <c r="J207" s="43">
        <v>265.68</v>
      </c>
      <c r="K207" s="43">
        <v>255.16</v>
      </c>
      <c r="L207" s="43">
        <v>125666.64</v>
      </c>
      <c r="M207" s="43">
        <v>120690.68</v>
      </c>
      <c r="N207" s="43">
        <v>4975.960000000006</v>
      </c>
      <c r="O207" s="44">
        <v>0.039596507076181925</v>
      </c>
    </row>
    <row r="208" ht="22.5" customHeight="1">
      <c r="B208" s="41" t="s">
        <v>236</v>
      </c>
      <c r="C208" s="41" t="s">
        <v>25</v>
      </c>
      <c r="D208" s="41" t="s">
        <v>29</v>
      </c>
      <c r="E208" s="41" t="s">
        <v>16</v>
      </c>
      <c r="F208" s="41" t="s">
        <v>17</v>
      </c>
      <c r="G208" s="41" t="s">
        <v>31</v>
      </c>
      <c r="H208" s="42">
        <v>45130.0</v>
      </c>
      <c r="I208" s="41">
        <v>366.0</v>
      </c>
      <c r="J208" s="43">
        <v>126.8</v>
      </c>
      <c r="K208" s="43">
        <v>89.98</v>
      </c>
      <c r="L208" s="43">
        <v>46408.799999999996</v>
      </c>
      <c r="M208" s="43">
        <v>32932.68</v>
      </c>
      <c r="N208" s="43">
        <v>13476.119999999995</v>
      </c>
      <c r="O208" s="44">
        <v>0.290378548895899</v>
      </c>
    </row>
    <row r="209" ht="22.5" customHeight="1">
      <c r="B209" s="41" t="s">
        <v>237</v>
      </c>
      <c r="C209" s="41" t="s">
        <v>20</v>
      </c>
      <c r="D209" s="41" t="s">
        <v>15</v>
      </c>
      <c r="E209" s="41" t="s">
        <v>46</v>
      </c>
      <c r="F209" s="41" t="s">
        <v>17</v>
      </c>
      <c r="G209" s="41" t="s">
        <v>23</v>
      </c>
      <c r="H209" s="42">
        <v>45131.0</v>
      </c>
      <c r="I209" s="41">
        <v>452.0</v>
      </c>
      <c r="J209" s="43">
        <v>240.96</v>
      </c>
      <c r="K209" s="43">
        <v>391.4</v>
      </c>
      <c r="L209" s="43">
        <v>108913.92</v>
      </c>
      <c r="M209" s="43">
        <v>176912.8</v>
      </c>
      <c r="N209" s="43">
        <v>-67998.87999999999</v>
      </c>
      <c r="O209" s="44">
        <v>-0.6243359893758299</v>
      </c>
    </row>
    <row r="210" ht="22.5" customHeight="1">
      <c r="B210" s="41" t="s">
        <v>238</v>
      </c>
      <c r="C210" s="41" t="s">
        <v>25</v>
      </c>
      <c r="D210" s="41" t="s">
        <v>29</v>
      </c>
      <c r="E210" s="41" t="s">
        <v>22</v>
      </c>
      <c r="F210" s="41" t="s">
        <v>27</v>
      </c>
      <c r="G210" s="41" t="s">
        <v>18</v>
      </c>
      <c r="H210" s="42">
        <v>45132.0</v>
      </c>
      <c r="I210" s="41">
        <v>93.0</v>
      </c>
      <c r="J210" s="43">
        <v>200.21</v>
      </c>
      <c r="K210" s="43">
        <v>299.78</v>
      </c>
      <c r="L210" s="43">
        <v>18619.530000000002</v>
      </c>
      <c r="M210" s="43">
        <v>27879.539999999997</v>
      </c>
      <c r="N210" s="43">
        <v>-9260.009999999995</v>
      </c>
      <c r="O210" s="44">
        <v>-0.49732780580390556</v>
      </c>
    </row>
    <row r="211" ht="22.5" customHeight="1">
      <c r="B211" s="41" t="s">
        <v>239</v>
      </c>
      <c r="C211" s="41" t="s">
        <v>20</v>
      </c>
      <c r="D211" s="41" t="s">
        <v>29</v>
      </c>
      <c r="E211" s="41" t="s">
        <v>30</v>
      </c>
      <c r="F211" s="41" t="s">
        <v>17</v>
      </c>
      <c r="G211" s="41" t="s">
        <v>31</v>
      </c>
      <c r="H211" s="42">
        <v>45133.0</v>
      </c>
      <c r="I211" s="41">
        <v>271.0</v>
      </c>
      <c r="J211" s="43">
        <v>276.96</v>
      </c>
      <c r="K211" s="43">
        <v>224.01</v>
      </c>
      <c r="L211" s="43">
        <v>75056.15999999999</v>
      </c>
      <c r="M211" s="43">
        <v>60706.71</v>
      </c>
      <c r="N211" s="43">
        <v>14349.44999999999</v>
      </c>
      <c r="O211" s="44">
        <v>0.19118284228769486</v>
      </c>
    </row>
    <row r="212" ht="22.5" customHeight="1">
      <c r="B212" s="41" t="s">
        <v>240</v>
      </c>
      <c r="C212" s="41" t="s">
        <v>20</v>
      </c>
      <c r="D212" s="41" t="s">
        <v>34</v>
      </c>
      <c r="E212" s="41" t="s">
        <v>30</v>
      </c>
      <c r="F212" s="41" t="s">
        <v>17</v>
      </c>
      <c r="G212" s="41" t="s">
        <v>23</v>
      </c>
      <c r="H212" s="42">
        <v>45134.0</v>
      </c>
      <c r="I212" s="41">
        <v>156.0</v>
      </c>
      <c r="J212" s="43">
        <v>374.7</v>
      </c>
      <c r="K212" s="43">
        <v>73.88</v>
      </c>
      <c r="L212" s="43">
        <v>58453.2</v>
      </c>
      <c r="M212" s="43">
        <v>11525.279999999999</v>
      </c>
      <c r="N212" s="43">
        <v>46927.92</v>
      </c>
      <c r="O212" s="44">
        <v>0.8028289298105151</v>
      </c>
    </row>
    <row r="213" ht="22.5" customHeight="1">
      <c r="B213" s="41" t="s">
        <v>241</v>
      </c>
      <c r="C213" s="41" t="s">
        <v>52</v>
      </c>
      <c r="D213" s="41" t="s">
        <v>29</v>
      </c>
      <c r="E213" s="41" t="s">
        <v>46</v>
      </c>
      <c r="F213" s="41" t="s">
        <v>27</v>
      </c>
      <c r="G213" s="41" t="s">
        <v>23</v>
      </c>
      <c r="H213" s="42">
        <v>45135.0</v>
      </c>
      <c r="I213" s="41">
        <v>450.0</v>
      </c>
      <c r="J213" s="43">
        <v>359.17</v>
      </c>
      <c r="K213" s="43">
        <v>23.44</v>
      </c>
      <c r="L213" s="43">
        <v>161626.5</v>
      </c>
      <c r="M213" s="43">
        <v>10548.0</v>
      </c>
      <c r="N213" s="43">
        <v>151078.5</v>
      </c>
      <c r="O213" s="44">
        <v>0.9347384247013949</v>
      </c>
    </row>
    <row r="214" ht="22.5" customHeight="1">
      <c r="B214" s="41" t="s">
        <v>242</v>
      </c>
      <c r="C214" s="41" t="s">
        <v>25</v>
      </c>
      <c r="D214" s="41" t="s">
        <v>21</v>
      </c>
      <c r="E214" s="41" t="s">
        <v>30</v>
      </c>
      <c r="F214" s="41" t="s">
        <v>17</v>
      </c>
      <c r="G214" s="41" t="s">
        <v>18</v>
      </c>
      <c r="H214" s="42">
        <v>45136.0</v>
      </c>
      <c r="I214" s="41">
        <v>462.0</v>
      </c>
      <c r="J214" s="43">
        <v>263.01</v>
      </c>
      <c r="K214" s="43">
        <v>129.38</v>
      </c>
      <c r="L214" s="43">
        <v>121510.62</v>
      </c>
      <c r="M214" s="43">
        <v>59773.56</v>
      </c>
      <c r="N214" s="43">
        <v>61737.06</v>
      </c>
      <c r="O214" s="44">
        <v>0.5080795407018744</v>
      </c>
    </row>
    <row r="215" ht="22.5" customHeight="1">
      <c r="B215" s="41" t="s">
        <v>243</v>
      </c>
      <c r="C215" s="41" t="s">
        <v>14</v>
      </c>
      <c r="D215" s="41" t="s">
        <v>54</v>
      </c>
      <c r="E215" s="41" t="s">
        <v>39</v>
      </c>
      <c r="F215" s="41" t="s">
        <v>17</v>
      </c>
      <c r="G215" s="41" t="s">
        <v>31</v>
      </c>
      <c r="H215" s="42">
        <v>45137.0</v>
      </c>
      <c r="I215" s="41">
        <v>396.0</v>
      </c>
      <c r="J215" s="43">
        <v>412.08</v>
      </c>
      <c r="K215" s="43">
        <v>301.77</v>
      </c>
      <c r="L215" s="43">
        <v>163183.68</v>
      </c>
      <c r="M215" s="43">
        <v>119500.92</v>
      </c>
      <c r="N215" s="43">
        <v>43682.759999999995</v>
      </c>
      <c r="O215" s="44">
        <v>0.26769073966220147</v>
      </c>
    </row>
    <row r="216" ht="22.5" customHeight="1">
      <c r="B216" s="41" t="s">
        <v>244</v>
      </c>
      <c r="C216" s="41" t="s">
        <v>14</v>
      </c>
      <c r="D216" s="41" t="s">
        <v>54</v>
      </c>
      <c r="E216" s="41" t="s">
        <v>26</v>
      </c>
      <c r="F216" s="41" t="s">
        <v>27</v>
      </c>
      <c r="G216" s="41" t="s">
        <v>23</v>
      </c>
      <c r="H216" s="42">
        <v>45138.0</v>
      </c>
      <c r="I216" s="41">
        <v>266.0</v>
      </c>
      <c r="J216" s="43">
        <v>218.28</v>
      </c>
      <c r="K216" s="43">
        <v>109.19</v>
      </c>
      <c r="L216" s="43">
        <v>58062.48</v>
      </c>
      <c r="M216" s="43">
        <v>29044.54</v>
      </c>
      <c r="N216" s="43">
        <v>29017.940000000002</v>
      </c>
      <c r="O216" s="44">
        <v>0.499770936411948</v>
      </c>
    </row>
    <row r="217" ht="22.5" customHeight="1">
      <c r="B217" s="41" t="s">
        <v>245</v>
      </c>
      <c r="C217" s="41" t="s">
        <v>25</v>
      </c>
      <c r="D217" s="41" t="s">
        <v>15</v>
      </c>
      <c r="E217" s="41" t="s">
        <v>46</v>
      </c>
      <c r="F217" s="41" t="s">
        <v>27</v>
      </c>
      <c r="G217" s="41" t="s">
        <v>18</v>
      </c>
      <c r="H217" s="42">
        <v>45139.0</v>
      </c>
      <c r="I217" s="41">
        <v>67.0</v>
      </c>
      <c r="J217" s="43">
        <v>448.87</v>
      </c>
      <c r="K217" s="43">
        <v>216.74</v>
      </c>
      <c r="L217" s="43">
        <v>30074.29</v>
      </c>
      <c r="M217" s="43">
        <v>14521.58</v>
      </c>
      <c r="N217" s="43">
        <v>15552.710000000001</v>
      </c>
      <c r="O217" s="44">
        <v>0.5171430480985586</v>
      </c>
    </row>
    <row r="218" ht="22.5" customHeight="1">
      <c r="B218" s="41" t="s">
        <v>246</v>
      </c>
      <c r="C218" s="41" t="s">
        <v>14</v>
      </c>
      <c r="D218" s="41" t="s">
        <v>29</v>
      </c>
      <c r="E218" s="41" t="s">
        <v>30</v>
      </c>
      <c r="F218" s="41" t="s">
        <v>17</v>
      </c>
      <c r="G218" s="41" t="s">
        <v>23</v>
      </c>
      <c r="H218" s="42">
        <v>45140.0</v>
      </c>
      <c r="I218" s="41">
        <v>389.0</v>
      </c>
      <c r="J218" s="43">
        <v>40.28</v>
      </c>
      <c r="K218" s="43">
        <v>291.72</v>
      </c>
      <c r="L218" s="43">
        <v>15668.92</v>
      </c>
      <c r="M218" s="43">
        <v>113479.08000000002</v>
      </c>
      <c r="N218" s="43">
        <v>-97810.16000000002</v>
      </c>
      <c r="O218" s="44">
        <v>-6.242303872889773</v>
      </c>
    </row>
    <row r="219" ht="22.5" customHeight="1">
      <c r="B219" s="41" t="s">
        <v>247</v>
      </c>
      <c r="C219" s="41" t="s">
        <v>14</v>
      </c>
      <c r="D219" s="41" t="s">
        <v>21</v>
      </c>
      <c r="E219" s="41" t="s">
        <v>46</v>
      </c>
      <c r="F219" s="41" t="s">
        <v>17</v>
      </c>
      <c r="G219" s="41" t="s">
        <v>31</v>
      </c>
      <c r="H219" s="42">
        <v>45141.0</v>
      </c>
      <c r="I219" s="41">
        <v>431.0</v>
      </c>
      <c r="J219" s="43">
        <v>477.56</v>
      </c>
      <c r="K219" s="43">
        <v>44.96</v>
      </c>
      <c r="L219" s="43">
        <v>205828.36000000002</v>
      </c>
      <c r="M219" s="43">
        <v>19377.760000000002</v>
      </c>
      <c r="N219" s="43">
        <v>186450.6</v>
      </c>
      <c r="O219" s="44">
        <v>0.9058547617053354</v>
      </c>
    </row>
    <row r="220" ht="22.5" customHeight="1">
      <c r="B220" s="41" t="s">
        <v>248</v>
      </c>
      <c r="C220" s="41" t="s">
        <v>25</v>
      </c>
      <c r="D220" s="41" t="s">
        <v>15</v>
      </c>
      <c r="E220" s="41" t="s">
        <v>46</v>
      </c>
      <c r="F220" s="41" t="s">
        <v>27</v>
      </c>
      <c r="G220" s="41" t="s">
        <v>23</v>
      </c>
      <c r="H220" s="42">
        <v>45142.0</v>
      </c>
      <c r="I220" s="41">
        <v>24.0</v>
      </c>
      <c r="J220" s="43">
        <v>329.07</v>
      </c>
      <c r="K220" s="43">
        <v>274.75</v>
      </c>
      <c r="L220" s="43">
        <v>7897.68</v>
      </c>
      <c r="M220" s="43">
        <v>6594.0</v>
      </c>
      <c r="N220" s="43">
        <v>1303.6800000000003</v>
      </c>
      <c r="O220" s="44">
        <v>0.16507126143373754</v>
      </c>
    </row>
    <row r="221" ht="22.5" customHeight="1">
      <c r="B221" s="41" t="s">
        <v>249</v>
      </c>
      <c r="C221" s="41" t="s">
        <v>20</v>
      </c>
      <c r="D221" s="41" t="s">
        <v>34</v>
      </c>
      <c r="E221" s="41" t="s">
        <v>26</v>
      </c>
      <c r="F221" s="41" t="s">
        <v>27</v>
      </c>
      <c r="G221" s="41" t="s">
        <v>23</v>
      </c>
      <c r="H221" s="42">
        <v>45143.0</v>
      </c>
      <c r="I221" s="41">
        <v>171.0</v>
      </c>
      <c r="J221" s="43">
        <v>193.14</v>
      </c>
      <c r="K221" s="43">
        <v>38.56</v>
      </c>
      <c r="L221" s="43">
        <v>33026.939999999995</v>
      </c>
      <c r="M221" s="43">
        <v>6593.76</v>
      </c>
      <c r="N221" s="43">
        <v>26433.179999999993</v>
      </c>
      <c r="O221" s="44">
        <v>0.8003520762141451</v>
      </c>
    </row>
    <row r="222" ht="22.5" customHeight="1">
      <c r="B222" s="41" t="s">
        <v>250</v>
      </c>
      <c r="C222" s="41" t="s">
        <v>25</v>
      </c>
      <c r="D222" s="41" t="s">
        <v>15</v>
      </c>
      <c r="E222" s="41" t="s">
        <v>16</v>
      </c>
      <c r="F222" s="41" t="s">
        <v>17</v>
      </c>
      <c r="G222" s="41" t="s">
        <v>23</v>
      </c>
      <c r="H222" s="42">
        <v>45144.0</v>
      </c>
      <c r="I222" s="41">
        <v>454.0</v>
      </c>
      <c r="J222" s="43">
        <v>102.59</v>
      </c>
      <c r="K222" s="43">
        <v>386.12</v>
      </c>
      <c r="L222" s="43">
        <v>46575.86</v>
      </c>
      <c r="M222" s="43">
        <v>175298.48</v>
      </c>
      <c r="N222" s="43">
        <v>-128722.62000000001</v>
      </c>
      <c r="O222" s="44">
        <v>-2.763719660785652</v>
      </c>
    </row>
    <row r="223" ht="22.5" customHeight="1">
      <c r="B223" s="41" t="s">
        <v>251</v>
      </c>
      <c r="C223" s="41" t="s">
        <v>20</v>
      </c>
      <c r="D223" s="41" t="s">
        <v>15</v>
      </c>
      <c r="E223" s="41" t="s">
        <v>46</v>
      </c>
      <c r="F223" s="41" t="s">
        <v>27</v>
      </c>
      <c r="G223" s="41" t="s">
        <v>23</v>
      </c>
      <c r="H223" s="42">
        <v>45145.0</v>
      </c>
      <c r="I223" s="41">
        <v>172.0</v>
      </c>
      <c r="J223" s="43">
        <v>242.2</v>
      </c>
      <c r="K223" s="43">
        <v>196.38</v>
      </c>
      <c r="L223" s="43">
        <v>41658.4</v>
      </c>
      <c r="M223" s="43">
        <v>33777.36</v>
      </c>
      <c r="N223" s="43">
        <v>7881.040000000001</v>
      </c>
      <c r="O223" s="44">
        <v>0.18918249380677127</v>
      </c>
    </row>
    <row r="224" ht="22.5" customHeight="1">
      <c r="B224" s="41" t="s">
        <v>252</v>
      </c>
      <c r="C224" s="41" t="s">
        <v>14</v>
      </c>
      <c r="D224" s="41" t="s">
        <v>29</v>
      </c>
      <c r="E224" s="41" t="s">
        <v>30</v>
      </c>
      <c r="F224" s="41" t="s">
        <v>17</v>
      </c>
      <c r="G224" s="41" t="s">
        <v>18</v>
      </c>
      <c r="H224" s="42">
        <v>45146.0</v>
      </c>
      <c r="I224" s="41">
        <v>329.0</v>
      </c>
      <c r="J224" s="43">
        <v>101.31</v>
      </c>
      <c r="K224" s="43">
        <v>61.97</v>
      </c>
      <c r="L224" s="43">
        <v>33330.99</v>
      </c>
      <c r="M224" s="43">
        <v>20388.13</v>
      </c>
      <c r="N224" s="43">
        <v>12942.859999999997</v>
      </c>
      <c r="O224" s="44">
        <v>0.38831309841081824</v>
      </c>
    </row>
    <row r="225" ht="22.5" customHeight="1">
      <c r="B225" s="41" t="s">
        <v>253</v>
      </c>
      <c r="C225" s="41" t="s">
        <v>14</v>
      </c>
      <c r="D225" s="41" t="s">
        <v>34</v>
      </c>
      <c r="E225" s="41" t="s">
        <v>22</v>
      </c>
      <c r="F225" s="41" t="s">
        <v>17</v>
      </c>
      <c r="G225" s="41" t="s">
        <v>18</v>
      </c>
      <c r="H225" s="42">
        <v>45147.0</v>
      </c>
      <c r="I225" s="41">
        <v>290.0</v>
      </c>
      <c r="J225" s="43">
        <v>87.33</v>
      </c>
      <c r="K225" s="43">
        <v>138.27</v>
      </c>
      <c r="L225" s="43">
        <v>25325.7</v>
      </c>
      <c r="M225" s="43">
        <v>40098.3</v>
      </c>
      <c r="N225" s="43">
        <v>-14772.600000000002</v>
      </c>
      <c r="O225" s="44">
        <v>-0.5833047062864996</v>
      </c>
    </row>
    <row r="226" ht="22.5" customHeight="1">
      <c r="B226" s="41" t="s">
        <v>254</v>
      </c>
      <c r="C226" s="41" t="s">
        <v>39</v>
      </c>
      <c r="D226" s="41" t="s">
        <v>15</v>
      </c>
      <c r="E226" s="41" t="s">
        <v>46</v>
      </c>
      <c r="F226" s="41" t="s">
        <v>17</v>
      </c>
      <c r="G226" s="41" t="s">
        <v>31</v>
      </c>
      <c r="H226" s="42">
        <v>45148.0</v>
      </c>
      <c r="I226" s="41">
        <v>289.0</v>
      </c>
      <c r="J226" s="43">
        <v>310.59</v>
      </c>
      <c r="K226" s="43">
        <v>166.54</v>
      </c>
      <c r="L226" s="43">
        <v>89760.51</v>
      </c>
      <c r="M226" s="43">
        <v>48130.06</v>
      </c>
      <c r="N226" s="43">
        <v>41630.45</v>
      </c>
      <c r="O226" s="44">
        <v>0.4637947132876139</v>
      </c>
    </row>
    <row r="227" ht="22.5" customHeight="1">
      <c r="B227" s="41" t="s">
        <v>255</v>
      </c>
      <c r="C227" s="41" t="s">
        <v>52</v>
      </c>
      <c r="D227" s="41" t="s">
        <v>21</v>
      </c>
      <c r="E227" s="41" t="s">
        <v>46</v>
      </c>
      <c r="F227" s="41" t="s">
        <v>17</v>
      </c>
      <c r="G227" s="41" t="s">
        <v>18</v>
      </c>
      <c r="H227" s="42">
        <v>45149.0</v>
      </c>
      <c r="I227" s="41">
        <v>21.0</v>
      </c>
      <c r="J227" s="43">
        <v>263.93</v>
      </c>
      <c r="K227" s="43">
        <v>303.76</v>
      </c>
      <c r="L227" s="43">
        <v>5542.53</v>
      </c>
      <c r="M227" s="43">
        <v>6378.96</v>
      </c>
      <c r="N227" s="43">
        <v>-836.4300000000003</v>
      </c>
      <c r="O227" s="44">
        <v>-0.15091122646156183</v>
      </c>
    </row>
    <row r="228" ht="22.5" customHeight="1">
      <c r="B228" s="41" t="s">
        <v>256</v>
      </c>
      <c r="C228" s="41" t="s">
        <v>20</v>
      </c>
      <c r="D228" s="41" t="s">
        <v>21</v>
      </c>
      <c r="E228" s="41" t="s">
        <v>26</v>
      </c>
      <c r="F228" s="41" t="s">
        <v>17</v>
      </c>
      <c r="G228" s="41" t="s">
        <v>18</v>
      </c>
      <c r="H228" s="42">
        <v>45150.0</v>
      </c>
      <c r="I228" s="41">
        <v>283.0</v>
      </c>
      <c r="J228" s="43">
        <v>336.7</v>
      </c>
      <c r="K228" s="43">
        <v>297.88</v>
      </c>
      <c r="L228" s="43">
        <v>95286.09999999999</v>
      </c>
      <c r="M228" s="43">
        <v>84300.04</v>
      </c>
      <c r="N228" s="43">
        <v>10986.059999999998</v>
      </c>
      <c r="O228" s="44">
        <v>0.11529551529551528</v>
      </c>
    </row>
    <row r="229" ht="22.5" customHeight="1">
      <c r="B229" s="41" t="s">
        <v>257</v>
      </c>
      <c r="C229" s="41" t="s">
        <v>52</v>
      </c>
      <c r="D229" s="41" t="s">
        <v>54</v>
      </c>
      <c r="E229" s="41" t="s">
        <v>16</v>
      </c>
      <c r="F229" s="41" t="s">
        <v>27</v>
      </c>
      <c r="G229" s="41" t="s">
        <v>31</v>
      </c>
      <c r="H229" s="42">
        <v>45151.0</v>
      </c>
      <c r="I229" s="41">
        <v>280.0</v>
      </c>
      <c r="J229" s="43">
        <v>465.15</v>
      </c>
      <c r="K229" s="43">
        <v>245.55</v>
      </c>
      <c r="L229" s="43">
        <v>130242.0</v>
      </c>
      <c r="M229" s="43">
        <v>68754.0</v>
      </c>
      <c r="N229" s="43">
        <v>61488.0</v>
      </c>
      <c r="O229" s="44">
        <v>0.47210577233150597</v>
      </c>
    </row>
    <row r="230" ht="22.5" customHeight="1">
      <c r="B230" s="41" t="s">
        <v>258</v>
      </c>
      <c r="C230" s="41" t="s">
        <v>52</v>
      </c>
      <c r="D230" s="41" t="s">
        <v>34</v>
      </c>
      <c r="E230" s="41" t="s">
        <v>22</v>
      </c>
      <c r="F230" s="41" t="s">
        <v>27</v>
      </c>
      <c r="G230" s="41" t="s">
        <v>18</v>
      </c>
      <c r="H230" s="42">
        <v>45152.0</v>
      </c>
      <c r="I230" s="41">
        <v>217.0</v>
      </c>
      <c r="J230" s="43">
        <v>268.47</v>
      </c>
      <c r="K230" s="43">
        <v>44.16</v>
      </c>
      <c r="L230" s="43">
        <v>58257.990000000005</v>
      </c>
      <c r="M230" s="43">
        <v>9582.72</v>
      </c>
      <c r="N230" s="43">
        <v>48675.270000000004</v>
      </c>
      <c r="O230" s="44">
        <v>0.8355123477483518</v>
      </c>
    </row>
    <row r="231" ht="22.5" customHeight="1">
      <c r="B231" s="41" t="s">
        <v>259</v>
      </c>
      <c r="C231" s="41" t="s">
        <v>25</v>
      </c>
      <c r="D231" s="41" t="s">
        <v>34</v>
      </c>
      <c r="E231" s="41" t="s">
        <v>30</v>
      </c>
      <c r="F231" s="41" t="s">
        <v>27</v>
      </c>
      <c r="G231" s="41" t="s">
        <v>18</v>
      </c>
      <c r="H231" s="42">
        <v>45153.0</v>
      </c>
      <c r="I231" s="41">
        <v>36.0</v>
      </c>
      <c r="J231" s="43">
        <v>292.56</v>
      </c>
      <c r="K231" s="43">
        <v>62.32</v>
      </c>
      <c r="L231" s="43">
        <v>10532.16</v>
      </c>
      <c r="M231" s="43">
        <v>2243.52</v>
      </c>
      <c r="N231" s="43">
        <v>8288.64</v>
      </c>
      <c r="O231" s="44">
        <v>0.7869838665572874</v>
      </c>
    </row>
    <row r="232" ht="22.5" hidden="1" customHeight="1">
      <c r="B232" s="41" t="s">
        <v>260</v>
      </c>
      <c r="C232" s="41" t="s">
        <v>52</v>
      </c>
      <c r="D232" s="41" t="s">
        <v>54</v>
      </c>
      <c r="E232" s="41" t="s">
        <v>22</v>
      </c>
      <c r="F232" s="41" t="s">
        <v>27</v>
      </c>
      <c r="G232" s="41" t="s">
        <v>31</v>
      </c>
      <c r="H232" s="42">
        <v>45154.0</v>
      </c>
      <c r="I232" s="41">
        <v>255.9029411764706</v>
      </c>
      <c r="J232" s="43">
        <v>49.37</v>
      </c>
      <c r="K232" s="43">
        <v>39.32</v>
      </c>
      <c r="L232" s="43">
        <v>12633.928205882352</v>
      </c>
      <c r="M232" s="43">
        <v>10062.103647058824</v>
      </c>
      <c r="N232" s="43">
        <v>2571.8245588235277</v>
      </c>
      <c r="O232" s="44">
        <v>0.2035649179663762</v>
      </c>
    </row>
    <row r="233" ht="22.5" customHeight="1">
      <c r="B233" s="41" t="s">
        <v>261</v>
      </c>
      <c r="C233" s="41" t="s">
        <v>25</v>
      </c>
      <c r="D233" s="41" t="s">
        <v>15</v>
      </c>
      <c r="E233" s="41" t="s">
        <v>30</v>
      </c>
      <c r="F233" s="41" t="s">
        <v>17</v>
      </c>
      <c r="G233" s="41" t="s">
        <v>31</v>
      </c>
      <c r="H233" s="42">
        <v>45155.0</v>
      </c>
      <c r="I233" s="41">
        <v>69.0</v>
      </c>
      <c r="J233" s="43">
        <v>360.23</v>
      </c>
      <c r="K233" s="43">
        <v>231.71</v>
      </c>
      <c r="L233" s="43">
        <v>24855.870000000003</v>
      </c>
      <c r="M233" s="43">
        <v>15987.99</v>
      </c>
      <c r="N233" s="43">
        <v>8867.880000000003</v>
      </c>
      <c r="O233" s="44">
        <v>0.35677206229353475</v>
      </c>
    </row>
    <row r="234" ht="22.5" customHeight="1">
      <c r="B234" s="41" t="s">
        <v>262</v>
      </c>
      <c r="C234" s="41" t="s">
        <v>25</v>
      </c>
      <c r="D234" s="41" t="s">
        <v>34</v>
      </c>
      <c r="E234" s="41" t="s">
        <v>16</v>
      </c>
      <c r="F234" s="41" t="s">
        <v>17</v>
      </c>
      <c r="G234" s="41" t="s">
        <v>31</v>
      </c>
      <c r="H234" s="42">
        <v>45156.0</v>
      </c>
      <c r="I234" s="41">
        <v>439.0</v>
      </c>
      <c r="J234" s="43">
        <v>202.95</v>
      </c>
      <c r="K234" s="43">
        <v>351.1</v>
      </c>
      <c r="L234" s="43">
        <v>89095.04999999999</v>
      </c>
      <c r="M234" s="43">
        <v>154132.90000000002</v>
      </c>
      <c r="N234" s="43">
        <v>-65037.850000000035</v>
      </c>
      <c r="O234" s="44">
        <v>-0.7299827543729988</v>
      </c>
    </row>
    <row r="235" ht="22.5" customHeight="1">
      <c r="B235" s="41" t="s">
        <v>263</v>
      </c>
      <c r="C235" s="41" t="s">
        <v>52</v>
      </c>
      <c r="D235" s="41" t="s">
        <v>21</v>
      </c>
      <c r="E235" s="41" t="s">
        <v>30</v>
      </c>
      <c r="F235" s="41" t="s">
        <v>17</v>
      </c>
      <c r="G235" s="41" t="s">
        <v>23</v>
      </c>
      <c r="H235" s="42">
        <v>45157.0</v>
      </c>
      <c r="I235" s="41">
        <v>482.0</v>
      </c>
      <c r="J235" s="43">
        <v>488.48</v>
      </c>
      <c r="K235" s="43">
        <v>174.65</v>
      </c>
      <c r="L235" s="43">
        <v>235447.36000000002</v>
      </c>
      <c r="M235" s="43">
        <v>84181.3</v>
      </c>
      <c r="N235" s="43">
        <v>151266.06</v>
      </c>
      <c r="O235" s="44">
        <v>0.6424623321323288</v>
      </c>
    </row>
    <row r="236" ht="22.5" customHeight="1">
      <c r="B236" s="41" t="s">
        <v>264</v>
      </c>
      <c r="C236" s="41" t="s">
        <v>20</v>
      </c>
      <c r="D236" s="41" t="s">
        <v>21</v>
      </c>
      <c r="E236" s="41" t="s">
        <v>26</v>
      </c>
      <c r="F236" s="41" t="s">
        <v>17</v>
      </c>
      <c r="G236" s="41" t="s">
        <v>23</v>
      </c>
      <c r="H236" s="42">
        <v>45158.0</v>
      </c>
      <c r="I236" s="41">
        <v>154.0</v>
      </c>
      <c r="J236" s="43">
        <v>412.47</v>
      </c>
      <c r="K236" s="43">
        <v>66.02</v>
      </c>
      <c r="L236" s="43">
        <v>63520.380000000005</v>
      </c>
      <c r="M236" s="43">
        <v>10167.08</v>
      </c>
      <c r="N236" s="43">
        <v>53353.3</v>
      </c>
      <c r="O236" s="44">
        <v>0.839939874415109</v>
      </c>
    </row>
    <row r="237" ht="22.5" customHeight="1">
      <c r="B237" s="41" t="s">
        <v>265</v>
      </c>
      <c r="C237" s="41" t="s">
        <v>20</v>
      </c>
      <c r="D237" s="41" t="s">
        <v>29</v>
      </c>
      <c r="E237" s="41" t="s">
        <v>26</v>
      </c>
      <c r="F237" s="41" t="s">
        <v>27</v>
      </c>
      <c r="G237" s="41" t="s">
        <v>31</v>
      </c>
      <c r="H237" s="42">
        <v>45159.0</v>
      </c>
      <c r="I237" s="41">
        <v>102.0</v>
      </c>
      <c r="J237" s="43">
        <v>263.63</v>
      </c>
      <c r="K237" s="43">
        <v>224.1</v>
      </c>
      <c r="L237" s="43">
        <v>26890.26</v>
      </c>
      <c r="M237" s="43">
        <v>22858.2</v>
      </c>
      <c r="N237" s="43">
        <v>4032.0599999999977</v>
      </c>
      <c r="O237" s="44">
        <v>0.14994499867238167</v>
      </c>
    </row>
    <row r="238" ht="22.5" customHeight="1">
      <c r="B238" s="41" t="s">
        <v>266</v>
      </c>
      <c r="C238" s="41" t="s">
        <v>20</v>
      </c>
      <c r="D238" s="41" t="s">
        <v>34</v>
      </c>
      <c r="E238" s="41" t="s">
        <v>26</v>
      </c>
      <c r="F238" s="41" t="s">
        <v>17</v>
      </c>
      <c r="G238" s="41" t="s">
        <v>31</v>
      </c>
      <c r="H238" s="42">
        <v>45160.0</v>
      </c>
      <c r="I238" s="41">
        <v>318.0</v>
      </c>
      <c r="J238" s="43">
        <v>66.0</v>
      </c>
      <c r="K238" s="43">
        <v>325.08</v>
      </c>
      <c r="L238" s="43">
        <v>20988.0</v>
      </c>
      <c r="M238" s="43">
        <v>103375.43999999999</v>
      </c>
      <c r="N238" s="43">
        <v>-82387.43999999999</v>
      </c>
      <c r="O238" s="44">
        <v>-3.925454545454545</v>
      </c>
    </row>
    <row r="239" ht="22.5" customHeight="1">
      <c r="B239" s="41" t="s">
        <v>267</v>
      </c>
      <c r="C239" s="41" t="s">
        <v>20</v>
      </c>
      <c r="D239" s="41" t="s">
        <v>15</v>
      </c>
      <c r="E239" s="41" t="s">
        <v>26</v>
      </c>
      <c r="F239" s="41" t="s">
        <v>17</v>
      </c>
      <c r="G239" s="41" t="s">
        <v>31</v>
      </c>
      <c r="H239" s="42">
        <v>45161.0</v>
      </c>
      <c r="I239" s="41">
        <v>17.0</v>
      </c>
      <c r="J239" s="43">
        <v>430.41</v>
      </c>
      <c r="K239" s="43">
        <v>297.2</v>
      </c>
      <c r="L239" s="43">
        <v>7316.97</v>
      </c>
      <c r="M239" s="43">
        <v>5052.4</v>
      </c>
      <c r="N239" s="43">
        <v>2264.5700000000006</v>
      </c>
      <c r="O239" s="44">
        <v>0.30949559722125425</v>
      </c>
    </row>
    <row r="240" ht="22.5" customHeight="1">
      <c r="B240" s="41" t="s">
        <v>268</v>
      </c>
      <c r="C240" s="41" t="s">
        <v>20</v>
      </c>
      <c r="D240" s="41" t="s">
        <v>54</v>
      </c>
      <c r="E240" s="41" t="s">
        <v>22</v>
      </c>
      <c r="F240" s="41" t="s">
        <v>27</v>
      </c>
      <c r="G240" s="41" t="s">
        <v>23</v>
      </c>
      <c r="H240" s="42">
        <v>45162.0</v>
      </c>
      <c r="I240" s="41">
        <v>88.0</v>
      </c>
      <c r="J240" s="43">
        <v>400.89</v>
      </c>
      <c r="K240" s="43">
        <v>352.82</v>
      </c>
      <c r="L240" s="43">
        <v>35278.32</v>
      </c>
      <c r="M240" s="43">
        <v>31048.16</v>
      </c>
      <c r="N240" s="43">
        <v>4230.16</v>
      </c>
      <c r="O240" s="44">
        <v>0.11990820424555364</v>
      </c>
    </row>
    <row r="241" ht="22.5" customHeight="1">
      <c r="B241" s="41" t="s">
        <v>269</v>
      </c>
      <c r="C241" s="41" t="s">
        <v>52</v>
      </c>
      <c r="D241" s="41" t="s">
        <v>54</v>
      </c>
      <c r="E241" s="41" t="s">
        <v>16</v>
      </c>
      <c r="F241" s="41" t="s">
        <v>27</v>
      </c>
      <c r="G241" s="41" t="s">
        <v>23</v>
      </c>
      <c r="H241" s="42">
        <v>45163.0</v>
      </c>
      <c r="I241" s="41">
        <v>36.0</v>
      </c>
      <c r="J241" s="43">
        <v>96.37</v>
      </c>
      <c r="K241" s="43">
        <v>112.61</v>
      </c>
      <c r="L241" s="43">
        <v>3469.32</v>
      </c>
      <c r="M241" s="43">
        <v>4053.96</v>
      </c>
      <c r="N241" s="43">
        <v>-584.6399999999999</v>
      </c>
      <c r="O241" s="44">
        <v>-0.16851717339420977</v>
      </c>
    </row>
    <row r="242" ht="22.5" customHeight="1">
      <c r="B242" s="41" t="s">
        <v>270</v>
      </c>
      <c r="C242" s="41" t="s">
        <v>52</v>
      </c>
      <c r="D242" s="41" t="s">
        <v>15</v>
      </c>
      <c r="E242" s="41" t="s">
        <v>30</v>
      </c>
      <c r="F242" s="41" t="s">
        <v>27</v>
      </c>
      <c r="G242" s="41" t="s">
        <v>18</v>
      </c>
      <c r="H242" s="42">
        <v>45164.0</v>
      </c>
      <c r="I242" s="41">
        <v>183.0</v>
      </c>
      <c r="J242" s="43">
        <v>151.16</v>
      </c>
      <c r="K242" s="43">
        <v>79.19</v>
      </c>
      <c r="L242" s="43">
        <v>27662.28</v>
      </c>
      <c r="M242" s="43">
        <v>14491.77</v>
      </c>
      <c r="N242" s="43">
        <v>13170.509999999998</v>
      </c>
      <c r="O242" s="44">
        <v>0.476118020640381</v>
      </c>
    </row>
    <row r="243" ht="22.5" customHeight="1">
      <c r="B243" s="41" t="s">
        <v>271</v>
      </c>
      <c r="C243" s="41" t="s">
        <v>14</v>
      </c>
      <c r="D243" s="41" t="s">
        <v>29</v>
      </c>
      <c r="E243" s="41" t="s">
        <v>30</v>
      </c>
      <c r="F243" s="41" t="s">
        <v>27</v>
      </c>
      <c r="G243" s="41" t="s">
        <v>18</v>
      </c>
      <c r="H243" s="42">
        <v>45165.0</v>
      </c>
      <c r="I243" s="41">
        <v>59.0</v>
      </c>
      <c r="J243" s="43">
        <v>397.74</v>
      </c>
      <c r="K243" s="43">
        <v>352.17</v>
      </c>
      <c r="L243" s="43">
        <v>23466.66</v>
      </c>
      <c r="M243" s="43">
        <v>20778.030000000002</v>
      </c>
      <c r="N243" s="43">
        <v>2688.6299999999974</v>
      </c>
      <c r="O243" s="44">
        <v>0.11457233368532196</v>
      </c>
    </row>
    <row r="244" ht="22.5" customHeight="1">
      <c r="B244" s="41" t="s">
        <v>272</v>
      </c>
      <c r="C244" s="41" t="s">
        <v>20</v>
      </c>
      <c r="D244" s="41" t="s">
        <v>54</v>
      </c>
      <c r="E244" s="41" t="s">
        <v>26</v>
      </c>
      <c r="F244" s="41" t="s">
        <v>17</v>
      </c>
      <c r="G244" s="41" t="s">
        <v>31</v>
      </c>
      <c r="H244" s="42">
        <v>45166.0</v>
      </c>
      <c r="I244" s="41">
        <v>208.0</v>
      </c>
      <c r="J244" s="43">
        <v>96.69</v>
      </c>
      <c r="K244" s="43">
        <v>263.71</v>
      </c>
      <c r="L244" s="43">
        <v>20111.52</v>
      </c>
      <c r="M244" s="43">
        <v>54851.67999999999</v>
      </c>
      <c r="N244" s="43">
        <v>-34740.15999999999</v>
      </c>
      <c r="O244" s="44">
        <v>-1.727376150584341</v>
      </c>
    </row>
    <row r="245" ht="22.5" customHeight="1">
      <c r="B245" s="41" t="s">
        <v>273</v>
      </c>
      <c r="C245" s="41" t="s">
        <v>52</v>
      </c>
      <c r="D245" s="41" t="s">
        <v>34</v>
      </c>
      <c r="E245" s="41" t="s">
        <v>26</v>
      </c>
      <c r="F245" s="41" t="s">
        <v>17</v>
      </c>
      <c r="G245" s="41" t="s">
        <v>23</v>
      </c>
      <c r="H245" s="42">
        <v>45167.0</v>
      </c>
      <c r="I245" s="41">
        <v>396.0</v>
      </c>
      <c r="J245" s="43">
        <v>459.29</v>
      </c>
      <c r="K245" s="43">
        <v>125.75</v>
      </c>
      <c r="L245" s="43">
        <v>181878.84</v>
      </c>
      <c r="M245" s="43">
        <v>49797.0</v>
      </c>
      <c r="N245" s="43">
        <v>132081.84</v>
      </c>
      <c r="O245" s="44">
        <v>0.7262078425395719</v>
      </c>
    </row>
    <row r="246" ht="22.5" customHeight="1">
      <c r="B246" s="41" t="s">
        <v>274</v>
      </c>
      <c r="C246" s="41" t="s">
        <v>14</v>
      </c>
      <c r="D246" s="41" t="s">
        <v>29</v>
      </c>
      <c r="E246" s="41" t="s">
        <v>46</v>
      </c>
      <c r="F246" s="41" t="s">
        <v>27</v>
      </c>
      <c r="G246" s="41" t="s">
        <v>23</v>
      </c>
      <c r="H246" s="42">
        <v>45168.0</v>
      </c>
      <c r="I246" s="41">
        <v>358.0</v>
      </c>
      <c r="J246" s="43">
        <v>215.14</v>
      </c>
      <c r="K246" s="43">
        <v>297.45</v>
      </c>
      <c r="L246" s="43">
        <v>77020.12</v>
      </c>
      <c r="M246" s="43">
        <v>106487.09999999999</v>
      </c>
      <c r="N246" s="43">
        <v>-29466.979999999996</v>
      </c>
      <c r="O246" s="44">
        <v>-0.38258808217904616</v>
      </c>
    </row>
    <row r="247" ht="22.5" customHeight="1">
      <c r="B247" s="41" t="s">
        <v>275</v>
      </c>
      <c r="C247" s="41" t="s">
        <v>20</v>
      </c>
      <c r="D247" s="41" t="s">
        <v>34</v>
      </c>
      <c r="E247" s="41" t="s">
        <v>16</v>
      </c>
      <c r="F247" s="41" t="s">
        <v>17</v>
      </c>
      <c r="G247" s="41" t="s">
        <v>23</v>
      </c>
      <c r="H247" s="42">
        <v>45169.0</v>
      </c>
      <c r="I247" s="41">
        <v>457.0</v>
      </c>
      <c r="J247" s="43">
        <v>48.08</v>
      </c>
      <c r="K247" s="43">
        <v>326.42</v>
      </c>
      <c r="L247" s="43">
        <v>21972.559999999998</v>
      </c>
      <c r="M247" s="43">
        <v>149173.94</v>
      </c>
      <c r="N247" s="43">
        <v>-127201.38</v>
      </c>
      <c r="O247" s="44">
        <v>-5.78910149750416</v>
      </c>
    </row>
    <row r="248" ht="22.5" customHeight="1">
      <c r="B248" s="41" t="s">
        <v>276</v>
      </c>
      <c r="C248" s="41" t="s">
        <v>25</v>
      </c>
      <c r="D248" s="41" t="s">
        <v>21</v>
      </c>
      <c r="E248" s="41" t="s">
        <v>22</v>
      </c>
      <c r="F248" s="41" t="s">
        <v>17</v>
      </c>
      <c r="G248" s="41" t="s">
        <v>31</v>
      </c>
      <c r="H248" s="42">
        <v>45170.0</v>
      </c>
      <c r="I248" s="41">
        <v>437.0</v>
      </c>
      <c r="J248" s="43">
        <v>408.8</v>
      </c>
      <c r="K248" s="43">
        <v>246.76</v>
      </c>
      <c r="L248" s="43">
        <v>178645.6</v>
      </c>
      <c r="M248" s="43">
        <v>107834.12</v>
      </c>
      <c r="N248" s="43">
        <v>70811.48000000001</v>
      </c>
      <c r="O248" s="44">
        <v>0.3963796477495108</v>
      </c>
    </row>
    <row r="249" ht="22.5" customHeight="1">
      <c r="B249" s="41" t="s">
        <v>277</v>
      </c>
      <c r="C249" s="41" t="s">
        <v>14</v>
      </c>
      <c r="D249" s="41" t="s">
        <v>29</v>
      </c>
      <c r="E249" s="41" t="s">
        <v>30</v>
      </c>
      <c r="F249" s="41" t="s">
        <v>17</v>
      </c>
      <c r="G249" s="41" t="s">
        <v>18</v>
      </c>
      <c r="H249" s="42">
        <v>45171.0</v>
      </c>
      <c r="I249" s="41">
        <v>190.0</v>
      </c>
      <c r="J249" s="43">
        <v>189.89</v>
      </c>
      <c r="K249" s="43">
        <v>275.78</v>
      </c>
      <c r="L249" s="43">
        <v>36079.1</v>
      </c>
      <c r="M249" s="43">
        <v>52398.2</v>
      </c>
      <c r="N249" s="43">
        <v>-16319.099999999999</v>
      </c>
      <c r="O249" s="44">
        <v>-0.45231449786718625</v>
      </c>
    </row>
    <row r="250" ht="22.5" customHeight="1">
      <c r="B250" s="41" t="s">
        <v>278</v>
      </c>
      <c r="C250" s="41" t="s">
        <v>52</v>
      </c>
      <c r="D250" s="41" t="s">
        <v>54</v>
      </c>
      <c r="E250" s="41" t="s">
        <v>46</v>
      </c>
      <c r="F250" s="41" t="s">
        <v>27</v>
      </c>
      <c r="G250" s="41" t="s">
        <v>31</v>
      </c>
      <c r="H250" s="42">
        <v>45172.0</v>
      </c>
      <c r="I250" s="41">
        <v>33.0</v>
      </c>
      <c r="J250" s="43">
        <v>265.62</v>
      </c>
      <c r="K250" s="43">
        <v>151.35</v>
      </c>
      <c r="L250" s="43">
        <v>8765.460000000001</v>
      </c>
      <c r="M250" s="43">
        <v>4994.55</v>
      </c>
      <c r="N250" s="43">
        <v>3770.9100000000008</v>
      </c>
      <c r="O250" s="44">
        <v>0.4302010390783827</v>
      </c>
    </row>
    <row r="251" ht="22.5" customHeight="1">
      <c r="B251" s="41" t="s">
        <v>279</v>
      </c>
      <c r="C251" s="41" t="s">
        <v>25</v>
      </c>
      <c r="D251" s="41" t="s">
        <v>29</v>
      </c>
      <c r="E251" s="41" t="s">
        <v>46</v>
      </c>
      <c r="F251" s="41" t="s">
        <v>17</v>
      </c>
      <c r="G251" s="41" t="s">
        <v>18</v>
      </c>
      <c r="H251" s="42">
        <v>45173.0</v>
      </c>
      <c r="I251" s="41">
        <v>325.0</v>
      </c>
      <c r="J251" s="43">
        <v>60.59</v>
      </c>
      <c r="K251" s="43">
        <v>216.4</v>
      </c>
      <c r="L251" s="43">
        <v>19691.75</v>
      </c>
      <c r="M251" s="43">
        <v>70330.0</v>
      </c>
      <c r="N251" s="43">
        <v>-50638.25</v>
      </c>
      <c r="O251" s="44">
        <v>-2.57154645981185</v>
      </c>
    </row>
    <row r="252" ht="22.5" customHeight="1">
      <c r="B252" s="41" t="s">
        <v>280</v>
      </c>
      <c r="C252" s="41" t="s">
        <v>25</v>
      </c>
      <c r="D252" s="41" t="s">
        <v>29</v>
      </c>
      <c r="E252" s="41" t="s">
        <v>30</v>
      </c>
      <c r="F252" s="41" t="s">
        <v>27</v>
      </c>
      <c r="G252" s="41" t="s">
        <v>18</v>
      </c>
      <c r="H252" s="42">
        <v>45174.0</v>
      </c>
      <c r="I252" s="41">
        <v>387.0</v>
      </c>
      <c r="J252" s="43">
        <v>6.28</v>
      </c>
      <c r="K252" s="43">
        <v>210.62</v>
      </c>
      <c r="L252" s="43">
        <v>2430.36</v>
      </c>
      <c r="M252" s="43">
        <v>81509.94</v>
      </c>
      <c r="N252" s="43">
        <v>-79079.58</v>
      </c>
      <c r="O252" s="44">
        <v>-32.538216560509554</v>
      </c>
    </row>
    <row r="253" ht="22.5" customHeight="1">
      <c r="B253" s="41" t="s">
        <v>281</v>
      </c>
      <c r="C253" s="41" t="s">
        <v>25</v>
      </c>
      <c r="D253" s="41" t="s">
        <v>29</v>
      </c>
      <c r="E253" s="41" t="s">
        <v>22</v>
      </c>
      <c r="F253" s="41" t="s">
        <v>17</v>
      </c>
      <c r="G253" s="41" t="s">
        <v>31</v>
      </c>
      <c r="H253" s="42">
        <v>45175.0</v>
      </c>
      <c r="I253" s="41">
        <v>396.0</v>
      </c>
      <c r="J253" s="43">
        <v>320.8</v>
      </c>
      <c r="K253" s="43">
        <v>339.52</v>
      </c>
      <c r="L253" s="43">
        <v>127036.8</v>
      </c>
      <c r="M253" s="43">
        <v>134449.91999999998</v>
      </c>
      <c r="N253" s="43">
        <v>-7413.119999999981</v>
      </c>
      <c r="O253" s="44">
        <v>-0.058354114713216804</v>
      </c>
    </row>
    <row r="254" ht="22.5" customHeight="1">
      <c r="B254" s="41" t="s">
        <v>282</v>
      </c>
      <c r="C254" s="41" t="s">
        <v>14</v>
      </c>
      <c r="D254" s="41" t="s">
        <v>29</v>
      </c>
      <c r="E254" s="41" t="s">
        <v>46</v>
      </c>
      <c r="F254" s="41" t="s">
        <v>17</v>
      </c>
      <c r="G254" s="41" t="s">
        <v>18</v>
      </c>
      <c r="H254" s="42">
        <v>45176.0</v>
      </c>
      <c r="I254" s="41">
        <v>413.0</v>
      </c>
      <c r="J254" s="43">
        <v>260.01</v>
      </c>
      <c r="K254" s="43">
        <v>336.31</v>
      </c>
      <c r="L254" s="43">
        <v>107384.12999999999</v>
      </c>
      <c r="M254" s="43">
        <v>138896.03</v>
      </c>
      <c r="N254" s="43">
        <v>-31511.90000000001</v>
      </c>
      <c r="O254" s="44">
        <v>-0.2934502519133881</v>
      </c>
    </row>
    <row r="255" ht="22.5" hidden="1" customHeight="1">
      <c r="B255" s="41" t="s">
        <v>283</v>
      </c>
      <c r="C255" s="41" t="s">
        <v>52</v>
      </c>
      <c r="D255" s="41" t="s">
        <v>34</v>
      </c>
      <c r="E255" s="41" t="s">
        <v>46</v>
      </c>
      <c r="F255" s="41" t="s">
        <v>17</v>
      </c>
      <c r="G255" s="41" t="s">
        <v>18</v>
      </c>
      <c r="H255" s="42">
        <v>45177.0</v>
      </c>
      <c r="I255" s="41">
        <v>255.9029411764706</v>
      </c>
      <c r="J255" s="43">
        <v>298.8</v>
      </c>
      <c r="K255" s="43">
        <v>333.41</v>
      </c>
      <c r="L255" s="43">
        <v>76463.79882352942</v>
      </c>
      <c r="M255" s="43">
        <v>85320.59961764707</v>
      </c>
      <c r="N255" s="43">
        <v>-8856.800794117647</v>
      </c>
      <c r="O255" s="44">
        <v>-0.11582998661311913</v>
      </c>
    </row>
    <row r="256" ht="22.5" customHeight="1">
      <c r="B256" s="41" t="s">
        <v>284</v>
      </c>
      <c r="C256" s="41" t="s">
        <v>25</v>
      </c>
      <c r="D256" s="41" t="s">
        <v>21</v>
      </c>
      <c r="E256" s="41" t="s">
        <v>16</v>
      </c>
      <c r="F256" s="41" t="s">
        <v>27</v>
      </c>
      <c r="G256" s="41" t="s">
        <v>23</v>
      </c>
      <c r="H256" s="42">
        <v>45178.0</v>
      </c>
      <c r="I256" s="41">
        <v>24.0</v>
      </c>
      <c r="J256" s="43">
        <v>397.9</v>
      </c>
      <c r="K256" s="43">
        <v>6.39</v>
      </c>
      <c r="L256" s="43">
        <v>9549.599999999999</v>
      </c>
      <c r="M256" s="43">
        <v>153.35999999999999</v>
      </c>
      <c r="N256" s="43">
        <v>9396.239999999998</v>
      </c>
      <c r="O256" s="44">
        <v>0.9839406886152299</v>
      </c>
    </row>
    <row r="257" ht="22.5" customHeight="1">
      <c r="B257" s="41" t="s">
        <v>285</v>
      </c>
      <c r="C257" s="41" t="s">
        <v>20</v>
      </c>
      <c r="D257" s="41" t="s">
        <v>15</v>
      </c>
      <c r="E257" s="41" t="s">
        <v>39</v>
      </c>
      <c r="F257" s="41" t="s">
        <v>17</v>
      </c>
      <c r="G257" s="41" t="s">
        <v>18</v>
      </c>
      <c r="H257" s="42">
        <v>45179.0</v>
      </c>
      <c r="I257" s="41">
        <v>162.0</v>
      </c>
      <c r="J257" s="43">
        <v>325.07</v>
      </c>
      <c r="K257" s="43">
        <v>300.32</v>
      </c>
      <c r="L257" s="43">
        <v>52661.34</v>
      </c>
      <c r="M257" s="43">
        <v>48651.84</v>
      </c>
      <c r="N257" s="43">
        <v>4009.5</v>
      </c>
      <c r="O257" s="44">
        <v>0.07613744731903899</v>
      </c>
    </row>
    <row r="258" ht="22.5" customHeight="1">
      <c r="B258" s="41" t="s">
        <v>286</v>
      </c>
      <c r="C258" s="41" t="s">
        <v>25</v>
      </c>
      <c r="D258" s="41" t="s">
        <v>29</v>
      </c>
      <c r="E258" s="41" t="s">
        <v>46</v>
      </c>
      <c r="F258" s="41" t="s">
        <v>27</v>
      </c>
      <c r="G258" s="41" t="s">
        <v>31</v>
      </c>
      <c r="H258" s="42">
        <v>45180.0</v>
      </c>
      <c r="I258" s="41">
        <v>231.0</v>
      </c>
      <c r="J258" s="43">
        <v>91.51</v>
      </c>
      <c r="K258" s="43">
        <v>303.95</v>
      </c>
      <c r="L258" s="43">
        <v>21138.81</v>
      </c>
      <c r="M258" s="43">
        <v>70212.45</v>
      </c>
      <c r="N258" s="43">
        <v>-49073.64</v>
      </c>
      <c r="O258" s="44">
        <v>-2.321494918588132</v>
      </c>
    </row>
    <row r="259" ht="22.5" customHeight="1">
      <c r="B259" s="41" t="s">
        <v>287</v>
      </c>
      <c r="C259" s="41" t="s">
        <v>25</v>
      </c>
      <c r="D259" s="41" t="s">
        <v>54</v>
      </c>
      <c r="E259" s="41" t="s">
        <v>22</v>
      </c>
      <c r="F259" s="41" t="s">
        <v>27</v>
      </c>
      <c r="G259" s="41" t="s">
        <v>31</v>
      </c>
      <c r="H259" s="42">
        <v>45181.0</v>
      </c>
      <c r="I259" s="41">
        <v>215.0</v>
      </c>
      <c r="J259" s="43">
        <v>183.58</v>
      </c>
      <c r="K259" s="43">
        <v>271.99</v>
      </c>
      <c r="L259" s="43">
        <v>39469.700000000004</v>
      </c>
      <c r="M259" s="43">
        <v>58477.85</v>
      </c>
      <c r="N259" s="43">
        <v>-19008.149999999994</v>
      </c>
      <c r="O259" s="44">
        <v>-0.4815884083233466</v>
      </c>
    </row>
    <row r="260" ht="22.5" customHeight="1">
      <c r="B260" s="41" t="s">
        <v>288</v>
      </c>
      <c r="C260" s="41" t="s">
        <v>14</v>
      </c>
      <c r="D260" s="41" t="s">
        <v>29</v>
      </c>
      <c r="E260" s="41" t="s">
        <v>30</v>
      </c>
      <c r="F260" s="41" t="s">
        <v>27</v>
      </c>
      <c r="G260" s="41" t="s">
        <v>18</v>
      </c>
      <c r="H260" s="42">
        <v>45182.0</v>
      </c>
      <c r="I260" s="41">
        <v>464.0</v>
      </c>
      <c r="J260" s="43">
        <v>453.42</v>
      </c>
      <c r="K260" s="43">
        <v>302.99</v>
      </c>
      <c r="L260" s="43">
        <v>210386.88</v>
      </c>
      <c r="M260" s="43">
        <v>140587.36000000002</v>
      </c>
      <c r="N260" s="43">
        <v>69799.51999999999</v>
      </c>
      <c r="O260" s="44">
        <v>0.33176745622160464</v>
      </c>
    </row>
    <row r="261" ht="22.5" hidden="1" customHeight="1">
      <c r="B261" s="41" t="s">
        <v>289</v>
      </c>
      <c r="C261" s="41" t="s">
        <v>14</v>
      </c>
      <c r="D261" s="41" t="s">
        <v>54</v>
      </c>
      <c r="E261" s="41" t="s">
        <v>26</v>
      </c>
      <c r="F261" s="41" t="s">
        <v>17</v>
      </c>
      <c r="G261" s="41" t="s">
        <v>23</v>
      </c>
      <c r="H261" s="42">
        <v>45183.0</v>
      </c>
      <c r="I261" s="41">
        <v>282.0</v>
      </c>
      <c r="J261" s="43">
        <v>249.64520588235297</v>
      </c>
      <c r="K261" s="43">
        <v>337.1</v>
      </c>
      <c r="L261" s="43">
        <v>70399.94805882353</v>
      </c>
      <c r="M261" s="43">
        <v>95062.20000000001</v>
      </c>
      <c r="N261" s="43">
        <v>-24662.25194117648</v>
      </c>
      <c r="O261" s="44">
        <v>-0.35031633717356775</v>
      </c>
    </row>
    <row r="262" ht="22.5" customHeight="1">
      <c r="B262" s="41" t="s">
        <v>290</v>
      </c>
      <c r="C262" s="41" t="s">
        <v>52</v>
      </c>
      <c r="D262" s="41" t="s">
        <v>34</v>
      </c>
      <c r="E262" s="41" t="s">
        <v>46</v>
      </c>
      <c r="F262" s="41" t="s">
        <v>17</v>
      </c>
      <c r="G262" s="41" t="s">
        <v>23</v>
      </c>
      <c r="H262" s="42">
        <v>45184.0</v>
      </c>
      <c r="I262" s="41">
        <v>391.0</v>
      </c>
      <c r="J262" s="43">
        <v>280.54</v>
      </c>
      <c r="K262" s="43">
        <v>189.19</v>
      </c>
      <c r="L262" s="43">
        <v>109691.14000000001</v>
      </c>
      <c r="M262" s="43">
        <v>73973.29</v>
      </c>
      <c r="N262" s="43">
        <v>35717.85000000002</v>
      </c>
      <c r="O262" s="44">
        <v>0.3256220146859629</v>
      </c>
    </row>
    <row r="263" ht="22.5" customHeight="1">
      <c r="B263" s="41" t="s">
        <v>291</v>
      </c>
      <c r="C263" s="41" t="s">
        <v>20</v>
      </c>
      <c r="D263" s="41" t="s">
        <v>54</v>
      </c>
      <c r="E263" s="41" t="s">
        <v>16</v>
      </c>
      <c r="F263" s="41" t="s">
        <v>17</v>
      </c>
      <c r="G263" s="41" t="s">
        <v>18</v>
      </c>
      <c r="H263" s="42">
        <v>45185.0</v>
      </c>
      <c r="I263" s="41">
        <v>245.0</v>
      </c>
      <c r="J263" s="43">
        <v>131.54</v>
      </c>
      <c r="K263" s="43">
        <v>201.82</v>
      </c>
      <c r="L263" s="43">
        <v>32227.3</v>
      </c>
      <c r="M263" s="43">
        <v>49445.9</v>
      </c>
      <c r="N263" s="43">
        <v>-17218.600000000002</v>
      </c>
      <c r="O263" s="44">
        <v>-0.5342861487000153</v>
      </c>
    </row>
    <row r="264" ht="22.5" customHeight="1">
      <c r="B264" s="41" t="s">
        <v>292</v>
      </c>
      <c r="C264" s="41" t="s">
        <v>14</v>
      </c>
      <c r="D264" s="41" t="s">
        <v>15</v>
      </c>
      <c r="E264" s="41" t="s">
        <v>30</v>
      </c>
      <c r="F264" s="41" t="s">
        <v>17</v>
      </c>
      <c r="G264" s="41" t="s">
        <v>18</v>
      </c>
      <c r="H264" s="42">
        <v>45186.0</v>
      </c>
      <c r="I264" s="41">
        <v>349.0</v>
      </c>
      <c r="J264" s="43">
        <v>154.52</v>
      </c>
      <c r="K264" s="43">
        <v>51.64</v>
      </c>
      <c r="L264" s="43">
        <v>53927.48</v>
      </c>
      <c r="M264" s="43">
        <v>18022.36</v>
      </c>
      <c r="N264" s="43">
        <v>35905.12</v>
      </c>
      <c r="O264" s="44">
        <v>0.6658037794460264</v>
      </c>
    </row>
    <row r="265" ht="22.5" hidden="1" customHeight="1">
      <c r="B265" s="41" t="s">
        <v>293</v>
      </c>
      <c r="C265" s="41" t="s">
        <v>25</v>
      </c>
      <c r="D265" s="41" t="s">
        <v>21</v>
      </c>
      <c r="E265" s="41" t="s">
        <v>22</v>
      </c>
      <c r="F265" s="41" t="s">
        <v>27</v>
      </c>
      <c r="G265" s="41" t="s">
        <v>31</v>
      </c>
      <c r="H265" s="42">
        <v>45187.0</v>
      </c>
      <c r="I265" s="41">
        <v>237.0</v>
      </c>
      <c r="J265" s="43">
        <v>249.64520588235297</v>
      </c>
      <c r="K265" s="43">
        <v>155.38</v>
      </c>
      <c r="L265" s="43">
        <v>59165.91379411765</v>
      </c>
      <c r="M265" s="43">
        <v>36825.06</v>
      </c>
      <c r="N265" s="43">
        <v>22340.853794117655</v>
      </c>
      <c r="O265" s="44">
        <v>0.3775966998812551</v>
      </c>
    </row>
    <row r="266" ht="22.5" customHeight="1">
      <c r="B266" s="41" t="s">
        <v>294</v>
      </c>
      <c r="C266" s="41" t="s">
        <v>52</v>
      </c>
      <c r="D266" s="41" t="s">
        <v>54</v>
      </c>
      <c r="E266" s="41" t="s">
        <v>30</v>
      </c>
      <c r="F266" s="41" t="s">
        <v>27</v>
      </c>
      <c r="G266" s="41" t="s">
        <v>18</v>
      </c>
      <c r="H266" s="42">
        <v>45188.0</v>
      </c>
      <c r="I266" s="41">
        <v>18.0</v>
      </c>
      <c r="J266" s="43">
        <v>426.33</v>
      </c>
      <c r="K266" s="43">
        <v>258.06</v>
      </c>
      <c r="L266" s="43">
        <v>7673.94</v>
      </c>
      <c r="M266" s="43">
        <v>4645.08</v>
      </c>
      <c r="N266" s="43">
        <v>3028.8599999999997</v>
      </c>
      <c r="O266" s="44">
        <v>0.3946942509323763</v>
      </c>
    </row>
    <row r="267" ht="22.5" customHeight="1">
      <c r="B267" s="41" t="s">
        <v>295</v>
      </c>
      <c r="C267" s="41" t="s">
        <v>25</v>
      </c>
      <c r="D267" s="41" t="s">
        <v>54</v>
      </c>
      <c r="E267" s="41" t="s">
        <v>46</v>
      </c>
      <c r="F267" s="41" t="s">
        <v>27</v>
      </c>
      <c r="G267" s="41" t="s">
        <v>23</v>
      </c>
      <c r="H267" s="42">
        <v>45189.0</v>
      </c>
      <c r="I267" s="41">
        <v>175.0</v>
      </c>
      <c r="J267" s="43">
        <v>337.36</v>
      </c>
      <c r="K267" s="43">
        <v>312.6</v>
      </c>
      <c r="L267" s="43">
        <v>59038.0</v>
      </c>
      <c r="M267" s="43">
        <v>54705.00000000001</v>
      </c>
      <c r="N267" s="43">
        <v>4332.999999999993</v>
      </c>
      <c r="O267" s="44">
        <v>0.0733934076357599</v>
      </c>
    </row>
    <row r="268" ht="22.5" customHeight="1">
      <c r="B268" s="41" t="s">
        <v>296</v>
      </c>
      <c r="C268" s="41" t="s">
        <v>25</v>
      </c>
      <c r="D268" s="41" t="s">
        <v>21</v>
      </c>
      <c r="E268" s="41" t="s">
        <v>39</v>
      </c>
      <c r="F268" s="41" t="s">
        <v>17</v>
      </c>
      <c r="G268" s="41" t="s">
        <v>18</v>
      </c>
      <c r="H268" s="42">
        <v>45190.0</v>
      </c>
      <c r="I268" s="41">
        <v>441.0</v>
      </c>
      <c r="J268" s="43">
        <v>405.72</v>
      </c>
      <c r="K268" s="43">
        <v>88.45</v>
      </c>
      <c r="L268" s="43">
        <v>178922.52000000002</v>
      </c>
      <c r="M268" s="43">
        <v>39006.450000000004</v>
      </c>
      <c r="N268" s="43">
        <v>139916.07</v>
      </c>
      <c r="O268" s="44">
        <v>0.7819925071477866</v>
      </c>
    </row>
    <row r="269" ht="22.5" customHeight="1">
      <c r="B269" s="41" t="s">
        <v>297</v>
      </c>
      <c r="C269" s="41" t="s">
        <v>14</v>
      </c>
      <c r="D269" s="41" t="s">
        <v>15</v>
      </c>
      <c r="E269" s="41" t="s">
        <v>26</v>
      </c>
      <c r="F269" s="41" t="s">
        <v>27</v>
      </c>
      <c r="G269" s="41" t="s">
        <v>31</v>
      </c>
      <c r="H269" s="42">
        <v>45191.0</v>
      </c>
      <c r="I269" s="41">
        <v>453.0</v>
      </c>
      <c r="J269" s="43">
        <v>384.49</v>
      </c>
      <c r="K269" s="43">
        <v>56.85</v>
      </c>
      <c r="L269" s="43">
        <v>174173.97</v>
      </c>
      <c r="M269" s="43">
        <v>25753.05</v>
      </c>
      <c r="N269" s="43">
        <v>148420.92</v>
      </c>
      <c r="O269" s="44">
        <v>0.8521417982262218</v>
      </c>
    </row>
    <row r="270" ht="22.5" customHeight="1">
      <c r="B270" s="41" t="s">
        <v>298</v>
      </c>
      <c r="C270" s="41" t="s">
        <v>52</v>
      </c>
      <c r="D270" s="41" t="s">
        <v>29</v>
      </c>
      <c r="E270" s="41" t="s">
        <v>30</v>
      </c>
      <c r="F270" s="41" t="s">
        <v>17</v>
      </c>
      <c r="G270" s="41" t="s">
        <v>31</v>
      </c>
      <c r="H270" s="42">
        <v>45192.0</v>
      </c>
      <c r="I270" s="41">
        <v>328.0</v>
      </c>
      <c r="J270" s="43">
        <v>79.1</v>
      </c>
      <c r="K270" s="43">
        <v>265.89</v>
      </c>
      <c r="L270" s="43">
        <v>25944.8</v>
      </c>
      <c r="M270" s="43">
        <v>87211.92</v>
      </c>
      <c r="N270" s="43">
        <v>-61267.119999999995</v>
      </c>
      <c r="O270" s="44">
        <v>-2.361441213653603</v>
      </c>
    </row>
    <row r="271" ht="22.5" customHeight="1">
      <c r="B271" s="41" t="s">
        <v>299</v>
      </c>
      <c r="C271" s="41" t="s">
        <v>20</v>
      </c>
      <c r="D271" s="41" t="s">
        <v>54</v>
      </c>
      <c r="E271" s="41" t="s">
        <v>46</v>
      </c>
      <c r="F271" s="41" t="s">
        <v>27</v>
      </c>
      <c r="G271" s="41" t="s">
        <v>31</v>
      </c>
      <c r="H271" s="42">
        <v>45193.0</v>
      </c>
      <c r="I271" s="41">
        <v>223.0</v>
      </c>
      <c r="J271" s="43">
        <v>214.85</v>
      </c>
      <c r="K271" s="43">
        <v>2.75</v>
      </c>
      <c r="L271" s="43">
        <v>47911.549999999996</v>
      </c>
      <c r="M271" s="43">
        <v>613.25</v>
      </c>
      <c r="N271" s="43">
        <v>47298.299999999996</v>
      </c>
      <c r="O271" s="44">
        <v>0.9872003723528043</v>
      </c>
    </row>
    <row r="272" ht="22.5" customHeight="1">
      <c r="B272" s="41" t="s">
        <v>300</v>
      </c>
      <c r="C272" s="41" t="s">
        <v>20</v>
      </c>
      <c r="D272" s="41" t="s">
        <v>21</v>
      </c>
      <c r="E272" s="41" t="s">
        <v>16</v>
      </c>
      <c r="F272" s="41" t="s">
        <v>17</v>
      </c>
      <c r="G272" s="41" t="s">
        <v>31</v>
      </c>
      <c r="H272" s="42">
        <v>45194.0</v>
      </c>
      <c r="I272" s="41">
        <v>126.0</v>
      </c>
      <c r="J272" s="43">
        <v>80.73</v>
      </c>
      <c r="K272" s="43">
        <v>72.99</v>
      </c>
      <c r="L272" s="43">
        <v>10171.980000000001</v>
      </c>
      <c r="M272" s="43">
        <v>9196.74</v>
      </c>
      <c r="N272" s="43">
        <v>975.2400000000016</v>
      </c>
      <c r="O272" s="44">
        <v>0.09587513935340036</v>
      </c>
    </row>
    <row r="273" ht="22.5" customHeight="1">
      <c r="B273" s="41" t="s">
        <v>301</v>
      </c>
      <c r="C273" s="41" t="s">
        <v>14</v>
      </c>
      <c r="D273" s="41" t="s">
        <v>34</v>
      </c>
      <c r="E273" s="41" t="s">
        <v>22</v>
      </c>
      <c r="F273" s="41" t="s">
        <v>17</v>
      </c>
      <c r="G273" s="41" t="s">
        <v>31</v>
      </c>
      <c r="H273" s="42">
        <v>45195.0</v>
      </c>
      <c r="I273" s="41">
        <v>395.0</v>
      </c>
      <c r="J273" s="43">
        <v>121.44</v>
      </c>
      <c r="K273" s="43">
        <v>13.57</v>
      </c>
      <c r="L273" s="43">
        <v>47968.799999999996</v>
      </c>
      <c r="M273" s="43">
        <v>5360.150000000001</v>
      </c>
      <c r="N273" s="43">
        <v>42608.649999999994</v>
      </c>
      <c r="O273" s="44">
        <v>0.8882575757575757</v>
      </c>
    </row>
    <row r="274" ht="22.5" customHeight="1">
      <c r="B274" s="41" t="s">
        <v>302</v>
      </c>
      <c r="C274" s="41" t="s">
        <v>14</v>
      </c>
      <c r="D274" s="41" t="s">
        <v>21</v>
      </c>
      <c r="E274" s="41" t="s">
        <v>30</v>
      </c>
      <c r="F274" s="41" t="s">
        <v>27</v>
      </c>
      <c r="G274" s="41" t="s">
        <v>18</v>
      </c>
      <c r="H274" s="42">
        <v>45196.0</v>
      </c>
      <c r="I274" s="41">
        <v>353.0</v>
      </c>
      <c r="J274" s="43">
        <v>435.28</v>
      </c>
      <c r="K274" s="43">
        <v>68.42</v>
      </c>
      <c r="L274" s="43">
        <v>153653.84</v>
      </c>
      <c r="M274" s="43">
        <v>24152.260000000002</v>
      </c>
      <c r="N274" s="43">
        <v>129501.57999999999</v>
      </c>
      <c r="O274" s="44">
        <v>0.8428138209887888</v>
      </c>
    </row>
    <row r="275" ht="22.5" customHeight="1">
      <c r="B275" s="41" t="s">
        <v>303</v>
      </c>
      <c r="C275" s="41" t="s">
        <v>52</v>
      </c>
      <c r="D275" s="41" t="s">
        <v>34</v>
      </c>
      <c r="E275" s="41" t="s">
        <v>30</v>
      </c>
      <c r="F275" s="41" t="s">
        <v>27</v>
      </c>
      <c r="G275" s="41" t="s">
        <v>18</v>
      </c>
      <c r="H275" s="42">
        <v>45197.0</v>
      </c>
      <c r="I275" s="41">
        <v>81.0</v>
      </c>
      <c r="J275" s="43">
        <v>239.08</v>
      </c>
      <c r="K275" s="43">
        <v>74.17</v>
      </c>
      <c r="L275" s="43">
        <v>19365.48</v>
      </c>
      <c r="M275" s="43">
        <v>6007.77</v>
      </c>
      <c r="N275" s="43">
        <v>13357.71</v>
      </c>
      <c r="O275" s="44">
        <v>0.6897691149406057</v>
      </c>
    </row>
    <row r="276" ht="22.5" customHeight="1">
      <c r="B276" s="41" t="s">
        <v>304</v>
      </c>
      <c r="C276" s="41" t="s">
        <v>20</v>
      </c>
      <c r="D276" s="41" t="s">
        <v>15</v>
      </c>
      <c r="E276" s="41" t="s">
        <v>26</v>
      </c>
      <c r="F276" s="41" t="s">
        <v>27</v>
      </c>
      <c r="G276" s="41" t="s">
        <v>18</v>
      </c>
      <c r="H276" s="42">
        <v>45198.0</v>
      </c>
      <c r="I276" s="41">
        <v>404.0</v>
      </c>
      <c r="J276" s="43">
        <v>270.0</v>
      </c>
      <c r="K276" s="43">
        <v>156.29</v>
      </c>
      <c r="L276" s="43">
        <v>109080.0</v>
      </c>
      <c r="M276" s="43">
        <v>63141.159999999996</v>
      </c>
      <c r="N276" s="43">
        <v>45938.840000000004</v>
      </c>
      <c r="O276" s="44">
        <v>0.42114814814814816</v>
      </c>
    </row>
    <row r="277" ht="22.5" customHeight="1">
      <c r="B277" s="41" t="s">
        <v>305</v>
      </c>
      <c r="C277" s="41" t="s">
        <v>20</v>
      </c>
      <c r="D277" s="41" t="s">
        <v>29</v>
      </c>
      <c r="E277" s="41" t="s">
        <v>26</v>
      </c>
      <c r="F277" s="41" t="s">
        <v>27</v>
      </c>
      <c r="G277" s="41" t="s">
        <v>18</v>
      </c>
      <c r="H277" s="42">
        <v>45199.0</v>
      </c>
      <c r="I277" s="41">
        <v>73.0</v>
      </c>
      <c r="J277" s="43">
        <v>93.33</v>
      </c>
      <c r="K277" s="43">
        <v>162.13</v>
      </c>
      <c r="L277" s="43">
        <v>6813.09</v>
      </c>
      <c r="M277" s="43">
        <v>11835.49</v>
      </c>
      <c r="N277" s="43">
        <v>-5022.4</v>
      </c>
      <c r="O277" s="44">
        <v>-0.7371691846137362</v>
      </c>
    </row>
    <row r="278" ht="22.5" customHeight="1">
      <c r="B278" s="41" t="s">
        <v>306</v>
      </c>
      <c r="C278" s="41" t="s">
        <v>20</v>
      </c>
      <c r="D278" s="41" t="s">
        <v>21</v>
      </c>
      <c r="E278" s="41" t="s">
        <v>16</v>
      </c>
      <c r="F278" s="41" t="s">
        <v>17</v>
      </c>
      <c r="G278" s="41" t="s">
        <v>31</v>
      </c>
      <c r="H278" s="42">
        <v>45200.0</v>
      </c>
      <c r="I278" s="41">
        <v>214.0</v>
      </c>
      <c r="J278" s="43">
        <v>159.57</v>
      </c>
      <c r="K278" s="43">
        <v>349.96</v>
      </c>
      <c r="L278" s="43">
        <v>34147.979999999996</v>
      </c>
      <c r="M278" s="43">
        <v>74891.44</v>
      </c>
      <c r="N278" s="43">
        <v>-40743.46000000001</v>
      </c>
      <c r="O278" s="44">
        <v>-1.1931440747007587</v>
      </c>
    </row>
    <row r="279" ht="22.5" customHeight="1">
      <c r="B279" s="41" t="s">
        <v>307</v>
      </c>
      <c r="C279" s="41" t="s">
        <v>25</v>
      </c>
      <c r="D279" s="41" t="s">
        <v>54</v>
      </c>
      <c r="E279" s="41" t="s">
        <v>16</v>
      </c>
      <c r="F279" s="41" t="s">
        <v>27</v>
      </c>
      <c r="G279" s="41" t="s">
        <v>23</v>
      </c>
      <c r="H279" s="42">
        <v>45201.0</v>
      </c>
      <c r="I279" s="41">
        <v>218.0</v>
      </c>
      <c r="J279" s="43">
        <v>118.97</v>
      </c>
      <c r="K279" s="43">
        <v>205.02</v>
      </c>
      <c r="L279" s="43">
        <v>25935.46</v>
      </c>
      <c r="M279" s="43">
        <v>44694.36</v>
      </c>
      <c r="N279" s="43">
        <v>-18758.9</v>
      </c>
      <c r="O279" s="44">
        <v>-0.7232915861141465</v>
      </c>
    </row>
    <row r="280" ht="22.5" customHeight="1">
      <c r="B280" s="41" t="s">
        <v>308</v>
      </c>
      <c r="C280" s="41" t="s">
        <v>20</v>
      </c>
      <c r="D280" s="41" t="s">
        <v>15</v>
      </c>
      <c r="E280" s="41" t="s">
        <v>46</v>
      </c>
      <c r="F280" s="41" t="s">
        <v>27</v>
      </c>
      <c r="G280" s="41" t="s">
        <v>18</v>
      </c>
      <c r="H280" s="42">
        <v>45202.0</v>
      </c>
      <c r="I280" s="41">
        <v>81.0</v>
      </c>
      <c r="J280" s="43">
        <v>107.06</v>
      </c>
      <c r="K280" s="43">
        <v>289.92</v>
      </c>
      <c r="L280" s="43">
        <v>8671.86</v>
      </c>
      <c r="M280" s="43">
        <v>23483.52</v>
      </c>
      <c r="N280" s="43">
        <v>-14811.66</v>
      </c>
      <c r="O280" s="44">
        <v>-1.7080141976461796</v>
      </c>
    </row>
    <row r="281" ht="22.5" customHeight="1">
      <c r="B281" s="41" t="s">
        <v>309</v>
      </c>
      <c r="C281" s="41" t="s">
        <v>25</v>
      </c>
      <c r="D281" s="41" t="s">
        <v>21</v>
      </c>
      <c r="E281" s="41" t="s">
        <v>46</v>
      </c>
      <c r="F281" s="41" t="s">
        <v>27</v>
      </c>
      <c r="G281" s="41" t="s">
        <v>23</v>
      </c>
      <c r="H281" s="42">
        <v>45203.0</v>
      </c>
      <c r="I281" s="41">
        <v>286.0</v>
      </c>
      <c r="J281" s="43">
        <v>320.79</v>
      </c>
      <c r="K281" s="43">
        <v>43.45</v>
      </c>
      <c r="L281" s="43">
        <v>91745.94</v>
      </c>
      <c r="M281" s="43">
        <v>12426.7</v>
      </c>
      <c r="N281" s="43">
        <v>79319.24</v>
      </c>
      <c r="O281" s="44">
        <v>0.8645531344493282</v>
      </c>
    </row>
    <row r="282" ht="22.5" customHeight="1">
      <c r="B282" s="41" t="s">
        <v>310</v>
      </c>
      <c r="C282" s="41" t="s">
        <v>52</v>
      </c>
      <c r="D282" s="41" t="s">
        <v>54</v>
      </c>
      <c r="E282" s="41" t="s">
        <v>16</v>
      </c>
      <c r="F282" s="41" t="s">
        <v>17</v>
      </c>
      <c r="G282" s="41" t="s">
        <v>18</v>
      </c>
      <c r="H282" s="42">
        <v>45204.0</v>
      </c>
      <c r="I282" s="41">
        <v>283.0</v>
      </c>
      <c r="J282" s="43">
        <v>132.16</v>
      </c>
      <c r="K282" s="43">
        <v>91.72</v>
      </c>
      <c r="L282" s="43">
        <v>37401.28</v>
      </c>
      <c r="M282" s="43">
        <v>25956.76</v>
      </c>
      <c r="N282" s="43">
        <v>11444.52</v>
      </c>
      <c r="O282" s="44">
        <v>0.30599273607748184</v>
      </c>
    </row>
    <row r="283" ht="22.5" customHeight="1">
      <c r="B283" s="41" t="s">
        <v>311</v>
      </c>
      <c r="C283" s="41" t="s">
        <v>25</v>
      </c>
      <c r="D283" s="41" t="s">
        <v>21</v>
      </c>
      <c r="E283" s="41" t="s">
        <v>16</v>
      </c>
      <c r="F283" s="41" t="s">
        <v>17</v>
      </c>
      <c r="G283" s="41" t="s">
        <v>18</v>
      </c>
      <c r="H283" s="42">
        <v>45205.0</v>
      </c>
      <c r="I283" s="41">
        <v>487.0</v>
      </c>
      <c r="J283" s="43">
        <v>317.85</v>
      </c>
      <c r="K283" s="43">
        <v>281.77</v>
      </c>
      <c r="L283" s="43">
        <v>154792.95</v>
      </c>
      <c r="M283" s="43">
        <v>137221.99</v>
      </c>
      <c r="N283" s="43">
        <v>17570.96000000002</v>
      </c>
      <c r="O283" s="44">
        <v>0.11351266320591487</v>
      </c>
    </row>
    <row r="284" ht="22.5" customHeight="1">
      <c r="B284" s="41" t="s">
        <v>312</v>
      </c>
      <c r="C284" s="41" t="s">
        <v>52</v>
      </c>
      <c r="D284" s="41" t="s">
        <v>34</v>
      </c>
      <c r="E284" s="41" t="s">
        <v>22</v>
      </c>
      <c r="F284" s="41" t="s">
        <v>27</v>
      </c>
      <c r="G284" s="41" t="s">
        <v>23</v>
      </c>
      <c r="H284" s="42">
        <v>45206.0</v>
      </c>
      <c r="I284" s="41">
        <v>329.0</v>
      </c>
      <c r="J284" s="43">
        <v>33.94</v>
      </c>
      <c r="K284" s="43">
        <v>23.02</v>
      </c>
      <c r="L284" s="43">
        <v>11166.259999999998</v>
      </c>
      <c r="M284" s="43">
        <v>7573.58</v>
      </c>
      <c r="N284" s="43">
        <v>3592.6799999999985</v>
      </c>
      <c r="O284" s="44">
        <v>0.32174425456688266</v>
      </c>
    </row>
    <row r="285" ht="22.5" customHeight="1">
      <c r="B285" s="41" t="s">
        <v>313</v>
      </c>
      <c r="C285" s="41" t="s">
        <v>20</v>
      </c>
      <c r="D285" s="41" t="s">
        <v>21</v>
      </c>
      <c r="E285" s="41" t="s">
        <v>26</v>
      </c>
      <c r="F285" s="41" t="s">
        <v>17</v>
      </c>
      <c r="G285" s="41" t="s">
        <v>31</v>
      </c>
      <c r="H285" s="42">
        <v>45207.0</v>
      </c>
      <c r="I285" s="41">
        <v>347.0</v>
      </c>
      <c r="J285" s="43">
        <v>75.18</v>
      </c>
      <c r="K285" s="43">
        <v>195.67</v>
      </c>
      <c r="L285" s="43">
        <v>26087.460000000003</v>
      </c>
      <c r="M285" s="43">
        <v>67897.48999999999</v>
      </c>
      <c r="N285" s="43">
        <v>-41810.029999999984</v>
      </c>
      <c r="O285" s="44">
        <v>-1.602686884809789</v>
      </c>
    </row>
    <row r="286" ht="22.5" customHeight="1">
      <c r="B286" s="41" t="s">
        <v>314</v>
      </c>
      <c r="C286" s="41" t="s">
        <v>20</v>
      </c>
      <c r="D286" s="41" t="s">
        <v>21</v>
      </c>
      <c r="E286" s="41" t="s">
        <v>46</v>
      </c>
      <c r="F286" s="41" t="s">
        <v>27</v>
      </c>
      <c r="G286" s="41" t="s">
        <v>18</v>
      </c>
      <c r="H286" s="42">
        <v>45208.0</v>
      </c>
      <c r="I286" s="41">
        <v>375.0</v>
      </c>
      <c r="J286" s="43">
        <v>140.9</v>
      </c>
      <c r="K286" s="43">
        <v>240.55</v>
      </c>
      <c r="L286" s="43">
        <v>52837.5</v>
      </c>
      <c r="M286" s="43">
        <v>90206.25</v>
      </c>
      <c r="N286" s="43">
        <v>-37368.75</v>
      </c>
      <c r="O286" s="44">
        <v>-0.7072391767210788</v>
      </c>
    </row>
    <row r="287" ht="22.5" customHeight="1">
      <c r="B287" s="41" t="s">
        <v>315</v>
      </c>
      <c r="C287" s="41" t="s">
        <v>52</v>
      </c>
      <c r="D287" s="41" t="s">
        <v>21</v>
      </c>
      <c r="E287" s="41" t="s">
        <v>26</v>
      </c>
      <c r="F287" s="41" t="s">
        <v>17</v>
      </c>
      <c r="G287" s="41" t="s">
        <v>18</v>
      </c>
      <c r="H287" s="42">
        <v>45209.0</v>
      </c>
      <c r="I287" s="41">
        <v>104.0</v>
      </c>
      <c r="J287" s="43">
        <v>300.54</v>
      </c>
      <c r="K287" s="43">
        <v>241.65</v>
      </c>
      <c r="L287" s="43">
        <v>31256.160000000003</v>
      </c>
      <c r="M287" s="43">
        <v>25131.600000000002</v>
      </c>
      <c r="N287" s="43">
        <v>6124.560000000001</v>
      </c>
      <c r="O287" s="44">
        <v>0.1959472948692354</v>
      </c>
    </row>
    <row r="288" ht="22.5" customHeight="1">
      <c r="B288" s="41" t="s">
        <v>316</v>
      </c>
      <c r="C288" s="41" t="s">
        <v>14</v>
      </c>
      <c r="D288" s="41" t="s">
        <v>15</v>
      </c>
      <c r="E288" s="41" t="s">
        <v>39</v>
      </c>
      <c r="F288" s="41" t="s">
        <v>17</v>
      </c>
      <c r="G288" s="41" t="s">
        <v>18</v>
      </c>
      <c r="H288" s="42">
        <v>45210.0</v>
      </c>
      <c r="I288" s="41">
        <v>175.0</v>
      </c>
      <c r="J288" s="43">
        <v>339.54</v>
      </c>
      <c r="K288" s="43">
        <v>11.13</v>
      </c>
      <c r="L288" s="43">
        <v>59419.5</v>
      </c>
      <c r="M288" s="43">
        <v>1947.7500000000002</v>
      </c>
      <c r="N288" s="43">
        <v>57471.75</v>
      </c>
      <c r="O288" s="44">
        <v>0.9672203569535254</v>
      </c>
    </row>
    <row r="289" ht="22.5" customHeight="1">
      <c r="B289" s="41" t="s">
        <v>317</v>
      </c>
      <c r="C289" s="41" t="s">
        <v>52</v>
      </c>
      <c r="D289" s="41" t="s">
        <v>21</v>
      </c>
      <c r="E289" s="41" t="s">
        <v>16</v>
      </c>
      <c r="F289" s="41" t="s">
        <v>17</v>
      </c>
      <c r="G289" s="41" t="s">
        <v>23</v>
      </c>
      <c r="H289" s="42">
        <v>45211.0</v>
      </c>
      <c r="I289" s="41">
        <v>41.0</v>
      </c>
      <c r="J289" s="43">
        <v>224.14</v>
      </c>
      <c r="K289" s="43">
        <v>130.2</v>
      </c>
      <c r="L289" s="43">
        <v>9189.74</v>
      </c>
      <c r="M289" s="43">
        <v>5338.2</v>
      </c>
      <c r="N289" s="43">
        <v>3851.54</v>
      </c>
      <c r="O289" s="44">
        <v>0.41911305434103685</v>
      </c>
    </row>
    <row r="290" ht="22.5" customHeight="1">
      <c r="B290" s="41" t="s">
        <v>318</v>
      </c>
      <c r="C290" s="41" t="s">
        <v>14</v>
      </c>
      <c r="D290" s="41" t="s">
        <v>54</v>
      </c>
      <c r="E290" s="41" t="s">
        <v>22</v>
      </c>
      <c r="F290" s="41" t="s">
        <v>17</v>
      </c>
      <c r="G290" s="41" t="s">
        <v>31</v>
      </c>
      <c r="H290" s="42">
        <v>45212.0</v>
      </c>
      <c r="I290" s="41">
        <v>20.0</v>
      </c>
      <c r="J290" s="43">
        <v>225.67</v>
      </c>
      <c r="K290" s="43">
        <v>255.32</v>
      </c>
      <c r="L290" s="43">
        <v>4513.4</v>
      </c>
      <c r="M290" s="43">
        <v>5106.4</v>
      </c>
      <c r="N290" s="43">
        <v>-593.0</v>
      </c>
      <c r="O290" s="44">
        <v>-0.13138653786502416</v>
      </c>
    </row>
    <row r="291" ht="22.5" customHeight="1">
      <c r="B291" s="41" t="s">
        <v>319</v>
      </c>
      <c r="C291" s="41" t="s">
        <v>25</v>
      </c>
      <c r="D291" s="41" t="s">
        <v>34</v>
      </c>
      <c r="E291" s="41" t="s">
        <v>30</v>
      </c>
      <c r="F291" s="41" t="s">
        <v>27</v>
      </c>
      <c r="G291" s="41" t="s">
        <v>23</v>
      </c>
      <c r="H291" s="42">
        <v>45213.0</v>
      </c>
      <c r="I291" s="41">
        <v>310.0</v>
      </c>
      <c r="J291" s="43">
        <v>363.64</v>
      </c>
      <c r="K291" s="43">
        <v>61.3</v>
      </c>
      <c r="L291" s="43">
        <v>112728.4</v>
      </c>
      <c r="M291" s="43">
        <v>19003.0</v>
      </c>
      <c r="N291" s="43">
        <v>93725.4</v>
      </c>
      <c r="O291" s="44">
        <v>0.8314266857331427</v>
      </c>
    </row>
    <row r="292" ht="22.5" hidden="1" customHeight="1">
      <c r="B292" s="41" t="s">
        <v>320</v>
      </c>
      <c r="C292" s="41" t="s">
        <v>25</v>
      </c>
      <c r="D292" s="41" t="s">
        <v>34</v>
      </c>
      <c r="E292" s="41" t="s">
        <v>22</v>
      </c>
      <c r="F292" s="41" t="s">
        <v>27</v>
      </c>
      <c r="G292" s="41" t="s">
        <v>23</v>
      </c>
      <c r="H292" s="42">
        <v>45214.0</v>
      </c>
      <c r="I292" s="41">
        <v>226.0</v>
      </c>
      <c r="J292" s="43">
        <v>249.64520588235297</v>
      </c>
      <c r="K292" s="43">
        <v>278.78</v>
      </c>
      <c r="L292" s="43">
        <v>56419.81652941177</v>
      </c>
      <c r="M292" s="43">
        <v>63004.27999999999</v>
      </c>
      <c r="N292" s="43">
        <v>-6584.46347058822</v>
      </c>
      <c r="O292" s="44">
        <v>-0.11670480117842505</v>
      </c>
    </row>
    <row r="293" ht="22.5" hidden="1" customHeight="1">
      <c r="B293" s="41" t="s">
        <v>321</v>
      </c>
      <c r="C293" s="41" t="s">
        <v>25</v>
      </c>
      <c r="D293" s="41" t="s">
        <v>21</v>
      </c>
      <c r="E293" s="41" t="s">
        <v>22</v>
      </c>
      <c r="F293" s="41" t="s">
        <v>27</v>
      </c>
      <c r="G293" s="41" t="s">
        <v>31</v>
      </c>
      <c r="H293" s="42">
        <v>45215.0</v>
      </c>
      <c r="I293" s="41">
        <v>255.9029411764706</v>
      </c>
      <c r="J293" s="43">
        <v>173.84</v>
      </c>
      <c r="K293" s="43">
        <v>298.88</v>
      </c>
      <c r="L293" s="43">
        <v>44486.16729411765</v>
      </c>
      <c r="M293" s="43">
        <v>76484.27105882353</v>
      </c>
      <c r="N293" s="43">
        <v>-31998.103764705884</v>
      </c>
      <c r="O293" s="44">
        <v>-0.7192820984813622</v>
      </c>
    </row>
    <row r="294" ht="22.5" customHeight="1">
      <c r="B294" s="41" t="s">
        <v>322</v>
      </c>
      <c r="C294" s="41" t="s">
        <v>20</v>
      </c>
      <c r="D294" s="41" t="s">
        <v>15</v>
      </c>
      <c r="E294" s="41" t="s">
        <v>26</v>
      </c>
      <c r="F294" s="41" t="s">
        <v>17</v>
      </c>
      <c r="G294" s="41" t="s">
        <v>23</v>
      </c>
      <c r="H294" s="42">
        <v>45216.0</v>
      </c>
      <c r="I294" s="41">
        <v>111.0</v>
      </c>
      <c r="J294" s="43">
        <v>410.26</v>
      </c>
      <c r="K294" s="43">
        <v>392.82</v>
      </c>
      <c r="L294" s="43">
        <v>45538.86</v>
      </c>
      <c r="M294" s="43">
        <v>43603.02</v>
      </c>
      <c r="N294" s="43">
        <v>1935.8400000000038</v>
      </c>
      <c r="O294" s="44">
        <v>0.04250962804075473</v>
      </c>
    </row>
    <row r="295" ht="22.5" customHeight="1">
      <c r="B295" s="41" t="s">
        <v>323</v>
      </c>
      <c r="C295" s="41" t="s">
        <v>25</v>
      </c>
      <c r="D295" s="41" t="s">
        <v>15</v>
      </c>
      <c r="E295" s="41" t="s">
        <v>22</v>
      </c>
      <c r="F295" s="41" t="s">
        <v>27</v>
      </c>
      <c r="G295" s="41" t="s">
        <v>31</v>
      </c>
      <c r="H295" s="42">
        <v>45217.0</v>
      </c>
      <c r="I295" s="41">
        <v>434.0</v>
      </c>
      <c r="J295" s="43">
        <v>303.59</v>
      </c>
      <c r="K295" s="43">
        <v>85.52</v>
      </c>
      <c r="L295" s="43">
        <v>131758.06</v>
      </c>
      <c r="M295" s="43">
        <v>37115.68</v>
      </c>
      <c r="N295" s="43">
        <v>94642.38</v>
      </c>
      <c r="O295" s="44">
        <v>0.7183042919727264</v>
      </c>
    </row>
    <row r="296" ht="22.5" customHeight="1">
      <c r="B296" s="41" t="s">
        <v>324</v>
      </c>
      <c r="C296" s="41" t="s">
        <v>14</v>
      </c>
      <c r="D296" s="41" t="s">
        <v>54</v>
      </c>
      <c r="E296" s="41" t="s">
        <v>46</v>
      </c>
      <c r="F296" s="41" t="s">
        <v>27</v>
      </c>
      <c r="G296" s="41" t="s">
        <v>18</v>
      </c>
      <c r="H296" s="42">
        <v>45218.0</v>
      </c>
      <c r="I296" s="41">
        <v>401.0</v>
      </c>
      <c r="J296" s="43">
        <v>171.93</v>
      </c>
      <c r="K296" s="43">
        <v>330.4</v>
      </c>
      <c r="L296" s="43">
        <v>68943.93000000001</v>
      </c>
      <c r="M296" s="43">
        <v>132490.4</v>
      </c>
      <c r="N296" s="43">
        <v>-63546.46999999999</v>
      </c>
      <c r="O296" s="44">
        <v>-0.9217123247833418</v>
      </c>
    </row>
    <row r="297" ht="22.5" customHeight="1">
      <c r="B297" s="41" t="s">
        <v>325</v>
      </c>
      <c r="C297" s="41" t="s">
        <v>25</v>
      </c>
      <c r="D297" s="41" t="s">
        <v>21</v>
      </c>
      <c r="E297" s="41" t="s">
        <v>26</v>
      </c>
      <c r="F297" s="41" t="s">
        <v>27</v>
      </c>
      <c r="G297" s="41" t="s">
        <v>31</v>
      </c>
      <c r="H297" s="42">
        <v>45219.0</v>
      </c>
      <c r="I297" s="41">
        <v>276.0</v>
      </c>
      <c r="J297" s="43">
        <v>453.23</v>
      </c>
      <c r="K297" s="43">
        <v>209.08</v>
      </c>
      <c r="L297" s="43">
        <v>125091.48000000001</v>
      </c>
      <c r="M297" s="43">
        <v>57706.08</v>
      </c>
      <c r="N297" s="43">
        <v>67385.40000000001</v>
      </c>
      <c r="O297" s="44">
        <v>0.5386889658672197</v>
      </c>
    </row>
    <row r="298" ht="22.5" hidden="1" customHeight="1">
      <c r="B298" s="41" t="s">
        <v>326</v>
      </c>
      <c r="C298" s="41" t="s">
        <v>52</v>
      </c>
      <c r="D298" s="41" t="s">
        <v>34</v>
      </c>
      <c r="E298" s="41" t="s">
        <v>46</v>
      </c>
      <c r="F298" s="41" t="s">
        <v>17</v>
      </c>
      <c r="G298" s="41" t="s">
        <v>18</v>
      </c>
      <c r="H298" s="42">
        <v>45220.0</v>
      </c>
      <c r="I298" s="41">
        <v>255.9029411764706</v>
      </c>
      <c r="J298" s="43">
        <v>387.45</v>
      </c>
      <c r="K298" s="43">
        <v>150.64</v>
      </c>
      <c r="L298" s="43">
        <v>99149.59455882353</v>
      </c>
      <c r="M298" s="43">
        <v>38549.219058823524</v>
      </c>
      <c r="N298" s="43">
        <v>60600.37550000001</v>
      </c>
      <c r="O298" s="44">
        <v>0.6112014453477869</v>
      </c>
    </row>
    <row r="299" ht="22.5" customHeight="1">
      <c r="B299" s="41" t="s">
        <v>327</v>
      </c>
      <c r="C299" s="41" t="s">
        <v>52</v>
      </c>
      <c r="D299" s="41" t="s">
        <v>15</v>
      </c>
      <c r="E299" s="41" t="s">
        <v>30</v>
      </c>
      <c r="F299" s="41" t="s">
        <v>17</v>
      </c>
      <c r="G299" s="41" t="s">
        <v>23</v>
      </c>
      <c r="H299" s="42">
        <v>45221.0</v>
      </c>
      <c r="I299" s="41">
        <v>188.0</v>
      </c>
      <c r="J299" s="43">
        <v>136.12</v>
      </c>
      <c r="K299" s="43">
        <v>50.71</v>
      </c>
      <c r="L299" s="43">
        <v>25590.56</v>
      </c>
      <c r="M299" s="43">
        <v>9533.48</v>
      </c>
      <c r="N299" s="43">
        <v>16057.080000000002</v>
      </c>
      <c r="O299" s="44">
        <v>0.6274610637672642</v>
      </c>
    </row>
    <row r="300" ht="22.5" customHeight="1">
      <c r="B300" s="41" t="s">
        <v>328</v>
      </c>
      <c r="C300" s="41" t="s">
        <v>20</v>
      </c>
      <c r="D300" s="41" t="s">
        <v>21</v>
      </c>
      <c r="E300" s="41" t="s">
        <v>26</v>
      </c>
      <c r="F300" s="41" t="s">
        <v>17</v>
      </c>
      <c r="G300" s="41" t="s">
        <v>23</v>
      </c>
      <c r="H300" s="42">
        <v>45222.0</v>
      </c>
      <c r="I300" s="41">
        <v>97.0</v>
      </c>
      <c r="J300" s="43">
        <v>324.42</v>
      </c>
      <c r="K300" s="43">
        <v>294.73</v>
      </c>
      <c r="L300" s="43">
        <v>31468.74</v>
      </c>
      <c r="M300" s="43">
        <v>28588.81</v>
      </c>
      <c r="N300" s="43">
        <v>2879.9300000000003</v>
      </c>
      <c r="O300" s="44">
        <v>0.09151716910178165</v>
      </c>
    </row>
    <row r="301" ht="22.5" customHeight="1">
      <c r="B301" s="41" t="s">
        <v>329</v>
      </c>
      <c r="C301" s="41" t="s">
        <v>52</v>
      </c>
      <c r="D301" s="41" t="s">
        <v>15</v>
      </c>
      <c r="E301" s="41" t="s">
        <v>30</v>
      </c>
      <c r="F301" s="41" t="s">
        <v>27</v>
      </c>
      <c r="G301" s="41" t="s">
        <v>18</v>
      </c>
      <c r="H301" s="42">
        <v>45223.0</v>
      </c>
      <c r="I301" s="41">
        <v>50.0</v>
      </c>
      <c r="J301" s="43">
        <v>299.9</v>
      </c>
      <c r="K301" s="43">
        <v>95.87</v>
      </c>
      <c r="L301" s="43">
        <v>14994.999999999998</v>
      </c>
      <c r="M301" s="43">
        <v>4793.5</v>
      </c>
      <c r="N301" s="43">
        <v>10201.499999999998</v>
      </c>
      <c r="O301" s="44">
        <v>0.6803267755918639</v>
      </c>
    </row>
    <row r="302" ht="22.5" customHeight="1">
      <c r="B302" s="41" t="s">
        <v>330</v>
      </c>
      <c r="C302" s="41" t="s">
        <v>14</v>
      </c>
      <c r="D302" s="41" t="s">
        <v>15</v>
      </c>
      <c r="E302" s="41" t="s">
        <v>26</v>
      </c>
      <c r="F302" s="41" t="s">
        <v>27</v>
      </c>
      <c r="G302" s="41" t="s">
        <v>23</v>
      </c>
      <c r="H302" s="42">
        <v>45224.0</v>
      </c>
      <c r="I302" s="41">
        <v>410.0</v>
      </c>
      <c r="J302" s="43">
        <v>203.59</v>
      </c>
      <c r="K302" s="43">
        <v>149.83</v>
      </c>
      <c r="L302" s="43">
        <v>83471.9</v>
      </c>
      <c r="M302" s="43">
        <v>61430.3</v>
      </c>
      <c r="N302" s="43">
        <v>22041.59999999999</v>
      </c>
      <c r="O302" s="44">
        <v>0.264060120831082</v>
      </c>
    </row>
    <row r="303" ht="22.5" customHeight="1">
      <c r="B303" s="41" t="s">
        <v>331</v>
      </c>
      <c r="C303" s="41" t="s">
        <v>25</v>
      </c>
      <c r="D303" s="41" t="s">
        <v>34</v>
      </c>
      <c r="E303" s="41" t="s">
        <v>16</v>
      </c>
      <c r="F303" s="41" t="s">
        <v>27</v>
      </c>
      <c r="G303" s="41" t="s">
        <v>31</v>
      </c>
      <c r="H303" s="42">
        <v>45225.0</v>
      </c>
      <c r="I303" s="41">
        <v>85.0</v>
      </c>
      <c r="J303" s="43">
        <v>186.64</v>
      </c>
      <c r="K303" s="43">
        <v>26.89</v>
      </c>
      <c r="L303" s="43">
        <v>15864.4</v>
      </c>
      <c r="M303" s="43">
        <v>2285.65</v>
      </c>
      <c r="N303" s="43">
        <v>13578.75</v>
      </c>
      <c r="O303" s="44">
        <v>0.8559258465495071</v>
      </c>
    </row>
    <row r="304" ht="22.5" customHeight="1">
      <c r="B304" s="41" t="s">
        <v>332</v>
      </c>
      <c r="C304" s="41" t="s">
        <v>20</v>
      </c>
      <c r="D304" s="41" t="s">
        <v>29</v>
      </c>
      <c r="E304" s="41" t="s">
        <v>22</v>
      </c>
      <c r="F304" s="41" t="s">
        <v>17</v>
      </c>
      <c r="G304" s="41" t="s">
        <v>18</v>
      </c>
      <c r="H304" s="42">
        <v>45226.0</v>
      </c>
      <c r="I304" s="41">
        <v>386.0</v>
      </c>
      <c r="J304" s="43">
        <v>175.06</v>
      </c>
      <c r="K304" s="43">
        <v>320.94</v>
      </c>
      <c r="L304" s="43">
        <v>67573.16</v>
      </c>
      <c r="M304" s="43">
        <v>123882.84</v>
      </c>
      <c r="N304" s="43">
        <v>-56309.67999999999</v>
      </c>
      <c r="O304" s="44">
        <v>-0.8333142922426595</v>
      </c>
    </row>
    <row r="305" ht="22.5" customHeight="1">
      <c r="B305" s="41" t="s">
        <v>333</v>
      </c>
      <c r="C305" s="41" t="s">
        <v>25</v>
      </c>
      <c r="D305" s="41" t="s">
        <v>54</v>
      </c>
      <c r="E305" s="41" t="s">
        <v>16</v>
      </c>
      <c r="F305" s="41" t="s">
        <v>17</v>
      </c>
      <c r="G305" s="41" t="s">
        <v>23</v>
      </c>
      <c r="H305" s="42">
        <v>45227.0</v>
      </c>
      <c r="I305" s="41">
        <v>55.0</v>
      </c>
      <c r="J305" s="43">
        <v>310.49</v>
      </c>
      <c r="K305" s="43">
        <v>307.1</v>
      </c>
      <c r="L305" s="43">
        <v>17076.95</v>
      </c>
      <c r="M305" s="43">
        <v>16890.5</v>
      </c>
      <c r="N305" s="43">
        <v>186.45000000000073</v>
      </c>
      <c r="O305" s="44">
        <v>0.010918226029823869</v>
      </c>
    </row>
    <row r="306" ht="22.5" customHeight="1">
      <c r="B306" s="41" t="s">
        <v>334</v>
      </c>
      <c r="C306" s="41" t="s">
        <v>25</v>
      </c>
      <c r="D306" s="41" t="s">
        <v>54</v>
      </c>
      <c r="E306" s="41" t="s">
        <v>30</v>
      </c>
      <c r="F306" s="41" t="s">
        <v>27</v>
      </c>
      <c r="G306" s="41" t="s">
        <v>18</v>
      </c>
      <c r="H306" s="42">
        <v>45228.0</v>
      </c>
      <c r="I306" s="41">
        <v>169.0</v>
      </c>
      <c r="J306" s="43">
        <v>223.99</v>
      </c>
      <c r="K306" s="43">
        <v>293.98</v>
      </c>
      <c r="L306" s="43">
        <v>37854.310000000005</v>
      </c>
      <c r="M306" s="43">
        <v>49682.62</v>
      </c>
      <c r="N306" s="43">
        <v>-11828.309999999998</v>
      </c>
      <c r="O306" s="44">
        <v>-0.312469306665476</v>
      </c>
    </row>
    <row r="307" ht="22.5" customHeight="1">
      <c r="B307" s="41" t="s">
        <v>335</v>
      </c>
      <c r="C307" s="41" t="s">
        <v>14</v>
      </c>
      <c r="D307" s="41" t="s">
        <v>34</v>
      </c>
      <c r="E307" s="41" t="s">
        <v>22</v>
      </c>
      <c r="F307" s="41" t="s">
        <v>17</v>
      </c>
      <c r="G307" s="41" t="s">
        <v>31</v>
      </c>
      <c r="H307" s="42">
        <v>45229.0</v>
      </c>
      <c r="I307" s="41">
        <v>472.0</v>
      </c>
      <c r="J307" s="43">
        <v>416.77</v>
      </c>
      <c r="K307" s="43">
        <v>121.18</v>
      </c>
      <c r="L307" s="43">
        <v>196715.44</v>
      </c>
      <c r="M307" s="43">
        <v>57196.96000000001</v>
      </c>
      <c r="N307" s="43">
        <v>139518.47999999998</v>
      </c>
      <c r="O307" s="44">
        <v>0.7092401084531035</v>
      </c>
    </row>
    <row r="308" ht="22.5" customHeight="1">
      <c r="B308" s="41" t="s">
        <v>336</v>
      </c>
      <c r="C308" s="41" t="s">
        <v>52</v>
      </c>
      <c r="D308" s="41" t="s">
        <v>15</v>
      </c>
      <c r="E308" s="41" t="s">
        <v>26</v>
      </c>
      <c r="F308" s="41" t="s">
        <v>17</v>
      </c>
      <c r="G308" s="41" t="s">
        <v>31</v>
      </c>
      <c r="H308" s="42">
        <v>45230.0</v>
      </c>
      <c r="I308" s="41">
        <v>89.0</v>
      </c>
      <c r="J308" s="43">
        <v>336.45</v>
      </c>
      <c r="K308" s="43">
        <v>71.05</v>
      </c>
      <c r="L308" s="43">
        <v>29944.05</v>
      </c>
      <c r="M308" s="43">
        <v>6323.45</v>
      </c>
      <c r="N308" s="43">
        <v>23620.6</v>
      </c>
      <c r="O308" s="44">
        <v>0.7888244910090653</v>
      </c>
    </row>
    <row r="309" ht="22.5" customHeight="1">
      <c r="B309" s="41" t="s">
        <v>337</v>
      </c>
      <c r="C309" s="41" t="s">
        <v>52</v>
      </c>
      <c r="D309" s="41" t="s">
        <v>21</v>
      </c>
      <c r="E309" s="41" t="s">
        <v>22</v>
      </c>
      <c r="F309" s="41" t="s">
        <v>17</v>
      </c>
      <c r="G309" s="41" t="s">
        <v>23</v>
      </c>
      <c r="H309" s="42">
        <v>45231.0</v>
      </c>
      <c r="I309" s="41">
        <v>319.0</v>
      </c>
      <c r="J309" s="43">
        <v>39.62</v>
      </c>
      <c r="K309" s="43">
        <v>255.75</v>
      </c>
      <c r="L309" s="43">
        <v>12638.779999999999</v>
      </c>
      <c r="M309" s="43">
        <v>81584.25</v>
      </c>
      <c r="N309" s="43">
        <v>-68945.47</v>
      </c>
      <c r="O309" s="44">
        <v>-5.455073195355881</v>
      </c>
    </row>
    <row r="310" ht="22.5" customHeight="1">
      <c r="B310" s="41" t="s">
        <v>338</v>
      </c>
      <c r="C310" s="41" t="s">
        <v>25</v>
      </c>
      <c r="D310" s="41" t="s">
        <v>15</v>
      </c>
      <c r="E310" s="41" t="s">
        <v>39</v>
      </c>
      <c r="F310" s="41" t="s">
        <v>17</v>
      </c>
      <c r="G310" s="41" t="s">
        <v>31</v>
      </c>
      <c r="H310" s="42">
        <v>45232.0</v>
      </c>
      <c r="I310" s="41">
        <v>95.0</v>
      </c>
      <c r="J310" s="43">
        <v>321.88</v>
      </c>
      <c r="K310" s="43">
        <v>199.47</v>
      </c>
      <c r="L310" s="43">
        <v>30578.6</v>
      </c>
      <c r="M310" s="43">
        <v>18949.65</v>
      </c>
      <c r="N310" s="43">
        <v>11628.949999999997</v>
      </c>
      <c r="O310" s="44">
        <v>0.3802970050950664</v>
      </c>
    </row>
    <row r="311" ht="22.5" customHeight="1">
      <c r="B311" s="41" t="s">
        <v>339</v>
      </c>
      <c r="C311" s="41" t="s">
        <v>20</v>
      </c>
      <c r="D311" s="41" t="s">
        <v>34</v>
      </c>
      <c r="E311" s="41" t="s">
        <v>39</v>
      </c>
      <c r="F311" s="41" t="s">
        <v>27</v>
      </c>
      <c r="G311" s="41" t="s">
        <v>18</v>
      </c>
      <c r="H311" s="42">
        <v>45233.0</v>
      </c>
      <c r="I311" s="41">
        <v>101.0</v>
      </c>
      <c r="J311" s="43">
        <v>139.22</v>
      </c>
      <c r="K311" s="43">
        <v>72.94</v>
      </c>
      <c r="L311" s="43">
        <v>14061.22</v>
      </c>
      <c r="M311" s="43">
        <v>7366.94</v>
      </c>
      <c r="N311" s="43">
        <v>6694.28</v>
      </c>
      <c r="O311" s="44">
        <v>0.47608102284154574</v>
      </c>
    </row>
    <row r="312" ht="22.5" hidden="1" customHeight="1">
      <c r="B312" s="41" t="s">
        <v>340</v>
      </c>
      <c r="C312" s="41" t="s">
        <v>52</v>
      </c>
      <c r="D312" s="41" t="s">
        <v>54</v>
      </c>
      <c r="E312" s="41" t="s">
        <v>39</v>
      </c>
      <c r="F312" s="41" t="s">
        <v>17</v>
      </c>
      <c r="G312" s="41" t="s">
        <v>31</v>
      </c>
      <c r="H312" s="42">
        <v>45234.0</v>
      </c>
      <c r="I312" s="41">
        <v>157.0</v>
      </c>
      <c r="J312" s="43">
        <v>249.64520588235297</v>
      </c>
      <c r="K312" s="43">
        <v>274.99</v>
      </c>
      <c r="L312" s="43">
        <v>39194.29732352942</v>
      </c>
      <c r="M312" s="43">
        <v>43173.43</v>
      </c>
      <c r="N312" s="43">
        <v>-3979.132676470581</v>
      </c>
      <c r="O312" s="44">
        <v>-0.10152325588655975</v>
      </c>
    </row>
    <row r="313" ht="22.5" customHeight="1">
      <c r="B313" s="41" t="s">
        <v>341</v>
      </c>
      <c r="C313" s="41" t="s">
        <v>20</v>
      </c>
      <c r="D313" s="41" t="s">
        <v>15</v>
      </c>
      <c r="E313" s="41" t="s">
        <v>22</v>
      </c>
      <c r="F313" s="41" t="s">
        <v>17</v>
      </c>
      <c r="G313" s="41" t="s">
        <v>18</v>
      </c>
      <c r="H313" s="42">
        <v>45235.0</v>
      </c>
      <c r="I313" s="41">
        <v>170.0</v>
      </c>
      <c r="J313" s="43">
        <v>341.67</v>
      </c>
      <c r="K313" s="43">
        <v>396.47</v>
      </c>
      <c r="L313" s="43">
        <v>58083.9</v>
      </c>
      <c r="M313" s="43">
        <v>67399.90000000001</v>
      </c>
      <c r="N313" s="43">
        <v>-9316.000000000007</v>
      </c>
      <c r="O313" s="44">
        <v>-0.16038867913483784</v>
      </c>
    </row>
    <row r="314" ht="22.5" customHeight="1">
      <c r="B314" s="41" t="s">
        <v>342</v>
      </c>
      <c r="C314" s="41" t="s">
        <v>52</v>
      </c>
      <c r="D314" s="41" t="s">
        <v>54</v>
      </c>
      <c r="E314" s="41" t="s">
        <v>46</v>
      </c>
      <c r="F314" s="41" t="s">
        <v>17</v>
      </c>
      <c r="G314" s="41" t="s">
        <v>18</v>
      </c>
      <c r="H314" s="42">
        <v>45236.0</v>
      </c>
      <c r="I314" s="41">
        <v>211.0</v>
      </c>
      <c r="J314" s="43">
        <v>119.26</v>
      </c>
      <c r="K314" s="43">
        <v>299.39</v>
      </c>
      <c r="L314" s="43">
        <v>25163.86</v>
      </c>
      <c r="M314" s="43">
        <v>63171.28999999999</v>
      </c>
      <c r="N314" s="43">
        <v>-38007.42999999999</v>
      </c>
      <c r="O314" s="44">
        <v>-1.5103974509475093</v>
      </c>
    </row>
    <row r="315" ht="22.5" customHeight="1">
      <c r="B315" s="41" t="s">
        <v>343</v>
      </c>
      <c r="C315" s="41" t="s">
        <v>20</v>
      </c>
      <c r="D315" s="41" t="s">
        <v>21</v>
      </c>
      <c r="E315" s="41" t="s">
        <v>30</v>
      </c>
      <c r="F315" s="41" t="s">
        <v>17</v>
      </c>
      <c r="G315" s="41" t="s">
        <v>31</v>
      </c>
      <c r="H315" s="42">
        <v>45237.0</v>
      </c>
      <c r="I315" s="41">
        <v>433.0</v>
      </c>
      <c r="J315" s="43">
        <v>231.15</v>
      </c>
      <c r="K315" s="43">
        <v>296.51</v>
      </c>
      <c r="L315" s="43">
        <v>100087.95</v>
      </c>
      <c r="M315" s="43">
        <v>128388.83</v>
      </c>
      <c r="N315" s="43">
        <v>-28300.880000000005</v>
      </c>
      <c r="O315" s="44">
        <v>-0.28276011248107297</v>
      </c>
    </row>
    <row r="316" ht="22.5" customHeight="1">
      <c r="B316" s="41" t="s">
        <v>344</v>
      </c>
      <c r="C316" s="41" t="s">
        <v>14</v>
      </c>
      <c r="D316" s="41" t="s">
        <v>54</v>
      </c>
      <c r="E316" s="41" t="s">
        <v>16</v>
      </c>
      <c r="F316" s="41" t="s">
        <v>27</v>
      </c>
      <c r="G316" s="41" t="s">
        <v>23</v>
      </c>
      <c r="H316" s="42">
        <v>45238.0</v>
      </c>
      <c r="I316" s="41">
        <v>425.0</v>
      </c>
      <c r="J316" s="43">
        <v>99.21</v>
      </c>
      <c r="K316" s="43">
        <v>380.22</v>
      </c>
      <c r="L316" s="43">
        <v>42164.25</v>
      </c>
      <c r="M316" s="43">
        <v>161593.5</v>
      </c>
      <c r="N316" s="43">
        <v>-119429.25</v>
      </c>
      <c r="O316" s="44">
        <v>-2.832476564862413</v>
      </c>
    </row>
    <row r="317" ht="22.5" customHeight="1">
      <c r="B317" s="41" t="s">
        <v>345</v>
      </c>
      <c r="C317" s="41" t="s">
        <v>20</v>
      </c>
      <c r="D317" s="41" t="s">
        <v>54</v>
      </c>
      <c r="E317" s="41" t="s">
        <v>26</v>
      </c>
      <c r="F317" s="41" t="s">
        <v>27</v>
      </c>
      <c r="G317" s="41" t="s">
        <v>31</v>
      </c>
      <c r="H317" s="42">
        <v>45239.0</v>
      </c>
      <c r="I317" s="41">
        <v>251.0</v>
      </c>
      <c r="J317" s="43">
        <v>30.91</v>
      </c>
      <c r="K317" s="43">
        <v>82.77</v>
      </c>
      <c r="L317" s="43">
        <v>7758.41</v>
      </c>
      <c r="M317" s="43">
        <v>20775.27</v>
      </c>
      <c r="N317" s="43">
        <v>-13016.86</v>
      </c>
      <c r="O317" s="44">
        <v>-1.6777741831122615</v>
      </c>
    </row>
    <row r="318" ht="22.5" hidden="1" customHeight="1">
      <c r="B318" s="41" t="s">
        <v>346</v>
      </c>
      <c r="C318" s="41" t="s">
        <v>14</v>
      </c>
      <c r="D318" s="41" t="s">
        <v>29</v>
      </c>
      <c r="E318" s="41" t="s">
        <v>22</v>
      </c>
      <c r="F318" s="41" t="s">
        <v>17</v>
      </c>
      <c r="G318" s="41" t="s">
        <v>18</v>
      </c>
      <c r="H318" s="42">
        <v>45240.0</v>
      </c>
      <c r="I318" s="41">
        <v>255.9029411764706</v>
      </c>
      <c r="J318" s="43">
        <v>192.35</v>
      </c>
      <c r="K318" s="43">
        <v>227.09</v>
      </c>
      <c r="L318" s="43">
        <v>49222.93073529412</v>
      </c>
      <c r="M318" s="43">
        <v>58112.998911764706</v>
      </c>
      <c r="N318" s="43">
        <v>-8890.068176470588</v>
      </c>
      <c r="O318" s="44">
        <v>-0.18060826618144007</v>
      </c>
    </row>
    <row r="319" ht="22.5" customHeight="1">
      <c r="B319" s="41" t="s">
        <v>347</v>
      </c>
      <c r="C319" s="41" t="s">
        <v>14</v>
      </c>
      <c r="D319" s="41" t="s">
        <v>29</v>
      </c>
      <c r="E319" s="41" t="s">
        <v>16</v>
      </c>
      <c r="F319" s="41" t="s">
        <v>17</v>
      </c>
      <c r="G319" s="41" t="s">
        <v>18</v>
      </c>
      <c r="H319" s="42">
        <v>45241.0</v>
      </c>
      <c r="I319" s="41">
        <v>11.0</v>
      </c>
      <c r="J319" s="43">
        <v>184.66</v>
      </c>
      <c r="K319" s="43">
        <v>391.9</v>
      </c>
      <c r="L319" s="43">
        <v>2031.26</v>
      </c>
      <c r="M319" s="43">
        <v>4310.9</v>
      </c>
      <c r="N319" s="43">
        <v>-2279.6399999999994</v>
      </c>
      <c r="O319" s="44">
        <v>-1.1222787826275313</v>
      </c>
    </row>
    <row r="320" ht="22.5" customHeight="1">
      <c r="B320" s="41" t="s">
        <v>348</v>
      </c>
      <c r="C320" s="41" t="s">
        <v>20</v>
      </c>
      <c r="D320" s="41" t="s">
        <v>29</v>
      </c>
      <c r="E320" s="41" t="s">
        <v>26</v>
      </c>
      <c r="F320" s="41" t="s">
        <v>17</v>
      </c>
      <c r="G320" s="41" t="s">
        <v>31</v>
      </c>
      <c r="H320" s="42">
        <v>45242.0</v>
      </c>
      <c r="I320" s="41">
        <v>234.0</v>
      </c>
      <c r="J320" s="43">
        <v>497.76</v>
      </c>
      <c r="K320" s="43">
        <v>67.79</v>
      </c>
      <c r="L320" s="43">
        <v>116475.84</v>
      </c>
      <c r="M320" s="43">
        <v>15862.86</v>
      </c>
      <c r="N320" s="43">
        <v>100612.98</v>
      </c>
      <c r="O320" s="44">
        <v>0.863809868209579</v>
      </c>
    </row>
    <row r="321" ht="22.5" hidden="1" customHeight="1">
      <c r="B321" s="41" t="s">
        <v>349</v>
      </c>
      <c r="C321" s="41" t="s">
        <v>14</v>
      </c>
      <c r="D321" s="41" t="s">
        <v>54</v>
      </c>
      <c r="E321" s="41" t="s">
        <v>26</v>
      </c>
      <c r="F321" s="41" t="s">
        <v>17</v>
      </c>
      <c r="G321" s="41" t="s">
        <v>23</v>
      </c>
      <c r="H321" s="42">
        <v>45243.0</v>
      </c>
      <c r="I321" s="41">
        <v>255.9029411764706</v>
      </c>
      <c r="J321" s="43">
        <v>225.94</v>
      </c>
      <c r="K321" s="43">
        <v>280.7</v>
      </c>
      <c r="L321" s="43">
        <v>57818.710529411765</v>
      </c>
      <c r="M321" s="43">
        <v>71831.95558823529</v>
      </c>
      <c r="N321" s="43">
        <v>-14013.245058823522</v>
      </c>
      <c r="O321" s="44">
        <v>-0.24236522970700175</v>
      </c>
    </row>
    <row r="322" ht="22.5" customHeight="1">
      <c r="B322" s="41" t="s">
        <v>350</v>
      </c>
      <c r="C322" s="41" t="s">
        <v>25</v>
      </c>
      <c r="D322" s="41" t="s">
        <v>34</v>
      </c>
      <c r="E322" s="41" t="s">
        <v>46</v>
      </c>
      <c r="F322" s="41" t="s">
        <v>17</v>
      </c>
      <c r="G322" s="41" t="s">
        <v>23</v>
      </c>
      <c r="H322" s="42">
        <v>45244.0</v>
      </c>
      <c r="I322" s="41">
        <v>242.0</v>
      </c>
      <c r="J322" s="43">
        <v>170.12</v>
      </c>
      <c r="K322" s="43">
        <v>235.15</v>
      </c>
      <c r="L322" s="43">
        <v>41169.04</v>
      </c>
      <c r="M322" s="43">
        <v>56906.3</v>
      </c>
      <c r="N322" s="43">
        <v>-15737.260000000002</v>
      </c>
      <c r="O322" s="44">
        <v>-0.38225958147190225</v>
      </c>
    </row>
    <row r="323" ht="22.5" customHeight="1">
      <c r="B323" s="41" t="s">
        <v>351</v>
      </c>
      <c r="C323" s="41" t="s">
        <v>14</v>
      </c>
      <c r="D323" s="41" t="s">
        <v>54</v>
      </c>
      <c r="E323" s="41" t="s">
        <v>30</v>
      </c>
      <c r="F323" s="41" t="s">
        <v>17</v>
      </c>
      <c r="G323" s="41" t="s">
        <v>18</v>
      </c>
      <c r="H323" s="42">
        <v>45245.0</v>
      </c>
      <c r="I323" s="41">
        <v>470.0</v>
      </c>
      <c r="J323" s="43">
        <v>292.34</v>
      </c>
      <c r="K323" s="43">
        <v>235.42</v>
      </c>
      <c r="L323" s="43">
        <v>137399.8</v>
      </c>
      <c r="M323" s="43">
        <v>110647.4</v>
      </c>
      <c r="N323" s="43">
        <v>26752.399999999994</v>
      </c>
      <c r="O323" s="44">
        <v>0.1947047957857289</v>
      </c>
    </row>
    <row r="324" ht="22.5" customHeight="1">
      <c r="B324" s="41" t="s">
        <v>352</v>
      </c>
      <c r="C324" s="41" t="s">
        <v>52</v>
      </c>
      <c r="D324" s="41" t="s">
        <v>34</v>
      </c>
      <c r="E324" s="41" t="s">
        <v>30</v>
      </c>
      <c r="F324" s="41" t="s">
        <v>27</v>
      </c>
      <c r="G324" s="41" t="s">
        <v>18</v>
      </c>
      <c r="H324" s="42">
        <v>45246.0</v>
      </c>
      <c r="I324" s="41">
        <v>423.0</v>
      </c>
      <c r="J324" s="43">
        <v>48.94</v>
      </c>
      <c r="K324" s="43">
        <v>279.67</v>
      </c>
      <c r="L324" s="43">
        <v>20701.62</v>
      </c>
      <c r="M324" s="43">
        <v>118300.41</v>
      </c>
      <c r="N324" s="43">
        <v>-97598.79000000001</v>
      </c>
      <c r="O324" s="44">
        <v>-4.714548426644872</v>
      </c>
    </row>
    <row r="325" ht="22.5" customHeight="1">
      <c r="B325" s="41" t="s">
        <v>353</v>
      </c>
      <c r="C325" s="41" t="s">
        <v>20</v>
      </c>
      <c r="D325" s="41" t="s">
        <v>34</v>
      </c>
      <c r="E325" s="41" t="s">
        <v>16</v>
      </c>
      <c r="F325" s="41" t="s">
        <v>17</v>
      </c>
      <c r="G325" s="41" t="s">
        <v>23</v>
      </c>
      <c r="H325" s="42">
        <v>45247.0</v>
      </c>
      <c r="I325" s="41">
        <v>426.0</v>
      </c>
      <c r="J325" s="43">
        <v>481.02</v>
      </c>
      <c r="K325" s="43">
        <v>371.99</v>
      </c>
      <c r="L325" s="43">
        <v>204914.52</v>
      </c>
      <c r="M325" s="43">
        <v>158467.74</v>
      </c>
      <c r="N325" s="43">
        <v>46446.78</v>
      </c>
      <c r="O325" s="44">
        <v>0.22666417196790156</v>
      </c>
    </row>
    <row r="326" ht="22.5" customHeight="1">
      <c r="B326" s="41" t="s">
        <v>354</v>
      </c>
      <c r="C326" s="41" t="s">
        <v>25</v>
      </c>
      <c r="D326" s="41" t="s">
        <v>29</v>
      </c>
      <c r="E326" s="41" t="s">
        <v>30</v>
      </c>
      <c r="F326" s="41" t="s">
        <v>27</v>
      </c>
      <c r="G326" s="41" t="s">
        <v>31</v>
      </c>
      <c r="H326" s="42">
        <v>45248.0</v>
      </c>
      <c r="I326" s="41">
        <v>86.0</v>
      </c>
      <c r="J326" s="43">
        <v>319.31</v>
      </c>
      <c r="K326" s="43">
        <v>313.47</v>
      </c>
      <c r="L326" s="43">
        <v>27460.66</v>
      </c>
      <c r="M326" s="43">
        <v>26958.420000000002</v>
      </c>
      <c r="N326" s="43">
        <v>502.23999999999796</v>
      </c>
      <c r="O326" s="44">
        <v>0.01828943659766364</v>
      </c>
    </row>
    <row r="327" ht="22.5" customHeight="1">
      <c r="B327" s="41" t="s">
        <v>355</v>
      </c>
      <c r="C327" s="41" t="s">
        <v>20</v>
      </c>
      <c r="D327" s="41" t="s">
        <v>15</v>
      </c>
      <c r="E327" s="41" t="s">
        <v>22</v>
      </c>
      <c r="F327" s="41" t="s">
        <v>27</v>
      </c>
      <c r="G327" s="41" t="s">
        <v>18</v>
      </c>
      <c r="H327" s="42">
        <v>45249.0</v>
      </c>
      <c r="I327" s="41">
        <v>125.0</v>
      </c>
      <c r="J327" s="43">
        <v>378.64</v>
      </c>
      <c r="K327" s="43">
        <v>24.34</v>
      </c>
      <c r="L327" s="43">
        <v>47330.0</v>
      </c>
      <c r="M327" s="43">
        <v>3042.5</v>
      </c>
      <c r="N327" s="43">
        <v>44287.5</v>
      </c>
      <c r="O327" s="44">
        <v>0.9357173040354955</v>
      </c>
    </row>
    <row r="328" ht="22.5" customHeight="1">
      <c r="B328" s="41" t="s">
        <v>356</v>
      </c>
      <c r="C328" s="41" t="s">
        <v>52</v>
      </c>
      <c r="D328" s="41" t="s">
        <v>21</v>
      </c>
      <c r="E328" s="41" t="s">
        <v>39</v>
      </c>
      <c r="F328" s="41" t="s">
        <v>17</v>
      </c>
      <c r="G328" s="41" t="s">
        <v>18</v>
      </c>
      <c r="H328" s="42">
        <v>45250.0</v>
      </c>
      <c r="I328" s="41">
        <v>163.0</v>
      </c>
      <c r="J328" s="43">
        <v>89.39</v>
      </c>
      <c r="K328" s="43">
        <v>341.39</v>
      </c>
      <c r="L328" s="43">
        <v>14570.57</v>
      </c>
      <c r="M328" s="43">
        <v>55646.57</v>
      </c>
      <c r="N328" s="43">
        <v>-41076.0</v>
      </c>
      <c r="O328" s="44">
        <v>-2.8191072826938135</v>
      </c>
    </row>
    <row r="329" ht="22.5" customHeight="1">
      <c r="B329" s="41" t="s">
        <v>357</v>
      </c>
      <c r="C329" s="41" t="s">
        <v>52</v>
      </c>
      <c r="D329" s="41" t="s">
        <v>29</v>
      </c>
      <c r="E329" s="41" t="s">
        <v>16</v>
      </c>
      <c r="F329" s="41" t="s">
        <v>27</v>
      </c>
      <c r="G329" s="41" t="s">
        <v>23</v>
      </c>
      <c r="H329" s="42">
        <v>45251.0</v>
      </c>
      <c r="I329" s="41">
        <v>415.0</v>
      </c>
      <c r="J329" s="43">
        <v>207.69</v>
      </c>
      <c r="K329" s="43">
        <v>91.77</v>
      </c>
      <c r="L329" s="43">
        <v>86191.35</v>
      </c>
      <c r="M329" s="43">
        <v>38084.549999999996</v>
      </c>
      <c r="N329" s="43">
        <v>48106.80000000001</v>
      </c>
      <c r="O329" s="44">
        <v>0.558139534883721</v>
      </c>
    </row>
    <row r="330" ht="22.5" customHeight="1">
      <c r="B330" s="41" t="s">
        <v>358</v>
      </c>
      <c r="C330" s="41" t="s">
        <v>52</v>
      </c>
      <c r="D330" s="41" t="s">
        <v>29</v>
      </c>
      <c r="E330" s="41" t="s">
        <v>30</v>
      </c>
      <c r="F330" s="41" t="s">
        <v>27</v>
      </c>
      <c r="G330" s="41" t="s">
        <v>31</v>
      </c>
      <c r="H330" s="42">
        <v>45252.0</v>
      </c>
      <c r="I330" s="41">
        <v>112.0</v>
      </c>
      <c r="J330" s="43">
        <v>214.23</v>
      </c>
      <c r="K330" s="43">
        <v>152.01</v>
      </c>
      <c r="L330" s="43">
        <v>23993.76</v>
      </c>
      <c r="M330" s="43">
        <v>17025.12</v>
      </c>
      <c r="N330" s="43">
        <v>6968.639999999999</v>
      </c>
      <c r="O330" s="44">
        <v>0.2904355132334407</v>
      </c>
    </row>
    <row r="331" ht="22.5" customHeight="1">
      <c r="B331" s="41" t="s">
        <v>359</v>
      </c>
      <c r="C331" s="41" t="s">
        <v>14</v>
      </c>
      <c r="D331" s="41" t="s">
        <v>15</v>
      </c>
      <c r="E331" s="41" t="s">
        <v>22</v>
      </c>
      <c r="F331" s="41" t="s">
        <v>27</v>
      </c>
      <c r="G331" s="41" t="s">
        <v>23</v>
      </c>
      <c r="H331" s="42">
        <v>45253.0</v>
      </c>
      <c r="I331" s="41">
        <v>203.0</v>
      </c>
      <c r="J331" s="43">
        <v>411.79</v>
      </c>
      <c r="K331" s="43">
        <v>185.77</v>
      </c>
      <c r="L331" s="43">
        <v>83593.37000000001</v>
      </c>
      <c r="M331" s="43">
        <v>37711.310000000005</v>
      </c>
      <c r="N331" s="43">
        <v>45882.060000000005</v>
      </c>
      <c r="O331" s="44">
        <v>0.5488719978629885</v>
      </c>
    </row>
    <row r="332" ht="22.5" hidden="1" customHeight="1">
      <c r="B332" s="41" t="s">
        <v>360</v>
      </c>
      <c r="C332" s="41" t="s">
        <v>14</v>
      </c>
      <c r="D332" s="41" t="s">
        <v>21</v>
      </c>
      <c r="E332" s="41" t="s">
        <v>46</v>
      </c>
      <c r="F332" s="41" t="s">
        <v>27</v>
      </c>
      <c r="G332" s="41" t="s">
        <v>31</v>
      </c>
      <c r="H332" s="42">
        <v>45254.0</v>
      </c>
      <c r="I332" s="41">
        <v>255.9029411764706</v>
      </c>
      <c r="J332" s="43">
        <v>5.61</v>
      </c>
      <c r="K332" s="43">
        <v>193.4</v>
      </c>
      <c r="L332" s="43">
        <v>1435.6155</v>
      </c>
      <c r="M332" s="43">
        <v>49491.62882352941</v>
      </c>
      <c r="N332" s="43">
        <v>-48056.01332352941</v>
      </c>
      <c r="O332" s="44">
        <v>-33.474153297682705</v>
      </c>
    </row>
    <row r="333" ht="22.5" customHeight="1">
      <c r="B333" s="41" t="s">
        <v>361</v>
      </c>
      <c r="C333" s="41" t="s">
        <v>20</v>
      </c>
      <c r="D333" s="41" t="s">
        <v>54</v>
      </c>
      <c r="E333" s="41" t="s">
        <v>16</v>
      </c>
      <c r="F333" s="41" t="s">
        <v>27</v>
      </c>
      <c r="G333" s="41" t="s">
        <v>31</v>
      </c>
      <c r="H333" s="42">
        <v>45255.0</v>
      </c>
      <c r="I333" s="41">
        <v>368.0</v>
      </c>
      <c r="J333" s="43">
        <v>153.92</v>
      </c>
      <c r="K333" s="43">
        <v>175.2</v>
      </c>
      <c r="L333" s="43">
        <v>56642.56</v>
      </c>
      <c r="M333" s="43">
        <v>64473.6</v>
      </c>
      <c r="N333" s="43">
        <v>-7831.040000000001</v>
      </c>
      <c r="O333" s="44">
        <v>-0.13825363825363826</v>
      </c>
    </row>
    <row r="334" ht="22.5" customHeight="1">
      <c r="B334" s="41" t="s">
        <v>362</v>
      </c>
      <c r="C334" s="41" t="s">
        <v>20</v>
      </c>
      <c r="D334" s="41" t="s">
        <v>54</v>
      </c>
      <c r="E334" s="41" t="s">
        <v>46</v>
      </c>
      <c r="F334" s="41" t="s">
        <v>27</v>
      </c>
      <c r="G334" s="41" t="s">
        <v>31</v>
      </c>
      <c r="H334" s="42">
        <v>45256.0</v>
      </c>
      <c r="I334" s="41">
        <v>99.0</v>
      </c>
      <c r="J334" s="43">
        <v>490.71</v>
      </c>
      <c r="K334" s="43">
        <v>375.07</v>
      </c>
      <c r="L334" s="43">
        <v>48580.29</v>
      </c>
      <c r="M334" s="43">
        <v>37131.93</v>
      </c>
      <c r="N334" s="43">
        <v>11448.36</v>
      </c>
      <c r="O334" s="44">
        <v>0.2356585355912861</v>
      </c>
    </row>
    <row r="335" ht="22.5" customHeight="1">
      <c r="B335" s="41" t="s">
        <v>363</v>
      </c>
      <c r="C335" s="41" t="s">
        <v>25</v>
      </c>
      <c r="D335" s="41" t="s">
        <v>29</v>
      </c>
      <c r="E335" s="41" t="s">
        <v>46</v>
      </c>
      <c r="F335" s="41" t="s">
        <v>17</v>
      </c>
      <c r="G335" s="41" t="s">
        <v>18</v>
      </c>
      <c r="H335" s="42">
        <v>45257.0</v>
      </c>
      <c r="I335" s="41">
        <v>183.0</v>
      </c>
      <c r="J335" s="43">
        <v>240.07</v>
      </c>
      <c r="K335" s="43">
        <v>283.0</v>
      </c>
      <c r="L335" s="43">
        <v>43932.81</v>
      </c>
      <c r="M335" s="43">
        <v>51789.0</v>
      </c>
      <c r="N335" s="43">
        <v>-7856.190000000002</v>
      </c>
      <c r="O335" s="44">
        <v>-0.17882284333736</v>
      </c>
    </row>
    <row r="336" ht="22.5" customHeight="1">
      <c r="B336" s="41" t="s">
        <v>364</v>
      </c>
      <c r="C336" s="41" t="s">
        <v>39</v>
      </c>
      <c r="D336" s="41" t="s">
        <v>21</v>
      </c>
      <c r="E336" s="41" t="s">
        <v>46</v>
      </c>
      <c r="F336" s="41" t="s">
        <v>27</v>
      </c>
      <c r="G336" s="41" t="s">
        <v>23</v>
      </c>
      <c r="H336" s="42">
        <v>45258.0</v>
      </c>
      <c r="I336" s="41">
        <v>131.0</v>
      </c>
      <c r="J336" s="43">
        <v>194.35</v>
      </c>
      <c r="K336" s="43">
        <v>253.21</v>
      </c>
      <c r="L336" s="43">
        <v>25459.85</v>
      </c>
      <c r="M336" s="43">
        <v>33170.51</v>
      </c>
      <c r="N336" s="43">
        <v>-7710.6600000000035</v>
      </c>
      <c r="O336" s="44">
        <v>-0.3028556727553385</v>
      </c>
    </row>
    <row r="337" ht="22.5" customHeight="1">
      <c r="B337" s="41" t="s">
        <v>365</v>
      </c>
      <c r="C337" s="41" t="s">
        <v>20</v>
      </c>
      <c r="D337" s="41" t="s">
        <v>29</v>
      </c>
      <c r="E337" s="41" t="s">
        <v>26</v>
      </c>
      <c r="F337" s="41" t="s">
        <v>27</v>
      </c>
      <c r="G337" s="41" t="s">
        <v>23</v>
      </c>
      <c r="H337" s="42">
        <v>45259.0</v>
      </c>
      <c r="I337" s="41">
        <v>152.0</v>
      </c>
      <c r="J337" s="43">
        <v>64.32</v>
      </c>
      <c r="K337" s="43">
        <v>21.84</v>
      </c>
      <c r="L337" s="43">
        <v>9776.64</v>
      </c>
      <c r="M337" s="43">
        <v>3319.68</v>
      </c>
      <c r="N337" s="43">
        <v>6456.959999999999</v>
      </c>
      <c r="O337" s="44">
        <v>0.6604477611940298</v>
      </c>
    </row>
    <row r="338" ht="22.5" customHeight="1">
      <c r="B338" s="41" t="s">
        <v>366</v>
      </c>
      <c r="C338" s="41" t="s">
        <v>14</v>
      </c>
      <c r="D338" s="41" t="s">
        <v>34</v>
      </c>
      <c r="E338" s="41" t="s">
        <v>26</v>
      </c>
      <c r="F338" s="41" t="s">
        <v>27</v>
      </c>
      <c r="G338" s="41" t="s">
        <v>31</v>
      </c>
      <c r="H338" s="42">
        <v>45260.0</v>
      </c>
      <c r="I338" s="41">
        <v>491.0</v>
      </c>
      <c r="J338" s="43">
        <v>487.21</v>
      </c>
      <c r="K338" s="43">
        <v>361.76</v>
      </c>
      <c r="L338" s="43">
        <v>239220.11</v>
      </c>
      <c r="M338" s="43">
        <v>177624.16</v>
      </c>
      <c r="N338" s="43">
        <v>61595.94999999998</v>
      </c>
      <c r="O338" s="44">
        <v>0.2574865047925945</v>
      </c>
    </row>
    <row r="339" ht="22.5" customHeight="1">
      <c r="B339" s="41" t="s">
        <v>367</v>
      </c>
      <c r="C339" s="41" t="s">
        <v>52</v>
      </c>
      <c r="D339" s="41" t="s">
        <v>29</v>
      </c>
      <c r="E339" s="41" t="s">
        <v>46</v>
      </c>
      <c r="F339" s="41" t="s">
        <v>17</v>
      </c>
      <c r="G339" s="41" t="s">
        <v>18</v>
      </c>
      <c r="H339" s="42">
        <v>45261.0</v>
      </c>
      <c r="I339" s="41">
        <v>115.0</v>
      </c>
      <c r="J339" s="43">
        <v>14.91</v>
      </c>
      <c r="K339" s="43">
        <v>363.94</v>
      </c>
      <c r="L339" s="43">
        <v>1714.65</v>
      </c>
      <c r="M339" s="43">
        <v>41853.1</v>
      </c>
      <c r="N339" s="43">
        <v>-40138.45</v>
      </c>
      <c r="O339" s="44">
        <v>-23.409121395036884</v>
      </c>
    </row>
    <row r="340" ht="22.5" customHeight="1">
      <c r="B340" s="41" t="s">
        <v>368</v>
      </c>
      <c r="C340" s="41" t="s">
        <v>20</v>
      </c>
      <c r="D340" s="41" t="s">
        <v>29</v>
      </c>
      <c r="E340" s="41" t="s">
        <v>16</v>
      </c>
      <c r="F340" s="41" t="s">
        <v>27</v>
      </c>
      <c r="G340" s="41" t="s">
        <v>18</v>
      </c>
      <c r="H340" s="42">
        <v>45262.0</v>
      </c>
      <c r="I340" s="41">
        <v>384.0</v>
      </c>
      <c r="J340" s="43">
        <v>369.9</v>
      </c>
      <c r="K340" s="43">
        <v>312.52</v>
      </c>
      <c r="L340" s="43">
        <v>142041.59999999998</v>
      </c>
      <c r="M340" s="43">
        <v>120007.68</v>
      </c>
      <c r="N340" s="43">
        <v>22033.919999999984</v>
      </c>
      <c r="O340" s="44">
        <v>0.15512300621789665</v>
      </c>
    </row>
    <row r="341" ht="22.5" customHeight="1">
      <c r="B341" s="41" t="s">
        <v>369</v>
      </c>
      <c r="C341" s="41" t="s">
        <v>25</v>
      </c>
      <c r="D341" s="41" t="s">
        <v>54</v>
      </c>
      <c r="E341" s="41" t="s">
        <v>22</v>
      </c>
      <c r="F341" s="41" t="s">
        <v>17</v>
      </c>
      <c r="G341" s="41" t="s">
        <v>23</v>
      </c>
      <c r="H341" s="42">
        <v>45263.0</v>
      </c>
      <c r="I341" s="41">
        <v>437.0</v>
      </c>
      <c r="J341" s="43">
        <v>385.46</v>
      </c>
      <c r="K341" s="43">
        <v>4.8</v>
      </c>
      <c r="L341" s="43">
        <v>168446.02</v>
      </c>
      <c r="M341" s="43">
        <v>2097.6</v>
      </c>
      <c r="N341" s="43">
        <v>166348.41999999998</v>
      </c>
      <c r="O341" s="44">
        <v>0.9875473460281222</v>
      </c>
    </row>
    <row r="342" ht="22.5" customHeight="1">
      <c r="B342" s="41" t="s">
        <v>370</v>
      </c>
      <c r="C342" s="41" t="s">
        <v>14</v>
      </c>
      <c r="D342" s="41" t="s">
        <v>54</v>
      </c>
      <c r="E342" s="41" t="s">
        <v>22</v>
      </c>
      <c r="F342" s="41" t="s">
        <v>27</v>
      </c>
      <c r="G342" s="41" t="s">
        <v>18</v>
      </c>
      <c r="H342" s="42">
        <v>45264.0</v>
      </c>
      <c r="I342" s="41">
        <v>314.0</v>
      </c>
      <c r="J342" s="43">
        <v>125.61</v>
      </c>
      <c r="K342" s="43">
        <v>24.8</v>
      </c>
      <c r="L342" s="43">
        <v>39441.54</v>
      </c>
      <c r="M342" s="43">
        <v>7787.2</v>
      </c>
      <c r="N342" s="43">
        <v>31654.34</v>
      </c>
      <c r="O342" s="44">
        <v>0.8025634901679802</v>
      </c>
    </row>
    <row r="343" ht="22.5" customHeight="1">
      <c r="B343" s="41" t="s">
        <v>371</v>
      </c>
      <c r="C343" s="41" t="s">
        <v>20</v>
      </c>
      <c r="D343" s="41" t="s">
        <v>54</v>
      </c>
      <c r="E343" s="41" t="s">
        <v>30</v>
      </c>
      <c r="F343" s="41" t="s">
        <v>17</v>
      </c>
      <c r="G343" s="41" t="s">
        <v>18</v>
      </c>
      <c r="H343" s="42">
        <v>45265.0</v>
      </c>
      <c r="I343" s="41">
        <v>369.0</v>
      </c>
      <c r="J343" s="43">
        <v>337.42</v>
      </c>
      <c r="K343" s="43">
        <v>91.64</v>
      </c>
      <c r="L343" s="43">
        <v>124507.98000000001</v>
      </c>
      <c r="M343" s="43">
        <v>33815.16</v>
      </c>
      <c r="N343" s="43">
        <v>90692.82</v>
      </c>
      <c r="O343" s="44">
        <v>0.7284096971133899</v>
      </c>
    </row>
    <row r="344" ht="22.5" customHeight="1">
      <c r="B344" s="41" t="s">
        <v>372</v>
      </c>
      <c r="C344" s="41" t="s">
        <v>20</v>
      </c>
      <c r="D344" s="41" t="s">
        <v>34</v>
      </c>
      <c r="E344" s="41" t="s">
        <v>16</v>
      </c>
      <c r="F344" s="41" t="s">
        <v>17</v>
      </c>
      <c r="G344" s="41" t="s">
        <v>31</v>
      </c>
      <c r="H344" s="42">
        <v>45266.0</v>
      </c>
      <c r="I344" s="41">
        <v>468.0</v>
      </c>
      <c r="J344" s="43">
        <v>51.0</v>
      </c>
      <c r="K344" s="43">
        <v>54.28</v>
      </c>
      <c r="L344" s="43">
        <v>23868.0</v>
      </c>
      <c r="M344" s="43">
        <v>25403.04</v>
      </c>
      <c r="N344" s="43">
        <v>-1535.0400000000009</v>
      </c>
      <c r="O344" s="44">
        <v>-0.06431372549019612</v>
      </c>
    </row>
    <row r="345" ht="22.5" customHeight="1">
      <c r="B345" s="41" t="s">
        <v>373</v>
      </c>
      <c r="C345" s="41" t="s">
        <v>14</v>
      </c>
      <c r="D345" s="41" t="s">
        <v>54</v>
      </c>
      <c r="E345" s="41" t="s">
        <v>26</v>
      </c>
      <c r="F345" s="41" t="s">
        <v>27</v>
      </c>
      <c r="G345" s="41" t="s">
        <v>18</v>
      </c>
      <c r="H345" s="42">
        <v>45267.0</v>
      </c>
      <c r="I345" s="41">
        <v>326.0</v>
      </c>
      <c r="J345" s="43">
        <v>132.24</v>
      </c>
      <c r="K345" s="43">
        <v>160.74</v>
      </c>
      <c r="L345" s="43">
        <v>43110.240000000005</v>
      </c>
      <c r="M345" s="43">
        <v>52401.240000000005</v>
      </c>
      <c r="N345" s="43">
        <v>-9291.0</v>
      </c>
      <c r="O345" s="44">
        <v>-0.21551724137931033</v>
      </c>
    </row>
    <row r="346" ht="22.5" customHeight="1">
      <c r="B346" s="41" t="s">
        <v>374</v>
      </c>
      <c r="C346" s="41" t="s">
        <v>20</v>
      </c>
      <c r="D346" s="41" t="s">
        <v>21</v>
      </c>
      <c r="E346" s="41" t="s">
        <v>46</v>
      </c>
      <c r="F346" s="41" t="s">
        <v>27</v>
      </c>
      <c r="G346" s="41" t="s">
        <v>31</v>
      </c>
      <c r="H346" s="42">
        <v>45268.0</v>
      </c>
      <c r="I346" s="41">
        <v>460.0</v>
      </c>
      <c r="J346" s="43">
        <v>395.01</v>
      </c>
      <c r="K346" s="43">
        <v>369.2</v>
      </c>
      <c r="L346" s="43">
        <v>181704.6</v>
      </c>
      <c r="M346" s="43">
        <v>169832.0</v>
      </c>
      <c r="N346" s="43">
        <v>11872.600000000006</v>
      </c>
      <c r="O346" s="44">
        <v>0.06534011797169695</v>
      </c>
    </row>
    <row r="347" ht="22.5" customHeight="1">
      <c r="B347" s="41" t="s">
        <v>375</v>
      </c>
      <c r="C347" s="41" t="s">
        <v>14</v>
      </c>
      <c r="D347" s="41" t="s">
        <v>15</v>
      </c>
      <c r="E347" s="41" t="s">
        <v>30</v>
      </c>
      <c r="F347" s="41" t="s">
        <v>17</v>
      </c>
      <c r="G347" s="41" t="s">
        <v>23</v>
      </c>
      <c r="H347" s="42">
        <v>45269.0</v>
      </c>
      <c r="I347" s="41">
        <v>132.0</v>
      </c>
      <c r="J347" s="43">
        <v>433.02</v>
      </c>
      <c r="K347" s="43">
        <v>189.88</v>
      </c>
      <c r="L347" s="43">
        <v>57158.64</v>
      </c>
      <c r="M347" s="43">
        <v>25064.16</v>
      </c>
      <c r="N347" s="43">
        <v>32094.48</v>
      </c>
      <c r="O347" s="44">
        <v>0.5614983141656275</v>
      </c>
    </row>
    <row r="348" ht="22.5" customHeight="1">
      <c r="B348" s="41" t="s">
        <v>376</v>
      </c>
      <c r="C348" s="41" t="s">
        <v>52</v>
      </c>
      <c r="D348" s="41" t="s">
        <v>21</v>
      </c>
      <c r="E348" s="41" t="s">
        <v>22</v>
      </c>
      <c r="F348" s="41" t="s">
        <v>27</v>
      </c>
      <c r="G348" s="41" t="s">
        <v>18</v>
      </c>
      <c r="H348" s="42">
        <v>45270.0</v>
      </c>
      <c r="I348" s="41">
        <v>399.0</v>
      </c>
      <c r="J348" s="43">
        <v>306.2</v>
      </c>
      <c r="K348" s="43">
        <v>7.33</v>
      </c>
      <c r="L348" s="43">
        <v>122173.79999999999</v>
      </c>
      <c r="M348" s="43">
        <v>2924.67</v>
      </c>
      <c r="N348" s="43">
        <v>119249.12999999999</v>
      </c>
      <c r="O348" s="44">
        <v>0.9760613977792293</v>
      </c>
    </row>
    <row r="349" ht="22.5" customHeight="1">
      <c r="B349" s="41" t="s">
        <v>377</v>
      </c>
      <c r="C349" s="41" t="s">
        <v>14</v>
      </c>
      <c r="D349" s="41" t="s">
        <v>21</v>
      </c>
      <c r="E349" s="41" t="s">
        <v>26</v>
      </c>
      <c r="F349" s="41" t="s">
        <v>17</v>
      </c>
      <c r="G349" s="41" t="s">
        <v>23</v>
      </c>
      <c r="H349" s="42">
        <v>45271.0</v>
      </c>
      <c r="I349" s="41">
        <v>18.0</v>
      </c>
      <c r="J349" s="43">
        <v>255.89</v>
      </c>
      <c r="K349" s="43">
        <v>114.53</v>
      </c>
      <c r="L349" s="43">
        <v>4606.0199999999995</v>
      </c>
      <c r="M349" s="43">
        <v>2061.54</v>
      </c>
      <c r="N349" s="43">
        <v>2544.4799999999996</v>
      </c>
      <c r="O349" s="44">
        <v>0.5524248700613544</v>
      </c>
    </row>
    <row r="350" ht="22.5" customHeight="1">
      <c r="B350" s="41" t="s">
        <v>378</v>
      </c>
      <c r="C350" s="41" t="s">
        <v>14</v>
      </c>
      <c r="D350" s="41" t="s">
        <v>54</v>
      </c>
      <c r="E350" s="41" t="s">
        <v>26</v>
      </c>
      <c r="F350" s="41" t="s">
        <v>17</v>
      </c>
      <c r="G350" s="41" t="s">
        <v>23</v>
      </c>
      <c r="H350" s="42">
        <v>45272.0</v>
      </c>
      <c r="I350" s="41">
        <v>271.0</v>
      </c>
      <c r="J350" s="43">
        <v>83.86</v>
      </c>
      <c r="K350" s="43">
        <v>19.75</v>
      </c>
      <c r="L350" s="43">
        <v>22726.06</v>
      </c>
      <c r="M350" s="43">
        <v>5352.25</v>
      </c>
      <c r="N350" s="43">
        <v>17373.81</v>
      </c>
      <c r="O350" s="44">
        <v>0.7644884331027904</v>
      </c>
    </row>
    <row r="351" ht="22.5" customHeight="1">
      <c r="B351" s="41" t="s">
        <v>379</v>
      </c>
      <c r="C351" s="41" t="s">
        <v>39</v>
      </c>
      <c r="D351" s="41" t="s">
        <v>15</v>
      </c>
      <c r="E351" s="41" t="s">
        <v>46</v>
      </c>
      <c r="F351" s="41" t="s">
        <v>17</v>
      </c>
      <c r="G351" s="41" t="s">
        <v>18</v>
      </c>
      <c r="H351" s="42">
        <v>45273.0</v>
      </c>
      <c r="I351" s="41">
        <v>82.0</v>
      </c>
      <c r="J351" s="43">
        <v>36.24</v>
      </c>
      <c r="K351" s="43">
        <v>16.44</v>
      </c>
      <c r="L351" s="43">
        <v>2971.6800000000003</v>
      </c>
      <c r="M351" s="43">
        <v>1348.0800000000002</v>
      </c>
      <c r="N351" s="43">
        <v>1623.6000000000001</v>
      </c>
      <c r="O351" s="44">
        <v>0.5463576158940397</v>
      </c>
    </row>
    <row r="352" ht="22.5" customHeight="1">
      <c r="B352" s="41" t="s">
        <v>380</v>
      </c>
      <c r="C352" s="41" t="s">
        <v>20</v>
      </c>
      <c r="D352" s="41" t="s">
        <v>15</v>
      </c>
      <c r="E352" s="41" t="s">
        <v>22</v>
      </c>
      <c r="F352" s="41" t="s">
        <v>17</v>
      </c>
      <c r="G352" s="41" t="s">
        <v>18</v>
      </c>
      <c r="H352" s="42">
        <v>45274.0</v>
      </c>
      <c r="I352" s="41">
        <v>368.0</v>
      </c>
      <c r="J352" s="43">
        <v>63.24</v>
      </c>
      <c r="K352" s="43">
        <v>111.74</v>
      </c>
      <c r="L352" s="43">
        <v>23272.32</v>
      </c>
      <c r="M352" s="43">
        <v>41120.32</v>
      </c>
      <c r="N352" s="43">
        <v>-17848.0</v>
      </c>
      <c r="O352" s="44">
        <v>-0.7669196710942442</v>
      </c>
    </row>
    <row r="353" ht="22.5" customHeight="1">
      <c r="B353" s="41" t="s">
        <v>381</v>
      </c>
      <c r="C353" s="41" t="s">
        <v>20</v>
      </c>
      <c r="D353" s="41" t="s">
        <v>15</v>
      </c>
      <c r="E353" s="41" t="s">
        <v>16</v>
      </c>
      <c r="F353" s="41" t="s">
        <v>17</v>
      </c>
      <c r="G353" s="41" t="s">
        <v>23</v>
      </c>
      <c r="H353" s="42">
        <v>45275.0</v>
      </c>
      <c r="I353" s="41">
        <v>232.0</v>
      </c>
      <c r="J353" s="43">
        <v>117.54</v>
      </c>
      <c r="K353" s="43">
        <v>111.69</v>
      </c>
      <c r="L353" s="43">
        <v>27269.280000000002</v>
      </c>
      <c r="M353" s="43">
        <v>25912.079999999998</v>
      </c>
      <c r="N353" s="43">
        <v>1357.2000000000044</v>
      </c>
      <c r="O353" s="44">
        <v>0.049770290964778106</v>
      </c>
    </row>
    <row r="354" ht="22.5" customHeight="1">
      <c r="B354" s="41" t="s">
        <v>382</v>
      </c>
      <c r="C354" s="41" t="s">
        <v>14</v>
      </c>
      <c r="D354" s="41" t="s">
        <v>34</v>
      </c>
      <c r="E354" s="41" t="s">
        <v>26</v>
      </c>
      <c r="F354" s="41" t="s">
        <v>27</v>
      </c>
      <c r="G354" s="41" t="s">
        <v>18</v>
      </c>
      <c r="H354" s="42">
        <v>45276.0</v>
      </c>
      <c r="I354" s="41">
        <v>425.0</v>
      </c>
      <c r="J354" s="43">
        <v>174.13</v>
      </c>
      <c r="K354" s="43">
        <v>315.28</v>
      </c>
      <c r="L354" s="43">
        <v>74005.25</v>
      </c>
      <c r="M354" s="43">
        <v>133994.0</v>
      </c>
      <c r="N354" s="43">
        <v>-59988.75</v>
      </c>
      <c r="O354" s="44">
        <v>-0.8106012749095504</v>
      </c>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G2"/>
  </mergeCells>
  <dataValidations>
    <dataValidation type="list" allowBlank="1" showErrorMessage="1" sqref="B5:B354">
      <formula1>"ORD0001,ORD0002,ORD0003,ORD0004,ORD0005,ORD0006,ORD0007,ORD0008,ORD0009,ORD0010,ORD0011,ORD0012,ORD0013,ORD0014,ORD0015,ORD0016,ORD0017,ORD0018,ORD0019,ORD0020,ORD0021,ORD0022,ORD0023,ORD0024,ORD0025,ORD0026,ORD0027,ORD0028,ORD0029,ORD0030,ORD0031,ORD0032"&amp;",ORD0033,ORD0034,ORD0035,ORD0036,ORD0037,ORD0038,ORD0039,ORD0040,ORD0041,ORD0042,ORD0043,ORD0044,ORD0045,ORD0046,ORD0047,ORD0048,ORD0049,ORD0050,ORD0051,ORD0052,ORD0053,ORD0054,ORD0055,ORD0056,ORD0057,ORD0058,ORD0059,ORD0060,ORD0061,ORD0062,ORD0063,ORD006"&amp;"4,ORD0065,ORD0066,ORD0067,ORD0068,ORD0069,ORD0070,ORD0071,ORD0072,ORD0073,ORD0074,ORD0075,ORD0076,ORD0077,ORD0078,ORD0079,ORD0080,ORD0081,ORD0082,ORD0083,ORD0084,ORD0085,ORD0086,ORD0087,ORD0088,ORD0089,ORD0090,ORD0091,ORD0092,ORD0093,ORD0094,ORD0095,ORD00"&amp;"96,ORD0097,ORD0098,ORD0099,ORD0100,ORD0101,ORD0102,ORD0103,ORD0104,ORD0105,ORD0106,ORD0107,ORD0108,ORD0109,ORD0110,ORD0111,ORD0112,ORD0113,ORD0114,ORD0115,ORD0116,ORD0117,ORD0118,ORD0119,ORD0120,ORD0121,ORD0122,ORD0123,ORD0124,ORD0125,ORD0126,ORD0127,ORD0"&amp;"128,ORD0129,ORD0130,ORD0131,ORD0132,ORD0133,ORD0134,ORD0135,ORD0136,ORD0137,ORD0138,ORD0139,ORD0140,ORD0141,ORD0142,ORD0143,ORD0144,ORD0145,ORD0146,ORD0147,ORD0148,ORD0149,ORD0150,ORD0151,ORD0152,ORD0153,ORD0154,ORD0155,ORD0156,ORD0157,ORD0158,ORD0159,ORD"&amp;"0160,ORD0161,ORD0162,ORD0163,ORD0164,ORD0165,ORD0166,ORD0167,ORD0168,ORD0169,ORD0170,ORD0171,ORD0172,ORD0173,ORD0174,ORD0175,ORD0176,ORD0177,ORD0178,ORD0179,ORD0180,ORD0181,ORD0182,ORD0183,ORD0184,ORD0185,ORD0186,ORD0187,ORD0188,ORD0189,ORD0190,ORD0191,OR"&amp;"D0192,ORD0193,ORD0194,ORD0195,ORD0196,ORD0197,ORD0198,ORD0199,ORD0200,ORD0201,ORD0202,ORD0203,ORD0204,ORD0205,ORD0206,ORD0207,ORD0208,ORD0209,ORD0210,ORD0211,ORD0212,ORD0213,ORD0214,ORD0215,ORD0216,ORD0217,ORD0218,ORD0219,ORD0220,ORD0221,ORD0222,ORD0223,O"&amp;"RD0224,ORD0225,ORD0226,ORD0227,ORD0228,ORD0229,ORD0230,ORD0231,ORD0232,ORD0233,ORD0234,ORD0235,ORD0236,ORD0237,ORD0238,ORD0239,ORD0240,ORD0241,ORD0242,ORD0243,ORD0244,ORD0245,ORD0246,ORD0247,ORD0248,ORD0249,ORD0250,ORD0251,ORD0252,ORD0253,ORD0254,ORD0255,"&amp;"ORD0256,ORD0257,ORD0258,ORD0259,ORD0260,ORD0261,ORD0262,ORD0263,ORD0264,ORD0265,ORD0266,ORD0267,ORD0268,ORD0269,ORD0270,ORD0271,ORD0272,ORD0273,ORD0274,ORD0275,ORD0276,ORD0277,ORD0278,ORD0279,ORD0280,ORD0281,ORD0282,ORD0283,ORD0284,ORD0285,ORD0286,ORD0287"&amp;",ORD0288,ORD0289,ORD0290,ORD0291,ORD0292,ORD0293,ORD0294,ORD0295,ORD0296,ORD0297,ORD0298,ORD0299,ORD0300,ORD0301,ORD0302,ORD0303,ORD0304,ORD0305,ORD0306,ORD0307,ORD0308,ORD0309,ORD0310,ORD0311,ORD0312,ORD0313,ORD0314,ORD0315,ORD0316,ORD0317,ORD0318,ORD031"&amp;"9,ORD0320,ORD0321,ORD0322,ORD0323,ORD0324,ORD0325,ORD0326,ORD0327,ORD0328,ORD0329,ORD0330,ORD0331,ORD0332,ORD0333,ORD0334,ORD0335,ORD0336,ORD0337,ORD0338,ORD0339,ORD0340,ORD0341,ORD0342,ORD0343,ORD0344,ORD0345,ORD0346,ORD0347,ORD0348,ORD0349,ORD0350"</formula1>
    </dataValidation>
    <dataValidation type="list" allowBlank="1" showErrorMessage="1" sqref="F5:F354">
      <formula1>"Online,Offline"</formula1>
    </dataValidation>
    <dataValidation type="list" allowBlank="1" showErrorMessage="1" sqref="C5:C354">
      <formula1>"East,West,North,Unknown,South"</formula1>
    </dataValidation>
    <dataValidation type="list" allowBlank="1" showErrorMessage="1" sqref="D5:D354">
      <formula1>"Germany,India,USA,UK,Australia"</formula1>
    </dataValidation>
    <dataValidation type="list" allowBlank="1" showErrorMessage="1" sqref="E5:E354">
      <formula1>"Beverages,Food,Clothing,Furniture,Electronics,Unknown"</formula1>
    </dataValidation>
    <dataValidation type="list" allowBlank="1" showErrorMessage="1" sqref="G5:G354">
      <formula1>"High,Low,Medium"</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row r="2"/>
    <row r="3"/>
    <row r="4"/>
    <row r="5"/>
    <row r="6"/>
    <row r="7"/>
    <row r="8"/>
    <row r="9"/>
    <row r="10"/>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66A272E-788F-44AE-970B-37562BC269BF}" filter="1" showAutoFilter="1">
      <autoFilter ref="$A$1:$C$31"/>
    </customSheetView>
  </customSheetViews>
  <drawing r:id="rId2"/>
  <tableParts count="1">
    <tablePart r:id="rId4"/>
  </tableParts>
  <extLst>
    <ext uri="{3A4CF648-6AED-40f4-86FF-DC5316D8AED3}">
      <x14:slicerList>
        <x14:slicer r:id="rId5"/>
      </x14:slicerList>
    </ext>
  </extLst>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3">
      <c r="B3" s="24" t="s">
        <v>512</v>
      </c>
    </row>
    <row r="6">
      <c r="B6" s="72" t="s">
        <v>0</v>
      </c>
      <c r="C6" s="72" t="s">
        <v>1</v>
      </c>
      <c r="D6" s="72" t="s">
        <v>2</v>
      </c>
      <c r="E6" s="72" t="s">
        <v>3</v>
      </c>
      <c r="F6" s="72" t="s">
        <v>4</v>
      </c>
      <c r="G6" s="72" t="s">
        <v>5</v>
      </c>
      <c r="H6" s="72" t="s">
        <v>6</v>
      </c>
      <c r="I6" s="72" t="s">
        <v>7</v>
      </c>
      <c r="J6" s="73" t="s">
        <v>8</v>
      </c>
      <c r="K6" s="73" t="s">
        <v>9</v>
      </c>
      <c r="L6" s="73" t="s">
        <v>10</v>
      </c>
      <c r="M6" s="73" t="s">
        <v>11</v>
      </c>
      <c r="N6" s="73" t="s">
        <v>12</v>
      </c>
      <c r="O6" s="72" t="s">
        <v>383</v>
      </c>
    </row>
    <row r="7">
      <c r="B7" s="74" t="s">
        <v>13</v>
      </c>
      <c r="C7" s="75" t="s">
        <v>14</v>
      </c>
      <c r="D7" s="75" t="s">
        <v>15</v>
      </c>
      <c r="E7" s="75" t="s">
        <v>16</v>
      </c>
      <c r="F7" s="75" t="s">
        <v>17</v>
      </c>
      <c r="G7" s="75" t="s">
        <v>18</v>
      </c>
      <c r="H7" s="76">
        <v>44927.0</v>
      </c>
      <c r="I7" s="75">
        <v>235.0</v>
      </c>
      <c r="J7" s="77">
        <v>152.92</v>
      </c>
      <c r="K7" s="77">
        <v>153.6</v>
      </c>
      <c r="L7" s="77">
        <v>35936.2</v>
      </c>
      <c r="M7" s="77">
        <v>36096.0</v>
      </c>
      <c r="N7" s="77">
        <v>-159.8000000000029</v>
      </c>
      <c r="O7" s="78">
        <v>-0.00444676955270738</v>
      </c>
    </row>
    <row r="8">
      <c r="B8" s="75" t="s">
        <v>19</v>
      </c>
      <c r="C8" s="75" t="s">
        <v>20</v>
      </c>
      <c r="D8" s="75" t="s">
        <v>21</v>
      </c>
      <c r="E8" s="75" t="s">
        <v>22</v>
      </c>
      <c r="F8" s="75" t="s">
        <v>17</v>
      </c>
      <c r="G8" s="75" t="s">
        <v>23</v>
      </c>
      <c r="H8" s="76">
        <v>44928.0</v>
      </c>
      <c r="I8" s="75">
        <v>341.0</v>
      </c>
      <c r="J8" s="77">
        <v>467.92</v>
      </c>
      <c r="K8" s="77">
        <v>139.84</v>
      </c>
      <c r="L8" s="77">
        <v>159560.72</v>
      </c>
      <c r="M8" s="77">
        <v>47685.44</v>
      </c>
      <c r="N8" s="77">
        <v>111875.28</v>
      </c>
      <c r="O8" s="78">
        <v>0.7011454949564028</v>
      </c>
    </row>
    <row r="9">
      <c r="B9" s="75" t="s">
        <v>24</v>
      </c>
      <c r="C9" s="75" t="s">
        <v>25</v>
      </c>
      <c r="D9" s="75" t="s">
        <v>21</v>
      </c>
      <c r="E9" s="75" t="s">
        <v>26</v>
      </c>
      <c r="F9" s="75" t="s">
        <v>27</v>
      </c>
      <c r="G9" s="75" t="s">
        <v>18</v>
      </c>
      <c r="H9" s="76">
        <v>44929.0</v>
      </c>
      <c r="I9" s="75">
        <v>179.0</v>
      </c>
      <c r="J9" s="77">
        <v>473.94</v>
      </c>
      <c r="K9" s="77">
        <v>97.14</v>
      </c>
      <c r="L9" s="77">
        <v>84835.26</v>
      </c>
      <c r="M9" s="77">
        <v>17388.06</v>
      </c>
      <c r="N9" s="77">
        <v>67447.2</v>
      </c>
      <c r="O9" s="78">
        <v>0.7950373464995569</v>
      </c>
    </row>
    <row r="10">
      <c r="B10" s="75" t="s">
        <v>28</v>
      </c>
      <c r="C10" s="75" t="s">
        <v>14</v>
      </c>
      <c r="D10" s="75" t="s">
        <v>29</v>
      </c>
      <c r="E10" s="75" t="s">
        <v>30</v>
      </c>
      <c r="F10" s="75" t="s">
        <v>27</v>
      </c>
      <c r="G10" s="75" t="s">
        <v>31</v>
      </c>
      <c r="H10" s="76">
        <v>44930.0</v>
      </c>
      <c r="I10" s="75">
        <v>18.0</v>
      </c>
      <c r="J10" s="77">
        <v>314.53</v>
      </c>
      <c r="K10" s="77">
        <v>204.87</v>
      </c>
      <c r="L10" s="77">
        <v>5661.539999999999</v>
      </c>
      <c r="M10" s="77">
        <v>3687.66</v>
      </c>
      <c r="N10" s="77">
        <v>1973.8799999999992</v>
      </c>
      <c r="O10" s="78">
        <v>0.3486471878676119</v>
      </c>
    </row>
    <row r="11">
      <c r="B11" s="75" t="s">
        <v>32</v>
      </c>
      <c r="C11" s="75" t="s">
        <v>14</v>
      </c>
      <c r="D11" s="75" t="s">
        <v>21</v>
      </c>
      <c r="E11" s="75" t="s">
        <v>30</v>
      </c>
      <c r="F11" s="75" t="s">
        <v>27</v>
      </c>
      <c r="G11" s="75" t="s">
        <v>31</v>
      </c>
      <c r="H11" s="76">
        <v>44931.0</v>
      </c>
      <c r="I11" s="75">
        <v>472.0</v>
      </c>
      <c r="J11" s="77">
        <v>392.79</v>
      </c>
      <c r="K11" s="77">
        <v>330.46</v>
      </c>
      <c r="L11" s="77">
        <v>185396.88</v>
      </c>
      <c r="M11" s="77">
        <v>155977.12</v>
      </c>
      <c r="N11" s="77">
        <v>29419.76000000001</v>
      </c>
      <c r="O11" s="78">
        <v>0.15868530257898628</v>
      </c>
    </row>
    <row r="12">
      <c r="B12" s="75" t="s">
        <v>33</v>
      </c>
      <c r="C12" s="75" t="s">
        <v>20</v>
      </c>
      <c r="D12" s="75" t="s">
        <v>34</v>
      </c>
      <c r="E12" s="75" t="s">
        <v>26</v>
      </c>
      <c r="F12" s="75" t="s">
        <v>17</v>
      </c>
      <c r="G12" s="75" t="s">
        <v>18</v>
      </c>
      <c r="H12" s="76">
        <v>44932.0</v>
      </c>
      <c r="I12" s="75">
        <v>49.0</v>
      </c>
      <c r="J12" s="77">
        <v>308.07</v>
      </c>
      <c r="K12" s="77">
        <v>113.32</v>
      </c>
      <c r="L12" s="77">
        <v>15095.43</v>
      </c>
      <c r="M12" s="77">
        <v>5552.679999999999</v>
      </c>
      <c r="N12" s="77">
        <v>9542.75</v>
      </c>
      <c r="O12" s="78">
        <v>0.6321615217320739</v>
      </c>
    </row>
    <row r="13">
      <c r="B13" s="75" t="s">
        <v>35</v>
      </c>
      <c r="C13" s="75" t="s">
        <v>25</v>
      </c>
      <c r="D13" s="75" t="s">
        <v>15</v>
      </c>
      <c r="E13" s="75" t="s">
        <v>26</v>
      </c>
      <c r="F13" s="75" t="s">
        <v>17</v>
      </c>
      <c r="G13" s="75" t="s">
        <v>23</v>
      </c>
      <c r="H13" s="76">
        <v>44933.0</v>
      </c>
      <c r="I13" s="75">
        <v>34.0</v>
      </c>
      <c r="J13" s="77">
        <v>244.78</v>
      </c>
      <c r="K13" s="77">
        <v>377.07</v>
      </c>
      <c r="L13" s="77">
        <v>8322.52</v>
      </c>
      <c r="M13" s="77">
        <v>12820.38</v>
      </c>
      <c r="N13" s="77">
        <v>-4497.859999999999</v>
      </c>
      <c r="O13" s="78">
        <v>-0.5404444807582317</v>
      </c>
    </row>
    <row r="14">
      <c r="B14" s="75" t="s">
        <v>36</v>
      </c>
      <c r="C14" s="75" t="s">
        <v>25</v>
      </c>
      <c r="D14" s="75" t="s">
        <v>21</v>
      </c>
      <c r="E14" s="75" t="s">
        <v>16</v>
      </c>
      <c r="F14" s="75" t="s">
        <v>17</v>
      </c>
      <c r="G14" s="75" t="s">
        <v>18</v>
      </c>
      <c r="H14" s="76">
        <v>44934.0</v>
      </c>
      <c r="I14" s="75">
        <v>270.0</v>
      </c>
      <c r="J14" s="77">
        <v>332.11</v>
      </c>
      <c r="K14" s="77">
        <v>349.59</v>
      </c>
      <c r="L14" s="77">
        <v>89669.7</v>
      </c>
      <c r="M14" s="77">
        <v>94389.29999999999</v>
      </c>
      <c r="N14" s="77">
        <v>-4719.599999999991</v>
      </c>
      <c r="O14" s="78">
        <v>-0.05263316371081861</v>
      </c>
    </row>
    <row r="15">
      <c r="B15" s="75" t="s">
        <v>37</v>
      </c>
      <c r="C15" s="75" t="s">
        <v>14</v>
      </c>
      <c r="D15" s="75" t="s">
        <v>21</v>
      </c>
      <c r="E15" s="75" t="s">
        <v>16</v>
      </c>
      <c r="F15" s="75" t="s">
        <v>17</v>
      </c>
      <c r="G15" s="75" t="s">
        <v>23</v>
      </c>
      <c r="H15" s="76">
        <v>44935.0</v>
      </c>
      <c r="I15" s="75">
        <v>404.0</v>
      </c>
      <c r="J15" s="77">
        <v>278.74</v>
      </c>
      <c r="K15" s="77">
        <v>66.38</v>
      </c>
      <c r="L15" s="77">
        <v>112610.96</v>
      </c>
      <c r="M15" s="77">
        <v>26817.519999999997</v>
      </c>
      <c r="N15" s="77">
        <v>85793.44</v>
      </c>
      <c r="O15" s="78">
        <v>0.7618569276027839</v>
      </c>
    </row>
    <row r="16">
      <c r="B16" s="75" t="s">
        <v>38</v>
      </c>
      <c r="C16" s="75" t="s">
        <v>39</v>
      </c>
      <c r="D16" s="75" t="s">
        <v>29</v>
      </c>
      <c r="E16" s="75" t="s">
        <v>30</v>
      </c>
      <c r="F16" s="75" t="s">
        <v>17</v>
      </c>
      <c r="G16" s="75" t="s">
        <v>31</v>
      </c>
      <c r="H16" s="76">
        <v>44936.0</v>
      </c>
      <c r="I16" s="75">
        <v>452.0</v>
      </c>
      <c r="J16" s="77">
        <v>300.75</v>
      </c>
      <c r="K16" s="77">
        <v>314.94</v>
      </c>
      <c r="L16" s="77">
        <v>135939.0</v>
      </c>
      <c r="M16" s="77">
        <v>142352.88</v>
      </c>
      <c r="N16" s="77">
        <v>-6413.880000000005</v>
      </c>
      <c r="O16" s="78">
        <v>-0.047182044887780585</v>
      </c>
    </row>
    <row r="17">
      <c r="B17" s="75" t="s">
        <v>40</v>
      </c>
      <c r="C17" s="75" t="s">
        <v>14</v>
      </c>
      <c r="D17" s="75" t="s">
        <v>29</v>
      </c>
      <c r="E17" s="75" t="s">
        <v>22</v>
      </c>
      <c r="F17" s="75" t="s">
        <v>17</v>
      </c>
      <c r="G17" s="75" t="s">
        <v>23</v>
      </c>
      <c r="H17" s="76">
        <v>44937.0</v>
      </c>
      <c r="I17" s="75">
        <v>235.0</v>
      </c>
      <c r="J17" s="77">
        <v>393.0</v>
      </c>
      <c r="K17" s="77">
        <v>230.69</v>
      </c>
      <c r="L17" s="77">
        <v>92355.0</v>
      </c>
      <c r="M17" s="77">
        <v>54212.15</v>
      </c>
      <c r="N17" s="77">
        <v>38142.85</v>
      </c>
      <c r="O17" s="78">
        <v>0.41300254452926205</v>
      </c>
    </row>
    <row r="18">
      <c r="B18" s="75" t="s">
        <v>41</v>
      </c>
      <c r="C18" s="75" t="s">
        <v>14</v>
      </c>
      <c r="D18" s="75" t="s">
        <v>34</v>
      </c>
      <c r="E18" s="75" t="s">
        <v>30</v>
      </c>
      <c r="F18" s="75" t="s">
        <v>27</v>
      </c>
      <c r="G18" s="75" t="s">
        <v>31</v>
      </c>
      <c r="H18" s="76">
        <v>44938.0</v>
      </c>
      <c r="I18" s="75">
        <v>481.0</v>
      </c>
      <c r="J18" s="77">
        <v>243.05</v>
      </c>
      <c r="K18" s="77">
        <v>227.5</v>
      </c>
      <c r="L18" s="77">
        <v>116907.05</v>
      </c>
      <c r="M18" s="77">
        <v>109427.5</v>
      </c>
      <c r="N18" s="77">
        <v>7479.550000000003</v>
      </c>
      <c r="O18" s="78">
        <v>0.06397860522526232</v>
      </c>
    </row>
    <row r="19">
      <c r="B19" s="75" t="s">
        <v>42</v>
      </c>
      <c r="C19" s="75" t="s">
        <v>14</v>
      </c>
      <c r="D19" s="75" t="s">
        <v>15</v>
      </c>
      <c r="E19" s="75" t="s">
        <v>22</v>
      </c>
      <c r="F19" s="75" t="s">
        <v>27</v>
      </c>
      <c r="G19" s="75" t="s">
        <v>23</v>
      </c>
      <c r="H19" s="76">
        <v>44939.0</v>
      </c>
      <c r="I19" s="75">
        <v>133.0</v>
      </c>
      <c r="J19" s="77">
        <v>25.17</v>
      </c>
      <c r="K19" s="77">
        <v>157.64</v>
      </c>
      <c r="L19" s="77">
        <v>3347.61</v>
      </c>
      <c r="M19" s="77">
        <v>20966.12</v>
      </c>
      <c r="N19" s="77">
        <v>-17618.51</v>
      </c>
      <c r="O19" s="78">
        <v>-5.263011521652761</v>
      </c>
    </row>
    <row r="20">
      <c r="B20" s="75" t="s">
        <v>43</v>
      </c>
      <c r="C20" s="75" t="s">
        <v>14</v>
      </c>
      <c r="D20" s="75" t="s">
        <v>29</v>
      </c>
      <c r="E20" s="75" t="s">
        <v>22</v>
      </c>
      <c r="F20" s="75" t="s">
        <v>27</v>
      </c>
      <c r="G20" s="75" t="s">
        <v>23</v>
      </c>
      <c r="H20" s="76">
        <v>44940.0</v>
      </c>
      <c r="I20" s="75">
        <v>472.0</v>
      </c>
      <c r="J20" s="77">
        <v>86.18</v>
      </c>
      <c r="K20" s="77">
        <v>201.46</v>
      </c>
      <c r="L20" s="77">
        <v>40676.96000000001</v>
      </c>
      <c r="M20" s="77">
        <v>95089.12000000001</v>
      </c>
      <c r="N20" s="77">
        <v>-54412.16</v>
      </c>
      <c r="O20" s="78">
        <v>-1.337665351589696</v>
      </c>
    </row>
    <row r="21" ht="15.75" customHeight="1">
      <c r="B21" s="75" t="s">
        <v>44</v>
      </c>
      <c r="C21" s="75" t="s">
        <v>20</v>
      </c>
      <c r="D21" s="75" t="s">
        <v>21</v>
      </c>
      <c r="E21" s="75" t="s">
        <v>16</v>
      </c>
      <c r="F21" s="75" t="s">
        <v>27</v>
      </c>
      <c r="G21" s="75" t="s">
        <v>23</v>
      </c>
      <c r="H21" s="76">
        <v>44941.0</v>
      </c>
      <c r="I21" s="75">
        <v>47.0</v>
      </c>
      <c r="J21" s="77">
        <v>222.11</v>
      </c>
      <c r="K21" s="77">
        <v>160.08</v>
      </c>
      <c r="L21" s="77">
        <v>10439.17</v>
      </c>
      <c r="M21" s="77">
        <v>7523.76</v>
      </c>
      <c r="N21" s="77">
        <v>2915.41</v>
      </c>
      <c r="O21" s="78">
        <v>0.27927603439737064</v>
      </c>
    </row>
    <row r="22" ht="15.75" customHeight="1">
      <c r="B22" s="75" t="s">
        <v>45</v>
      </c>
      <c r="C22" s="75" t="s">
        <v>25</v>
      </c>
      <c r="D22" s="75" t="s">
        <v>15</v>
      </c>
      <c r="E22" s="75" t="s">
        <v>46</v>
      </c>
      <c r="F22" s="75" t="s">
        <v>17</v>
      </c>
      <c r="G22" s="75" t="s">
        <v>18</v>
      </c>
      <c r="H22" s="76">
        <v>44942.0</v>
      </c>
      <c r="I22" s="75">
        <v>337.0</v>
      </c>
      <c r="J22" s="77">
        <v>363.79</v>
      </c>
      <c r="K22" s="77">
        <v>216.81</v>
      </c>
      <c r="L22" s="77">
        <v>122597.23000000001</v>
      </c>
      <c r="M22" s="77">
        <v>73064.97</v>
      </c>
      <c r="N22" s="77">
        <v>49532.26000000001</v>
      </c>
      <c r="O22" s="78">
        <v>0.4040242997333627</v>
      </c>
    </row>
    <row r="23" ht="15.75" customHeight="1">
      <c r="B23" s="75" t="s">
        <v>47</v>
      </c>
      <c r="C23" s="75" t="s">
        <v>20</v>
      </c>
      <c r="D23" s="75" t="s">
        <v>15</v>
      </c>
      <c r="E23" s="75" t="s">
        <v>46</v>
      </c>
      <c r="F23" s="75" t="s">
        <v>17</v>
      </c>
      <c r="G23" s="75" t="s">
        <v>18</v>
      </c>
      <c r="H23" s="76">
        <v>44943.0</v>
      </c>
      <c r="I23" s="75">
        <v>260.0</v>
      </c>
      <c r="J23" s="77">
        <v>298.67</v>
      </c>
      <c r="K23" s="77">
        <v>251.92</v>
      </c>
      <c r="L23" s="77">
        <v>77654.2</v>
      </c>
      <c r="M23" s="77">
        <v>65499.2</v>
      </c>
      <c r="N23" s="77">
        <v>12155.0</v>
      </c>
      <c r="O23" s="78">
        <v>0.15652727090099441</v>
      </c>
    </row>
    <row r="24" ht="15.75" customHeight="1">
      <c r="B24" s="75" t="s">
        <v>48</v>
      </c>
      <c r="C24" s="75" t="s">
        <v>39</v>
      </c>
      <c r="D24" s="75" t="s">
        <v>21</v>
      </c>
      <c r="E24" s="75" t="s">
        <v>26</v>
      </c>
      <c r="F24" s="75" t="s">
        <v>27</v>
      </c>
      <c r="G24" s="75" t="s">
        <v>31</v>
      </c>
      <c r="H24" s="76">
        <v>44944.0</v>
      </c>
      <c r="I24" s="75">
        <v>398.0</v>
      </c>
      <c r="J24" s="77">
        <v>326.9</v>
      </c>
      <c r="K24" s="77">
        <v>270.37</v>
      </c>
      <c r="L24" s="77">
        <v>130106.2</v>
      </c>
      <c r="M24" s="77">
        <v>107607.26</v>
      </c>
      <c r="N24" s="77">
        <v>22498.940000000002</v>
      </c>
      <c r="O24" s="78">
        <v>0.17292750076475988</v>
      </c>
    </row>
    <row r="25" ht="15.75" customHeight="1">
      <c r="B25" s="75" t="s">
        <v>49</v>
      </c>
      <c r="C25" s="75" t="s">
        <v>20</v>
      </c>
      <c r="D25" s="75" t="s">
        <v>29</v>
      </c>
      <c r="E25" s="75" t="s">
        <v>16</v>
      </c>
      <c r="F25" s="75" t="s">
        <v>17</v>
      </c>
      <c r="G25" s="75" t="s">
        <v>31</v>
      </c>
      <c r="H25" s="76">
        <v>44945.0</v>
      </c>
      <c r="I25" s="75">
        <v>185.0</v>
      </c>
      <c r="J25" s="77">
        <v>242.24</v>
      </c>
      <c r="K25" s="77">
        <v>213.93</v>
      </c>
      <c r="L25" s="77">
        <v>44814.4</v>
      </c>
      <c r="M25" s="77">
        <v>39577.05</v>
      </c>
      <c r="N25" s="77">
        <v>5237.3499999999985</v>
      </c>
      <c r="O25" s="78">
        <v>0.11686756935270802</v>
      </c>
    </row>
    <row r="26" ht="15.75" customHeight="1">
      <c r="B26" s="75" t="s">
        <v>50</v>
      </c>
      <c r="C26" s="75" t="s">
        <v>14</v>
      </c>
      <c r="D26" s="75" t="s">
        <v>21</v>
      </c>
      <c r="E26" s="75" t="s">
        <v>22</v>
      </c>
      <c r="F26" s="75" t="s">
        <v>27</v>
      </c>
      <c r="G26" s="75" t="s">
        <v>18</v>
      </c>
      <c r="H26" s="76">
        <v>44946.0</v>
      </c>
      <c r="I26" s="75">
        <v>99.0</v>
      </c>
      <c r="J26" s="77">
        <v>309.79</v>
      </c>
      <c r="K26" s="77">
        <v>289.13</v>
      </c>
      <c r="L26" s="77">
        <v>30669.210000000003</v>
      </c>
      <c r="M26" s="77">
        <v>28623.87</v>
      </c>
      <c r="N26" s="77">
        <v>2045.3400000000038</v>
      </c>
      <c r="O26" s="78">
        <v>0.06669033861648226</v>
      </c>
    </row>
    <row r="27" ht="15.75" customHeight="1">
      <c r="B27" s="75" t="s">
        <v>51</v>
      </c>
      <c r="C27" s="75" t="s">
        <v>52</v>
      </c>
      <c r="D27" s="75" t="s">
        <v>15</v>
      </c>
      <c r="E27" s="75" t="s">
        <v>46</v>
      </c>
      <c r="F27" s="75" t="s">
        <v>27</v>
      </c>
      <c r="G27" s="75" t="s">
        <v>31</v>
      </c>
      <c r="H27" s="76">
        <v>44947.0</v>
      </c>
      <c r="I27" s="75">
        <v>411.0</v>
      </c>
      <c r="J27" s="77">
        <v>167.86</v>
      </c>
      <c r="K27" s="77">
        <v>58.23</v>
      </c>
      <c r="L27" s="77">
        <v>68990.46</v>
      </c>
      <c r="M27" s="77">
        <v>23932.53</v>
      </c>
      <c r="N27" s="77">
        <v>45057.93000000001</v>
      </c>
      <c r="O27" s="78">
        <v>0.6531037769569881</v>
      </c>
    </row>
    <row r="28" ht="15.75" customHeight="1">
      <c r="B28" s="75" t="s">
        <v>53</v>
      </c>
      <c r="C28" s="75" t="s">
        <v>25</v>
      </c>
      <c r="D28" s="75" t="s">
        <v>54</v>
      </c>
      <c r="E28" s="75" t="s">
        <v>22</v>
      </c>
      <c r="F28" s="75" t="s">
        <v>27</v>
      </c>
      <c r="G28" s="75" t="s">
        <v>18</v>
      </c>
      <c r="H28" s="76">
        <v>44948.0</v>
      </c>
      <c r="I28" s="75">
        <v>463.0</v>
      </c>
      <c r="J28" s="77">
        <v>237.74</v>
      </c>
      <c r="K28" s="77">
        <v>86.37</v>
      </c>
      <c r="L28" s="77">
        <v>110073.62000000001</v>
      </c>
      <c r="M28" s="77">
        <v>39989.310000000005</v>
      </c>
      <c r="N28" s="77">
        <v>70084.31</v>
      </c>
      <c r="O28" s="78">
        <v>0.6367039623117691</v>
      </c>
    </row>
    <row r="29" ht="15.75" customHeight="1">
      <c r="B29" s="75" t="s">
        <v>55</v>
      </c>
      <c r="C29" s="75" t="s">
        <v>52</v>
      </c>
      <c r="D29" s="75" t="s">
        <v>54</v>
      </c>
      <c r="E29" s="75" t="s">
        <v>46</v>
      </c>
      <c r="F29" s="75" t="s">
        <v>17</v>
      </c>
      <c r="G29" s="75" t="s">
        <v>23</v>
      </c>
      <c r="H29" s="76">
        <v>44949.0</v>
      </c>
      <c r="I29" s="75">
        <v>46.0</v>
      </c>
      <c r="J29" s="77">
        <v>373.42</v>
      </c>
      <c r="K29" s="77">
        <v>327.86</v>
      </c>
      <c r="L29" s="77">
        <v>17177.32</v>
      </c>
      <c r="M29" s="77">
        <v>15081.560000000001</v>
      </c>
      <c r="N29" s="77">
        <v>2095.7599999999984</v>
      </c>
      <c r="O29" s="78">
        <v>0.1220073911413421</v>
      </c>
    </row>
    <row r="30" ht="15.75" customHeight="1">
      <c r="B30" s="75" t="s">
        <v>56</v>
      </c>
      <c r="C30" s="75" t="s">
        <v>20</v>
      </c>
      <c r="D30" s="75" t="s">
        <v>34</v>
      </c>
      <c r="E30" s="75" t="s">
        <v>46</v>
      </c>
      <c r="F30" s="75" t="s">
        <v>27</v>
      </c>
      <c r="G30" s="75" t="s">
        <v>31</v>
      </c>
      <c r="H30" s="76">
        <v>44950.0</v>
      </c>
      <c r="I30" s="75">
        <v>325.0</v>
      </c>
      <c r="J30" s="77">
        <v>436.56</v>
      </c>
      <c r="K30" s="77">
        <v>130.37</v>
      </c>
      <c r="L30" s="77">
        <v>141882.0</v>
      </c>
      <c r="M30" s="77">
        <v>42370.25</v>
      </c>
      <c r="N30" s="77">
        <v>99511.75</v>
      </c>
      <c r="O30" s="78">
        <v>0.7013698002565513</v>
      </c>
    </row>
    <row r="31" ht="15.75" customHeight="1">
      <c r="B31" s="75" t="s">
        <v>57</v>
      </c>
      <c r="C31" s="75" t="s">
        <v>20</v>
      </c>
      <c r="D31" s="75" t="s">
        <v>21</v>
      </c>
      <c r="E31" s="75" t="s">
        <v>39</v>
      </c>
      <c r="F31" s="75" t="s">
        <v>27</v>
      </c>
      <c r="G31" s="75" t="s">
        <v>31</v>
      </c>
      <c r="H31" s="76">
        <v>44951.0</v>
      </c>
      <c r="I31" s="75">
        <v>185.0</v>
      </c>
      <c r="J31" s="77">
        <v>219.66</v>
      </c>
      <c r="K31" s="77">
        <v>11.11</v>
      </c>
      <c r="L31" s="77">
        <v>40637.1</v>
      </c>
      <c r="M31" s="77">
        <v>2055.35</v>
      </c>
      <c r="N31" s="77">
        <v>38581.75</v>
      </c>
      <c r="O31" s="78">
        <v>0.9494218337430574</v>
      </c>
    </row>
    <row r="32" ht="15.75" customHeight="1">
      <c r="B32" s="75" t="s">
        <v>58</v>
      </c>
      <c r="C32" s="75" t="s">
        <v>52</v>
      </c>
      <c r="D32" s="75" t="s">
        <v>21</v>
      </c>
      <c r="E32" s="75" t="s">
        <v>16</v>
      </c>
      <c r="F32" s="75" t="s">
        <v>27</v>
      </c>
      <c r="G32" s="75" t="s">
        <v>18</v>
      </c>
      <c r="H32" s="76">
        <v>44952.0</v>
      </c>
      <c r="I32" s="75">
        <v>470.0</v>
      </c>
      <c r="J32" s="77">
        <v>26.61</v>
      </c>
      <c r="K32" s="77">
        <v>63.21</v>
      </c>
      <c r="L32" s="77">
        <v>12506.699999999999</v>
      </c>
      <c r="M32" s="77">
        <v>29708.7</v>
      </c>
      <c r="N32" s="77">
        <v>-17202.0</v>
      </c>
      <c r="O32" s="78">
        <v>-1.3754227733934612</v>
      </c>
    </row>
    <row r="33" ht="15.75" customHeight="1">
      <c r="B33" s="75" t="s">
        <v>59</v>
      </c>
      <c r="C33" s="75" t="s">
        <v>52</v>
      </c>
      <c r="D33" s="75" t="s">
        <v>34</v>
      </c>
      <c r="E33" s="75" t="s">
        <v>30</v>
      </c>
      <c r="F33" s="75" t="s">
        <v>17</v>
      </c>
      <c r="G33" s="75" t="s">
        <v>31</v>
      </c>
      <c r="H33" s="76">
        <v>44953.0</v>
      </c>
      <c r="I33" s="75">
        <v>293.0</v>
      </c>
      <c r="J33" s="77">
        <v>85.03</v>
      </c>
      <c r="K33" s="77">
        <v>91.0</v>
      </c>
      <c r="L33" s="77">
        <v>24913.79</v>
      </c>
      <c r="M33" s="77">
        <v>26663.0</v>
      </c>
      <c r="N33" s="77">
        <v>-1749.2099999999991</v>
      </c>
      <c r="O33" s="78">
        <v>-0.07021051393625775</v>
      </c>
    </row>
    <row r="34" ht="15.75" customHeight="1">
      <c r="B34" s="75" t="s">
        <v>60</v>
      </c>
      <c r="C34" s="75" t="s">
        <v>52</v>
      </c>
      <c r="D34" s="75" t="s">
        <v>34</v>
      </c>
      <c r="E34" s="75" t="s">
        <v>22</v>
      </c>
      <c r="F34" s="75" t="s">
        <v>17</v>
      </c>
      <c r="G34" s="75" t="s">
        <v>31</v>
      </c>
      <c r="H34" s="76">
        <v>44954.0</v>
      </c>
      <c r="I34" s="75">
        <v>462.0</v>
      </c>
      <c r="J34" s="77">
        <v>249.64520588235297</v>
      </c>
      <c r="K34" s="77">
        <v>383.01</v>
      </c>
      <c r="L34" s="77">
        <v>115336.08511764708</v>
      </c>
      <c r="M34" s="77">
        <v>176950.62</v>
      </c>
      <c r="N34" s="77">
        <v>-61614.53488235292</v>
      </c>
      <c r="O34" s="78">
        <v>-0.5342173251285911</v>
      </c>
    </row>
    <row r="35" ht="15.75" customHeight="1">
      <c r="B35" s="75" t="s">
        <v>61</v>
      </c>
      <c r="C35" s="75" t="s">
        <v>20</v>
      </c>
      <c r="D35" s="75" t="s">
        <v>34</v>
      </c>
      <c r="E35" s="75" t="s">
        <v>16</v>
      </c>
      <c r="F35" s="75" t="s">
        <v>27</v>
      </c>
      <c r="G35" s="75" t="s">
        <v>23</v>
      </c>
      <c r="H35" s="76">
        <v>44955.0</v>
      </c>
      <c r="I35" s="75">
        <v>470.0</v>
      </c>
      <c r="J35" s="77">
        <v>328.37</v>
      </c>
      <c r="K35" s="77">
        <v>230.07</v>
      </c>
      <c r="L35" s="77">
        <v>154333.9</v>
      </c>
      <c r="M35" s="77">
        <v>108132.9</v>
      </c>
      <c r="N35" s="77">
        <v>46201.0</v>
      </c>
      <c r="O35" s="78">
        <v>0.29935743216493593</v>
      </c>
    </row>
    <row r="36" ht="15.75" customHeight="1">
      <c r="B36" s="75" t="s">
        <v>62</v>
      </c>
      <c r="C36" s="75" t="s">
        <v>20</v>
      </c>
      <c r="D36" s="75" t="s">
        <v>15</v>
      </c>
      <c r="E36" s="75" t="s">
        <v>16</v>
      </c>
      <c r="F36" s="75" t="s">
        <v>17</v>
      </c>
      <c r="G36" s="75" t="s">
        <v>31</v>
      </c>
      <c r="H36" s="76">
        <v>44956.0</v>
      </c>
      <c r="I36" s="75">
        <v>90.0</v>
      </c>
      <c r="J36" s="77">
        <v>169.5</v>
      </c>
      <c r="K36" s="77">
        <v>373.23</v>
      </c>
      <c r="L36" s="77">
        <v>15255.0</v>
      </c>
      <c r="M36" s="77">
        <v>33590.700000000004</v>
      </c>
      <c r="N36" s="77">
        <v>-18335.700000000004</v>
      </c>
      <c r="O36" s="78">
        <v>-1.2019469026548675</v>
      </c>
    </row>
    <row r="37" ht="15.75" customHeight="1">
      <c r="B37" s="75" t="s">
        <v>63</v>
      </c>
      <c r="C37" s="75" t="s">
        <v>39</v>
      </c>
      <c r="D37" s="75" t="s">
        <v>21</v>
      </c>
      <c r="E37" s="75" t="s">
        <v>16</v>
      </c>
      <c r="F37" s="75" t="s">
        <v>17</v>
      </c>
      <c r="G37" s="75" t="s">
        <v>23</v>
      </c>
      <c r="H37" s="76">
        <v>44957.0</v>
      </c>
      <c r="I37" s="75">
        <v>123.0</v>
      </c>
      <c r="J37" s="77">
        <v>273.53</v>
      </c>
      <c r="K37" s="77">
        <v>230.92</v>
      </c>
      <c r="L37" s="77">
        <v>33644.189999999995</v>
      </c>
      <c r="M37" s="77">
        <v>28403.16</v>
      </c>
      <c r="N37" s="77">
        <v>5241.029999999995</v>
      </c>
      <c r="O37" s="78">
        <v>0.15577815961686092</v>
      </c>
    </row>
    <row r="38" ht="15.75" customHeight="1">
      <c r="B38" s="75" t="s">
        <v>64</v>
      </c>
      <c r="C38" s="75" t="s">
        <v>25</v>
      </c>
      <c r="D38" s="75" t="s">
        <v>15</v>
      </c>
      <c r="E38" s="75" t="s">
        <v>16</v>
      </c>
      <c r="F38" s="75" t="s">
        <v>17</v>
      </c>
      <c r="G38" s="75" t="s">
        <v>18</v>
      </c>
      <c r="H38" s="76">
        <v>44958.0</v>
      </c>
      <c r="I38" s="75">
        <v>49.0</v>
      </c>
      <c r="J38" s="77">
        <v>249.17</v>
      </c>
      <c r="K38" s="77">
        <v>192.78</v>
      </c>
      <c r="L38" s="77">
        <v>12209.33</v>
      </c>
      <c r="M38" s="77">
        <v>9446.22</v>
      </c>
      <c r="N38" s="77">
        <v>2763.1100000000006</v>
      </c>
      <c r="O38" s="78">
        <v>0.226311353694265</v>
      </c>
    </row>
    <row r="39" ht="15.75" customHeight="1">
      <c r="B39" s="75" t="s">
        <v>65</v>
      </c>
      <c r="C39" s="75" t="s">
        <v>20</v>
      </c>
      <c r="D39" s="75" t="s">
        <v>34</v>
      </c>
      <c r="E39" s="75" t="s">
        <v>16</v>
      </c>
      <c r="F39" s="75" t="s">
        <v>17</v>
      </c>
      <c r="G39" s="75" t="s">
        <v>31</v>
      </c>
      <c r="H39" s="76">
        <v>44959.0</v>
      </c>
      <c r="I39" s="75">
        <v>310.0</v>
      </c>
      <c r="J39" s="77">
        <v>45.36</v>
      </c>
      <c r="K39" s="77">
        <v>126.86</v>
      </c>
      <c r="L39" s="77">
        <v>14061.6</v>
      </c>
      <c r="M39" s="77">
        <v>39326.6</v>
      </c>
      <c r="N39" s="77">
        <v>-25265.0</v>
      </c>
      <c r="O39" s="78">
        <v>-1.79673721340388</v>
      </c>
    </row>
    <row r="40" ht="15.75" customHeight="1">
      <c r="B40" s="75" t="s">
        <v>66</v>
      </c>
      <c r="C40" s="75" t="s">
        <v>52</v>
      </c>
      <c r="D40" s="75" t="s">
        <v>21</v>
      </c>
      <c r="E40" s="75" t="s">
        <v>26</v>
      </c>
      <c r="F40" s="75" t="s">
        <v>17</v>
      </c>
      <c r="G40" s="75" t="s">
        <v>23</v>
      </c>
      <c r="H40" s="76">
        <v>44960.0</v>
      </c>
      <c r="I40" s="75">
        <v>233.0</v>
      </c>
      <c r="J40" s="77">
        <v>204.61</v>
      </c>
      <c r="K40" s="77">
        <v>243.34</v>
      </c>
      <c r="L40" s="77">
        <v>47674.130000000005</v>
      </c>
      <c r="M40" s="77">
        <v>56698.22</v>
      </c>
      <c r="N40" s="77">
        <v>-9024.089999999997</v>
      </c>
      <c r="O40" s="78">
        <v>-0.18928693612237907</v>
      </c>
    </row>
    <row r="41" ht="15.75" customHeight="1">
      <c r="B41" s="75" t="s">
        <v>67</v>
      </c>
      <c r="C41" s="75" t="s">
        <v>52</v>
      </c>
      <c r="D41" s="75" t="s">
        <v>15</v>
      </c>
      <c r="E41" s="75" t="s">
        <v>22</v>
      </c>
      <c r="F41" s="75" t="s">
        <v>17</v>
      </c>
      <c r="G41" s="75" t="s">
        <v>18</v>
      </c>
      <c r="H41" s="76">
        <v>44961.0</v>
      </c>
      <c r="I41" s="75">
        <v>327.0</v>
      </c>
      <c r="J41" s="77">
        <v>114.18</v>
      </c>
      <c r="K41" s="77">
        <v>57.4</v>
      </c>
      <c r="L41" s="77">
        <v>37336.86</v>
      </c>
      <c r="M41" s="77">
        <v>18769.8</v>
      </c>
      <c r="N41" s="77">
        <v>18567.06</v>
      </c>
      <c r="O41" s="78">
        <v>0.4972849886144684</v>
      </c>
    </row>
    <row r="42" ht="15.75" customHeight="1">
      <c r="B42" s="75" t="s">
        <v>68</v>
      </c>
      <c r="C42" s="75" t="s">
        <v>25</v>
      </c>
      <c r="D42" s="75" t="s">
        <v>15</v>
      </c>
      <c r="E42" s="75" t="s">
        <v>16</v>
      </c>
      <c r="F42" s="75" t="s">
        <v>17</v>
      </c>
      <c r="G42" s="75" t="s">
        <v>31</v>
      </c>
      <c r="H42" s="76">
        <v>44962.0</v>
      </c>
      <c r="I42" s="75">
        <v>358.0</v>
      </c>
      <c r="J42" s="77">
        <v>212.11</v>
      </c>
      <c r="K42" s="77">
        <v>359.51</v>
      </c>
      <c r="L42" s="77">
        <v>75935.38</v>
      </c>
      <c r="M42" s="77">
        <v>128704.58</v>
      </c>
      <c r="N42" s="77">
        <v>-52769.2</v>
      </c>
      <c r="O42" s="78">
        <v>-0.6949224459007118</v>
      </c>
    </row>
    <row r="43" ht="15.75" customHeight="1">
      <c r="B43" s="75" t="s">
        <v>69</v>
      </c>
      <c r="C43" s="75" t="s">
        <v>20</v>
      </c>
      <c r="D43" s="75" t="s">
        <v>34</v>
      </c>
      <c r="E43" s="75" t="s">
        <v>22</v>
      </c>
      <c r="F43" s="75" t="s">
        <v>17</v>
      </c>
      <c r="G43" s="75" t="s">
        <v>18</v>
      </c>
      <c r="H43" s="76">
        <v>44963.0</v>
      </c>
      <c r="I43" s="75">
        <v>124.0</v>
      </c>
      <c r="J43" s="77">
        <v>249.64520588235297</v>
      </c>
      <c r="K43" s="77">
        <v>332.07</v>
      </c>
      <c r="L43" s="77">
        <v>30956.005529411766</v>
      </c>
      <c r="M43" s="77">
        <v>41176.68</v>
      </c>
      <c r="N43" s="77">
        <v>-10220.674470588234</v>
      </c>
      <c r="O43" s="78">
        <v>-0.3301677427624639</v>
      </c>
    </row>
    <row r="44" ht="15.75" customHeight="1">
      <c r="B44" s="75" t="s">
        <v>70</v>
      </c>
      <c r="C44" s="75" t="s">
        <v>25</v>
      </c>
      <c r="D44" s="75" t="s">
        <v>21</v>
      </c>
      <c r="E44" s="75" t="s">
        <v>26</v>
      </c>
      <c r="F44" s="75" t="s">
        <v>17</v>
      </c>
      <c r="G44" s="75" t="s">
        <v>31</v>
      </c>
      <c r="H44" s="76">
        <v>44964.0</v>
      </c>
      <c r="I44" s="75">
        <v>195.0</v>
      </c>
      <c r="J44" s="77">
        <v>421.02</v>
      </c>
      <c r="K44" s="77">
        <v>128.38</v>
      </c>
      <c r="L44" s="77">
        <v>82098.9</v>
      </c>
      <c r="M44" s="77">
        <v>25034.1</v>
      </c>
      <c r="N44" s="77">
        <v>57064.799999999996</v>
      </c>
      <c r="O44" s="78">
        <v>0.6950738682247875</v>
      </c>
    </row>
    <row r="45" ht="15.75" customHeight="1">
      <c r="B45" s="75" t="s">
        <v>71</v>
      </c>
      <c r="C45" s="75" t="s">
        <v>25</v>
      </c>
      <c r="D45" s="75" t="s">
        <v>34</v>
      </c>
      <c r="E45" s="75" t="s">
        <v>26</v>
      </c>
      <c r="F45" s="75" t="s">
        <v>17</v>
      </c>
      <c r="G45" s="75" t="s">
        <v>18</v>
      </c>
      <c r="H45" s="76">
        <v>44965.0</v>
      </c>
      <c r="I45" s="79">
        <v>255.9029411764706</v>
      </c>
      <c r="J45" s="77">
        <v>91.23</v>
      </c>
      <c r="K45" s="77">
        <v>381.21</v>
      </c>
      <c r="L45" s="77">
        <v>23346.02532352941</v>
      </c>
      <c r="M45" s="77">
        <v>97552.76020588235</v>
      </c>
      <c r="N45" s="77">
        <v>-74206.73488235295</v>
      </c>
      <c r="O45" s="78">
        <v>-3.1785596843143704</v>
      </c>
    </row>
    <row r="46" ht="15.75" customHeight="1">
      <c r="B46" s="75" t="s">
        <v>72</v>
      </c>
      <c r="C46" s="75" t="s">
        <v>14</v>
      </c>
      <c r="D46" s="75" t="s">
        <v>21</v>
      </c>
      <c r="E46" s="75" t="s">
        <v>22</v>
      </c>
      <c r="F46" s="75" t="s">
        <v>27</v>
      </c>
      <c r="G46" s="75" t="s">
        <v>18</v>
      </c>
      <c r="H46" s="76">
        <v>44966.0</v>
      </c>
      <c r="I46" s="75">
        <v>65.0</v>
      </c>
      <c r="J46" s="77">
        <v>480.59</v>
      </c>
      <c r="K46" s="77">
        <v>330.43</v>
      </c>
      <c r="L46" s="77">
        <v>31238.35</v>
      </c>
      <c r="M46" s="77">
        <v>21477.95</v>
      </c>
      <c r="N46" s="77">
        <v>9760.399999999998</v>
      </c>
      <c r="O46" s="78">
        <v>0.31244928109199105</v>
      </c>
    </row>
    <row r="47" ht="15.75" customHeight="1">
      <c r="B47" s="75" t="s">
        <v>73</v>
      </c>
      <c r="C47" s="75" t="s">
        <v>14</v>
      </c>
      <c r="D47" s="75" t="s">
        <v>54</v>
      </c>
      <c r="E47" s="75" t="s">
        <v>46</v>
      </c>
      <c r="F47" s="75" t="s">
        <v>27</v>
      </c>
      <c r="G47" s="75" t="s">
        <v>23</v>
      </c>
      <c r="H47" s="76">
        <v>44967.0</v>
      </c>
      <c r="I47" s="75">
        <v>49.0</v>
      </c>
      <c r="J47" s="77">
        <v>210.87</v>
      </c>
      <c r="K47" s="77">
        <v>267.19</v>
      </c>
      <c r="L47" s="77">
        <v>10332.630000000001</v>
      </c>
      <c r="M47" s="77">
        <v>13092.31</v>
      </c>
      <c r="N47" s="77">
        <v>-2759.6799999999985</v>
      </c>
      <c r="O47" s="78">
        <v>-0.26708398539384437</v>
      </c>
    </row>
    <row r="48" ht="15.75" customHeight="1">
      <c r="B48" s="75" t="s">
        <v>74</v>
      </c>
      <c r="C48" s="75" t="s">
        <v>14</v>
      </c>
      <c r="D48" s="75" t="s">
        <v>29</v>
      </c>
      <c r="E48" s="75" t="s">
        <v>30</v>
      </c>
      <c r="F48" s="75" t="s">
        <v>17</v>
      </c>
      <c r="G48" s="75" t="s">
        <v>18</v>
      </c>
      <c r="H48" s="76">
        <v>44968.0</v>
      </c>
      <c r="I48" s="75">
        <v>363.0</v>
      </c>
      <c r="J48" s="77">
        <v>423.89</v>
      </c>
      <c r="K48" s="77">
        <v>50.46</v>
      </c>
      <c r="L48" s="77">
        <v>153872.07</v>
      </c>
      <c r="M48" s="77">
        <v>18316.98</v>
      </c>
      <c r="N48" s="77">
        <v>135555.09</v>
      </c>
      <c r="O48" s="78">
        <v>0.8809596829366109</v>
      </c>
    </row>
    <row r="49" ht="15.75" customHeight="1">
      <c r="B49" s="75" t="s">
        <v>75</v>
      </c>
      <c r="C49" s="75" t="s">
        <v>52</v>
      </c>
      <c r="D49" s="75" t="s">
        <v>29</v>
      </c>
      <c r="E49" s="75" t="s">
        <v>46</v>
      </c>
      <c r="F49" s="75" t="s">
        <v>27</v>
      </c>
      <c r="G49" s="75" t="s">
        <v>31</v>
      </c>
      <c r="H49" s="76">
        <v>44969.0</v>
      </c>
      <c r="I49" s="75">
        <v>49.0</v>
      </c>
      <c r="J49" s="77">
        <v>316.24</v>
      </c>
      <c r="K49" s="77">
        <v>192.34</v>
      </c>
      <c r="L49" s="77">
        <v>15495.76</v>
      </c>
      <c r="M49" s="77">
        <v>9424.66</v>
      </c>
      <c r="N49" s="77">
        <v>6071.1</v>
      </c>
      <c r="O49" s="78">
        <v>0.3917910447761194</v>
      </c>
    </row>
    <row r="50" ht="15.75" customHeight="1">
      <c r="B50" s="75" t="s">
        <v>76</v>
      </c>
      <c r="C50" s="75" t="s">
        <v>20</v>
      </c>
      <c r="D50" s="75" t="s">
        <v>29</v>
      </c>
      <c r="E50" s="75" t="s">
        <v>46</v>
      </c>
      <c r="F50" s="75" t="s">
        <v>27</v>
      </c>
      <c r="G50" s="75" t="s">
        <v>31</v>
      </c>
      <c r="H50" s="76">
        <v>44970.0</v>
      </c>
      <c r="I50" s="75">
        <v>356.0</v>
      </c>
      <c r="J50" s="77">
        <v>369.0</v>
      </c>
      <c r="K50" s="77">
        <v>203.43</v>
      </c>
      <c r="L50" s="77">
        <v>131364.0</v>
      </c>
      <c r="M50" s="77">
        <v>72421.08</v>
      </c>
      <c r="N50" s="77">
        <v>58942.92</v>
      </c>
      <c r="O50" s="78">
        <v>0.4486991869918699</v>
      </c>
    </row>
    <row r="51" ht="15.75" customHeight="1">
      <c r="B51" s="75" t="s">
        <v>77</v>
      </c>
      <c r="C51" s="75" t="s">
        <v>20</v>
      </c>
      <c r="D51" s="75" t="s">
        <v>34</v>
      </c>
      <c r="E51" s="75" t="s">
        <v>46</v>
      </c>
      <c r="F51" s="75" t="s">
        <v>17</v>
      </c>
      <c r="G51" s="75" t="s">
        <v>23</v>
      </c>
      <c r="H51" s="76">
        <v>44971.0</v>
      </c>
      <c r="I51" s="75">
        <v>470.0</v>
      </c>
      <c r="J51" s="77">
        <v>249.64520588235297</v>
      </c>
      <c r="K51" s="77">
        <v>94.56</v>
      </c>
      <c r="L51" s="77">
        <v>117333.2467647059</v>
      </c>
      <c r="M51" s="77">
        <v>44443.200000000004</v>
      </c>
      <c r="N51" s="77">
        <v>72890.04676470588</v>
      </c>
      <c r="O51" s="78">
        <v>0.6212224478103454</v>
      </c>
    </row>
    <row r="52" ht="15.75" customHeight="1">
      <c r="B52" s="75" t="s">
        <v>78</v>
      </c>
      <c r="C52" s="75" t="s">
        <v>20</v>
      </c>
      <c r="D52" s="75" t="s">
        <v>54</v>
      </c>
      <c r="E52" s="75" t="s">
        <v>16</v>
      </c>
      <c r="F52" s="75" t="s">
        <v>17</v>
      </c>
      <c r="G52" s="75" t="s">
        <v>31</v>
      </c>
      <c r="H52" s="76">
        <v>44972.0</v>
      </c>
      <c r="I52" s="75">
        <v>246.0</v>
      </c>
      <c r="J52" s="77">
        <v>254.9</v>
      </c>
      <c r="K52" s="77">
        <v>33.83</v>
      </c>
      <c r="L52" s="77">
        <v>62705.4</v>
      </c>
      <c r="M52" s="77">
        <v>8322.18</v>
      </c>
      <c r="N52" s="77">
        <v>54383.22</v>
      </c>
      <c r="O52" s="78">
        <v>0.8672812867791291</v>
      </c>
    </row>
    <row r="53" ht="15.75" customHeight="1">
      <c r="B53" s="75" t="s">
        <v>79</v>
      </c>
      <c r="C53" s="75" t="s">
        <v>20</v>
      </c>
      <c r="D53" s="75" t="s">
        <v>21</v>
      </c>
      <c r="E53" s="75" t="s">
        <v>26</v>
      </c>
      <c r="F53" s="75" t="s">
        <v>17</v>
      </c>
      <c r="G53" s="75" t="s">
        <v>31</v>
      </c>
      <c r="H53" s="76">
        <v>44973.0</v>
      </c>
      <c r="I53" s="75">
        <v>298.0</v>
      </c>
      <c r="J53" s="77">
        <v>273.93</v>
      </c>
      <c r="K53" s="77">
        <v>311.14</v>
      </c>
      <c r="L53" s="77">
        <v>81631.14</v>
      </c>
      <c r="M53" s="77">
        <v>92719.72</v>
      </c>
      <c r="N53" s="77">
        <v>-11088.580000000002</v>
      </c>
      <c r="O53" s="78">
        <v>-0.1358376227503377</v>
      </c>
    </row>
    <row r="54" ht="15.75" customHeight="1">
      <c r="B54" s="75" t="s">
        <v>80</v>
      </c>
      <c r="C54" s="75" t="s">
        <v>14</v>
      </c>
      <c r="D54" s="75" t="s">
        <v>15</v>
      </c>
      <c r="E54" s="75" t="s">
        <v>46</v>
      </c>
      <c r="F54" s="75" t="s">
        <v>27</v>
      </c>
      <c r="G54" s="75" t="s">
        <v>31</v>
      </c>
      <c r="H54" s="76">
        <v>44974.0</v>
      </c>
      <c r="I54" s="75">
        <v>271.0</v>
      </c>
      <c r="J54" s="77">
        <v>259.43</v>
      </c>
      <c r="K54" s="77">
        <v>50.57</v>
      </c>
      <c r="L54" s="77">
        <v>70305.53</v>
      </c>
      <c r="M54" s="77">
        <v>13704.47</v>
      </c>
      <c r="N54" s="77">
        <v>56601.06</v>
      </c>
      <c r="O54" s="78">
        <v>0.8050726592915237</v>
      </c>
    </row>
    <row r="55" ht="15.75" customHeight="1">
      <c r="B55" s="75" t="s">
        <v>81</v>
      </c>
      <c r="C55" s="75" t="s">
        <v>52</v>
      </c>
      <c r="D55" s="75" t="s">
        <v>21</v>
      </c>
      <c r="E55" s="75" t="s">
        <v>26</v>
      </c>
      <c r="F55" s="75" t="s">
        <v>27</v>
      </c>
      <c r="G55" s="75" t="s">
        <v>18</v>
      </c>
      <c r="H55" s="76">
        <v>44975.0</v>
      </c>
      <c r="I55" s="75">
        <v>225.0</v>
      </c>
      <c r="J55" s="77">
        <v>296.09</v>
      </c>
      <c r="K55" s="77">
        <v>238.53</v>
      </c>
      <c r="L55" s="77">
        <v>66620.25</v>
      </c>
      <c r="M55" s="77">
        <v>53669.25</v>
      </c>
      <c r="N55" s="77">
        <v>12951.0</v>
      </c>
      <c r="O55" s="78">
        <v>0.19440035124455401</v>
      </c>
    </row>
    <row r="56" ht="15.75" customHeight="1">
      <c r="B56" s="75" t="s">
        <v>82</v>
      </c>
      <c r="C56" s="75" t="s">
        <v>39</v>
      </c>
      <c r="D56" s="75" t="s">
        <v>15</v>
      </c>
      <c r="E56" s="75" t="s">
        <v>22</v>
      </c>
      <c r="F56" s="75" t="s">
        <v>17</v>
      </c>
      <c r="G56" s="75" t="s">
        <v>18</v>
      </c>
      <c r="H56" s="76">
        <v>44976.0</v>
      </c>
      <c r="I56" s="75">
        <v>156.0</v>
      </c>
      <c r="J56" s="77">
        <v>19.55</v>
      </c>
      <c r="K56" s="77">
        <v>374.71</v>
      </c>
      <c r="L56" s="77">
        <v>3049.8</v>
      </c>
      <c r="M56" s="77">
        <v>58454.759999999995</v>
      </c>
      <c r="N56" s="77">
        <v>-55404.95999999999</v>
      </c>
      <c r="O56" s="78">
        <v>-18.166751918158564</v>
      </c>
    </row>
    <row r="57" ht="15.75" customHeight="1">
      <c r="B57" s="75" t="s">
        <v>83</v>
      </c>
      <c r="C57" s="75" t="s">
        <v>14</v>
      </c>
      <c r="D57" s="75" t="s">
        <v>21</v>
      </c>
      <c r="E57" s="75" t="s">
        <v>30</v>
      </c>
      <c r="F57" s="75" t="s">
        <v>17</v>
      </c>
      <c r="G57" s="75" t="s">
        <v>31</v>
      </c>
      <c r="H57" s="76">
        <v>44977.0</v>
      </c>
      <c r="I57" s="75">
        <v>345.0</v>
      </c>
      <c r="J57" s="77">
        <v>200.78</v>
      </c>
      <c r="K57" s="77">
        <v>350.69</v>
      </c>
      <c r="L57" s="77">
        <v>69269.1</v>
      </c>
      <c r="M57" s="77">
        <v>120988.05</v>
      </c>
      <c r="N57" s="77">
        <v>-51718.95</v>
      </c>
      <c r="O57" s="78">
        <v>-0.7466381113656738</v>
      </c>
    </row>
    <row r="58" ht="15.75" customHeight="1">
      <c r="B58" s="75" t="s">
        <v>84</v>
      </c>
      <c r="C58" s="75" t="s">
        <v>52</v>
      </c>
      <c r="D58" s="75" t="s">
        <v>54</v>
      </c>
      <c r="E58" s="75" t="s">
        <v>22</v>
      </c>
      <c r="F58" s="75" t="s">
        <v>17</v>
      </c>
      <c r="G58" s="75" t="s">
        <v>23</v>
      </c>
      <c r="H58" s="76">
        <v>44978.0</v>
      </c>
      <c r="I58" s="75">
        <v>177.0</v>
      </c>
      <c r="J58" s="77">
        <v>305.06</v>
      </c>
      <c r="K58" s="77">
        <v>112.55</v>
      </c>
      <c r="L58" s="77">
        <v>53995.62</v>
      </c>
      <c r="M58" s="77">
        <v>19921.35</v>
      </c>
      <c r="N58" s="77">
        <v>34074.270000000004</v>
      </c>
      <c r="O58" s="78">
        <v>0.6310561856683932</v>
      </c>
    </row>
    <row r="59" ht="15.75" customHeight="1">
      <c r="B59" s="75" t="s">
        <v>85</v>
      </c>
      <c r="C59" s="75" t="s">
        <v>14</v>
      </c>
      <c r="D59" s="75" t="s">
        <v>15</v>
      </c>
      <c r="E59" s="75" t="s">
        <v>22</v>
      </c>
      <c r="F59" s="75" t="s">
        <v>27</v>
      </c>
      <c r="G59" s="75" t="s">
        <v>18</v>
      </c>
      <c r="H59" s="76">
        <v>44979.0</v>
      </c>
      <c r="I59" s="75">
        <v>101.0</v>
      </c>
      <c r="J59" s="77">
        <v>300.87</v>
      </c>
      <c r="K59" s="77">
        <v>340.88</v>
      </c>
      <c r="L59" s="77">
        <v>30387.87</v>
      </c>
      <c r="M59" s="77">
        <v>34428.88</v>
      </c>
      <c r="N59" s="77">
        <v>-4041.0099999999984</v>
      </c>
      <c r="O59" s="78">
        <v>-0.1329810217037258</v>
      </c>
    </row>
    <row r="60" ht="15.75" customHeight="1">
      <c r="B60" s="75" t="s">
        <v>86</v>
      </c>
      <c r="C60" s="75" t="s">
        <v>20</v>
      </c>
      <c r="D60" s="75" t="s">
        <v>34</v>
      </c>
      <c r="E60" s="75" t="s">
        <v>16</v>
      </c>
      <c r="F60" s="75" t="s">
        <v>27</v>
      </c>
      <c r="G60" s="75" t="s">
        <v>23</v>
      </c>
      <c r="H60" s="76">
        <v>44980.0</v>
      </c>
      <c r="I60" s="75">
        <v>362.0</v>
      </c>
      <c r="J60" s="77">
        <v>397.51</v>
      </c>
      <c r="K60" s="77">
        <v>2.13</v>
      </c>
      <c r="L60" s="77">
        <v>143898.62</v>
      </c>
      <c r="M60" s="77">
        <v>771.06</v>
      </c>
      <c r="N60" s="77">
        <v>143127.56</v>
      </c>
      <c r="O60" s="78">
        <v>0.9946416442353652</v>
      </c>
    </row>
    <row r="61" ht="15.75" customHeight="1">
      <c r="B61" s="75" t="s">
        <v>87</v>
      </c>
      <c r="C61" s="75" t="s">
        <v>14</v>
      </c>
      <c r="D61" s="75" t="s">
        <v>21</v>
      </c>
      <c r="E61" s="75" t="s">
        <v>30</v>
      </c>
      <c r="F61" s="75" t="s">
        <v>27</v>
      </c>
      <c r="G61" s="75" t="s">
        <v>31</v>
      </c>
      <c r="H61" s="76">
        <v>44981.0</v>
      </c>
      <c r="I61" s="75">
        <v>68.0</v>
      </c>
      <c r="J61" s="77">
        <v>329.23</v>
      </c>
      <c r="K61" s="77">
        <v>9.04</v>
      </c>
      <c r="L61" s="77">
        <v>22387.64</v>
      </c>
      <c r="M61" s="77">
        <v>614.7199999999999</v>
      </c>
      <c r="N61" s="77">
        <v>21772.92</v>
      </c>
      <c r="O61" s="78">
        <v>0.9725419919205418</v>
      </c>
    </row>
    <row r="62" ht="15.75" customHeight="1">
      <c r="B62" s="75" t="s">
        <v>88</v>
      </c>
      <c r="C62" s="75" t="s">
        <v>20</v>
      </c>
      <c r="D62" s="75" t="s">
        <v>21</v>
      </c>
      <c r="E62" s="75" t="s">
        <v>22</v>
      </c>
      <c r="F62" s="75" t="s">
        <v>27</v>
      </c>
      <c r="G62" s="75" t="s">
        <v>31</v>
      </c>
      <c r="H62" s="76">
        <v>44982.0</v>
      </c>
      <c r="I62" s="75">
        <v>68.0</v>
      </c>
      <c r="J62" s="77">
        <v>496.11</v>
      </c>
      <c r="K62" s="77">
        <v>241.82</v>
      </c>
      <c r="L62" s="77">
        <v>33735.48</v>
      </c>
      <c r="M62" s="77">
        <v>16443.76</v>
      </c>
      <c r="N62" s="77">
        <v>17291.720000000005</v>
      </c>
      <c r="O62" s="78">
        <v>0.5125677773074521</v>
      </c>
    </row>
    <row r="63" ht="15.75" customHeight="1">
      <c r="B63" s="75" t="s">
        <v>89</v>
      </c>
      <c r="C63" s="75" t="s">
        <v>20</v>
      </c>
      <c r="D63" s="75" t="s">
        <v>15</v>
      </c>
      <c r="E63" s="75" t="s">
        <v>22</v>
      </c>
      <c r="F63" s="75" t="s">
        <v>17</v>
      </c>
      <c r="G63" s="75" t="s">
        <v>18</v>
      </c>
      <c r="H63" s="76">
        <v>44983.0</v>
      </c>
      <c r="I63" s="75">
        <v>313.0</v>
      </c>
      <c r="J63" s="77">
        <v>145.51</v>
      </c>
      <c r="K63" s="77">
        <v>147.19</v>
      </c>
      <c r="L63" s="77">
        <v>45544.63</v>
      </c>
      <c r="M63" s="77">
        <v>46070.47</v>
      </c>
      <c r="N63" s="77">
        <v>-525.8400000000038</v>
      </c>
      <c r="O63" s="78">
        <v>-0.011545598240670828</v>
      </c>
    </row>
    <row r="64" ht="15.75" customHeight="1">
      <c r="B64" s="75" t="s">
        <v>90</v>
      </c>
      <c r="C64" s="75" t="s">
        <v>25</v>
      </c>
      <c r="D64" s="75" t="s">
        <v>34</v>
      </c>
      <c r="E64" s="75" t="s">
        <v>30</v>
      </c>
      <c r="F64" s="75" t="s">
        <v>17</v>
      </c>
      <c r="G64" s="75" t="s">
        <v>31</v>
      </c>
      <c r="H64" s="76">
        <v>44984.0</v>
      </c>
      <c r="I64" s="75">
        <v>178.0</v>
      </c>
      <c r="J64" s="77">
        <v>182.78</v>
      </c>
      <c r="K64" s="77">
        <v>155.81</v>
      </c>
      <c r="L64" s="77">
        <v>32534.84</v>
      </c>
      <c r="M64" s="77">
        <v>27734.18</v>
      </c>
      <c r="N64" s="77">
        <v>4800.66</v>
      </c>
      <c r="O64" s="78">
        <v>0.14755443702812124</v>
      </c>
    </row>
    <row r="65" ht="15.75" customHeight="1">
      <c r="B65" s="75" t="s">
        <v>91</v>
      </c>
      <c r="C65" s="75" t="s">
        <v>14</v>
      </c>
      <c r="D65" s="75" t="s">
        <v>34</v>
      </c>
      <c r="E65" s="75" t="s">
        <v>30</v>
      </c>
      <c r="F65" s="75" t="s">
        <v>17</v>
      </c>
      <c r="G65" s="75" t="s">
        <v>18</v>
      </c>
      <c r="H65" s="76">
        <v>44985.0</v>
      </c>
      <c r="I65" s="75">
        <v>278.0</v>
      </c>
      <c r="J65" s="77">
        <v>195.0</v>
      </c>
      <c r="K65" s="77">
        <v>226.65</v>
      </c>
      <c r="L65" s="77">
        <v>54210.0</v>
      </c>
      <c r="M65" s="77">
        <v>63008.700000000004</v>
      </c>
      <c r="N65" s="77">
        <v>-8798.700000000004</v>
      </c>
      <c r="O65" s="78">
        <v>-0.16230769230769237</v>
      </c>
    </row>
    <row r="66" ht="15.75" customHeight="1">
      <c r="B66" s="75" t="s">
        <v>92</v>
      </c>
      <c r="C66" s="75" t="s">
        <v>25</v>
      </c>
      <c r="D66" s="75" t="s">
        <v>54</v>
      </c>
      <c r="E66" s="75" t="s">
        <v>22</v>
      </c>
      <c r="F66" s="75" t="s">
        <v>17</v>
      </c>
      <c r="G66" s="75" t="s">
        <v>31</v>
      </c>
      <c r="H66" s="76">
        <v>44986.0</v>
      </c>
      <c r="I66" s="75">
        <v>372.0</v>
      </c>
      <c r="J66" s="77">
        <v>235.58</v>
      </c>
      <c r="K66" s="77">
        <v>78.33</v>
      </c>
      <c r="L66" s="77">
        <v>87635.76000000001</v>
      </c>
      <c r="M66" s="77">
        <v>29138.76</v>
      </c>
      <c r="N66" s="77">
        <v>58497.000000000015</v>
      </c>
      <c r="O66" s="78">
        <v>0.6675014856948808</v>
      </c>
    </row>
    <row r="67" ht="15.75" customHeight="1">
      <c r="B67" s="75" t="s">
        <v>93</v>
      </c>
      <c r="C67" s="75" t="s">
        <v>14</v>
      </c>
      <c r="D67" s="75" t="s">
        <v>34</v>
      </c>
      <c r="E67" s="75" t="s">
        <v>30</v>
      </c>
      <c r="F67" s="75" t="s">
        <v>27</v>
      </c>
      <c r="G67" s="75" t="s">
        <v>31</v>
      </c>
      <c r="H67" s="76">
        <v>44987.0</v>
      </c>
      <c r="I67" s="75">
        <v>54.0</v>
      </c>
      <c r="J67" s="77">
        <v>418.82</v>
      </c>
      <c r="K67" s="77">
        <v>86.28</v>
      </c>
      <c r="L67" s="77">
        <v>22616.28</v>
      </c>
      <c r="M67" s="77">
        <v>4659.12</v>
      </c>
      <c r="N67" s="77">
        <v>17957.16</v>
      </c>
      <c r="O67" s="78">
        <v>0.793992646005444</v>
      </c>
    </row>
    <row r="68" ht="15.75" customHeight="1">
      <c r="B68" s="75" t="s">
        <v>94</v>
      </c>
      <c r="C68" s="75" t="s">
        <v>14</v>
      </c>
      <c r="D68" s="75" t="s">
        <v>34</v>
      </c>
      <c r="E68" s="75" t="s">
        <v>22</v>
      </c>
      <c r="F68" s="75" t="s">
        <v>27</v>
      </c>
      <c r="G68" s="75" t="s">
        <v>18</v>
      </c>
      <c r="H68" s="76">
        <v>44988.0</v>
      </c>
      <c r="I68" s="75">
        <v>354.0</v>
      </c>
      <c r="J68" s="77">
        <v>121.72</v>
      </c>
      <c r="K68" s="77">
        <v>194.87</v>
      </c>
      <c r="L68" s="77">
        <v>43088.88</v>
      </c>
      <c r="M68" s="77">
        <v>68983.98</v>
      </c>
      <c r="N68" s="77">
        <v>-25895.1</v>
      </c>
      <c r="O68" s="78">
        <v>-0.6009694380545514</v>
      </c>
    </row>
    <row r="69" ht="15.75" customHeight="1">
      <c r="B69" s="75" t="s">
        <v>95</v>
      </c>
      <c r="C69" s="75" t="s">
        <v>25</v>
      </c>
      <c r="D69" s="75" t="s">
        <v>34</v>
      </c>
      <c r="E69" s="75" t="s">
        <v>22</v>
      </c>
      <c r="F69" s="75" t="s">
        <v>17</v>
      </c>
      <c r="G69" s="75" t="s">
        <v>18</v>
      </c>
      <c r="H69" s="76">
        <v>44989.0</v>
      </c>
      <c r="I69" s="75">
        <v>190.0</v>
      </c>
      <c r="J69" s="77">
        <v>389.12</v>
      </c>
      <c r="K69" s="77">
        <v>302.19</v>
      </c>
      <c r="L69" s="77">
        <v>73932.8</v>
      </c>
      <c r="M69" s="77">
        <v>57416.1</v>
      </c>
      <c r="N69" s="77">
        <v>16516.700000000004</v>
      </c>
      <c r="O69" s="78">
        <v>0.223401521381579</v>
      </c>
    </row>
    <row r="70" ht="15.75" customHeight="1">
      <c r="B70" s="75" t="s">
        <v>96</v>
      </c>
      <c r="C70" s="75" t="s">
        <v>39</v>
      </c>
      <c r="D70" s="75" t="s">
        <v>29</v>
      </c>
      <c r="E70" s="75" t="s">
        <v>16</v>
      </c>
      <c r="F70" s="75" t="s">
        <v>17</v>
      </c>
      <c r="G70" s="75" t="s">
        <v>18</v>
      </c>
      <c r="H70" s="76">
        <v>44990.0</v>
      </c>
      <c r="I70" s="75">
        <v>179.0</v>
      </c>
      <c r="J70" s="77">
        <v>205.63</v>
      </c>
      <c r="K70" s="77">
        <v>248.56</v>
      </c>
      <c r="L70" s="77">
        <v>36807.77</v>
      </c>
      <c r="M70" s="77">
        <v>44492.24</v>
      </c>
      <c r="N70" s="77">
        <v>-7684.470000000001</v>
      </c>
      <c r="O70" s="78">
        <v>-0.20877303895346014</v>
      </c>
    </row>
    <row r="71" ht="15.75" customHeight="1">
      <c r="B71" s="75" t="s">
        <v>97</v>
      </c>
      <c r="C71" s="75" t="s">
        <v>14</v>
      </c>
      <c r="D71" s="75" t="s">
        <v>54</v>
      </c>
      <c r="E71" s="75" t="s">
        <v>46</v>
      </c>
      <c r="F71" s="75" t="s">
        <v>27</v>
      </c>
      <c r="G71" s="75" t="s">
        <v>31</v>
      </c>
      <c r="H71" s="76">
        <v>44991.0</v>
      </c>
      <c r="I71" s="75">
        <v>365.0</v>
      </c>
      <c r="J71" s="77">
        <v>302.92</v>
      </c>
      <c r="K71" s="77">
        <v>120.35</v>
      </c>
      <c r="L71" s="77">
        <v>110565.8</v>
      </c>
      <c r="M71" s="77">
        <v>43927.75</v>
      </c>
      <c r="N71" s="77">
        <v>66638.05</v>
      </c>
      <c r="O71" s="78">
        <v>0.60270038293939</v>
      </c>
    </row>
    <row r="72" ht="15.75" customHeight="1">
      <c r="B72" s="75" t="s">
        <v>98</v>
      </c>
      <c r="C72" s="75" t="s">
        <v>52</v>
      </c>
      <c r="D72" s="75" t="s">
        <v>21</v>
      </c>
      <c r="E72" s="75" t="s">
        <v>22</v>
      </c>
      <c r="F72" s="75" t="s">
        <v>17</v>
      </c>
      <c r="G72" s="75" t="s">
        <v>31</v>
      </c>
      <c r="H72" s="76">
        <v>44992.0</v>
      </c>
      <c r="I72" s="75">
        <v>200.0</v>
      </c>
      <c r="J72" s="77">
        <v>318.11</v>
      </c>
      <c r="K72" s="77">
        <v>173.27</v>
      </c>
      <c r="L72" s="77">
        <v>63622.0</v>
      </c>
      <c r="M72" s="77">
        <v>34654.0</v>
      </c>
      <c r="N72" s="77">
        <v>28968.0</v>
      </c>
      <c r="O72" s="78">
        <v>0.4553141994907422</v>
      </c>
    </row>
    <row r="73" ht="15.75" customHeight="1">
      <c r="B73" s="75" t="s">
        <v>99</v>
      </c>
      <c r="C73" s="75" t="s">
        <v>20</v>
      </c>
      <c r="D73" s="75" t="s">
        <v>15</v>
      </c>
      <c r="E73" s="75" t="s">
        <v>26</v>
      </c>
      <c r="F73" s="75" t="s">
        <v>27</v>
      </c>
      <c r="G73" s="75" t="s">
        <v>23</v>
      </c>
      <c r="H73" s="76">
        <v>44993.0</v>
      </c>
      <c r="I73" s="75">
        <v>164.0</v>
      </c>
      <c r="J73" s="77">
        <v>189.56</v>
      </c>
      <c r="K73" s="77">
        <v>69.92</v>
      </c>
      <c r="L73" s="77">
        <v>31087.84</v>
      </c>
      <c r="M73" s="77">
        <v>11466.880000000001</v>
      </c>
      <c r="N73" s="77">
        <v>19620.96</v>
      </c>
      <c r="O73" s="78">
        <v>0.6311458113526061</v>
      </c>
    </row>
    <row r="74" ht="15.75" customHeight="1">
      <c r="B74" s="75" t="s">
        <v>100</v>
      </c>
      <c r="C74" s="75" t="s">
        <v>25</v>
      </c>
      <c r="D74" s="75" t="s">
        <v>21</v>
      </c>
      <c r="E74" s="75" t="s">
        <v>46</v>
      </c>
      <c r="F74" s="75" t="s">
        <v>17</v>
      </c>
      <c r="G74" s="75" t="s">
        <v>18</v>
      </c>
      <c r="H74" s="76">
        <v>44994.0</v>
      </c>
      <c r="I74" s="75">
        <v>431.0</v>
      </c>
      <c r="J74" s="77">
        <v>258.74</v>
      </c>
      <c r="K74" s="77">
        <v>31.7</v>
      </c>
      <c r="L74" s="77">
        <v>111516.94</v>
      </c>
      <c r="M74" s="77">
        <v>13662.699999999999</v>
      </c>
      <c r="N74" s="77">
        <v>97854.24</v>
      </c>
      <c r="O74" s="78">
        <v>0.8774831877560486</v>
      </c>
    </row>
    <row r="75" ht="15.75" customHeight="1">
      <c r="B75" s="75" t="s">
        <v>101</v>
      </c>
      <c r="C75" s="75" t="s">
        <v>20</v>
      </c>
      <c r="D75" s="75" t="s">
        <v>54</v>
      </c>
      <c r="E75" s="75" t="s">
        <v>46</v>
      </c>
      <c r="F75" s="75" t="s">
        <v>17</v>
      </c>
      <c r="G75" s="75" t="s">
        <v>31</v>
      </c>
      <c r="H75" s="76">
        <v>44995.0</v>
      </c>
      <c r="I75" s="75">
        <v>197.0</v>
      </c>
      <c r="J75" s="77">
        <v>209.45</v>
      </c>
      <c r="K75" s="77">
        <v>313.51</v>
      </c>
      <c r="L75" s="77">
        <v>41261.649999999994</v>
      </c>
      <c r="M75" s="77">
        <v>61761.47</v>
      </c>
      <c r="N75" s="77">
        <v>-20499.820000000007</v>
      </c>
      <c r="O75" s="78">
        <v>-0.4968250179040346</v>
      </c>
    </row>
    <row r="76" ht="15.75" customHeight="1">
      <c r="B76" s="75" t="s">
        <v>102</v>
      </c>
      <c r="C76" s="75" t="s">
        <v>52</v>
      </c>
      <c r="D76" s="75" t="s">
        <v>15</v>
      </c>
      <c r="E76" s="75" t="s">
        <v>46</v>
      </c>
      <c r="F76" s="75" t="s">
        <v>17</v>
      </c>
      <c r="G76" s="75" t="s">
        <v>31</v>
      </c>
      <c r="H76" s="76">
        <v>44996.0</v>
      </c>
      <c r="I76" s="75">
        <v>16.0</v>
      </c>
      <c r="J76" s="77">
        <v>39.22</v>
      </c>
      <c r="K76" s="77">
        <v>107.62</v>
      </c>
      <c r="L76" s="77">
        <v>627.52</v>
      </c>
      <c r="M76" s="77">
        <v>1721.92</v>
      </c>
      <c r="N76" s="77">
        <v>-1094.4</v>
      </c>
      <c r="O76" s="78">
        <v>-1.744008159102499</v>
      </c>
    </row>
    <row r="77" ht="15.75" customHeight="1">
      <c r="B77" s="75" t="s">
        <v>103</v>
      </c>
      <c r="C77" s="75" t="s">
        <v>52</v>
      </c>
      <c r="D77" s="75" t="s">
        <v>54</v>
      </c>
      <c r="E77" s="75" t="s">
        <v>16</v>
      </c>
      <c r="F77" s="75" t="s">
        <v>17</v>
      </c>
      <c r="G77" s="75" t="s">
        <v>18</v>
      </c>
      <c r="H77" s="76">
        <v>44997.0</v>
      </c>
      <c r="I77" s="75">
        <v>142.0</v>
      </c>
      <c r="J77" s="77">
        <v>221.4</v>
      </c>
      <c r="K77" s="77">
        <v>72.75</v>
      </c>
      <c r="L77" s="77">
        <v>31438.8</v>
      </c>
      <c r="M77" s="77">
        <v>10330.5</v>
      </c>
      <c r="N77" s="77">
        <v>21108.3</v>
      </c>
      <c r="O77" s="78">
        <v>0.6714092140921409</v>
      </c>
    </row>
    <row r="78" ht="15.75" customHeight="1">
      <c r="B78" s="75" t="s">
        <v>104</v>
      </c>
      <c r="C78" s="75" t="s">
        <v>52</v>
      </c>
      <c r="D78" s="75" t="s">
        <v>34</v>
      </c>
      <c r="E78" s="75" t="s">
        <v>22</v>
      </c>
      <c r="F78" s="75" t="s">
        <v>17</v>
      </c>
      <c r="G78" s="75" t="s">
        <v>23</v>
      </c>
      <c r="H78" s="76">
        <v>44998.0</v>
      </c>
      <c r="I78" s="75">
        <v>244.0</v>
      </c>
      <c r="J78" s="77">
        <v>53.21</v>
      </c>
      <c r="K78" s="77">
        <v>277.26</v>
      </c>
      <c r="L78" s="77">
        <v>12983.24</v>
      </c>
      <c r="M78" s="77">
        <v>67651.44</v>
      </c>
      <c r="N78" s="77">
        <v>-54668.200000000004</v>
      </c>
      <c r="O78" s="78">
        <v>-4.210674685209548</v>
      </c>
    </row>
    <row r="79" ht="15.75" customHeight="1">
      <c r="B79" s="75" t="s">
        <v>105</v>
      </c>
      <c r="C79" s="75" t="s">
        <v>25</v>
      </c>
      <c r="D79" s="75" t="s">
        <v>15</v>
      </c>
      <c r="E79" s="75" t="s">
        <v>16</v>
      </c>
      <c r="F79" s="75" t="s">
        <v>17</v>
      </c>
      <c r="G79" s="75" t="s">
        <v>18</v>
      </c>
      <c r="H79" s="76">
        <v>44999.0</v>
      </c>
      <c r="I79" s="75">
        <v>54.0</v>
      </c>
      <c r="J79" s="77">
        <v>205.49</v>
      </c>
      <c r="K79" s="77">
        <v>247.98</v>
      </c>
      <c r="L79" s="77">
        <v>11096.460000000001</v>
      </c>
      <c r="M79" s="77">
        <v>13390.92</v>
      </c>
      <c r="N79" s="77">
        <v>-2294.459999999999</v>
      </c>
      <c r="O79" s="78">
        <v>-0.20677405226531695</v>
      </c>
    </row>
    <row r="80" ht="15.75" customHeight="1">
      <c r="B80" s="75" t="s">
        <v>106</v>
      </c>
      <c r="C80" s="75" t="s">
        <v>52</v>
      </c>
      <c r="D80" s="75" t="s">
        <v>34</v>
      </c>
      <c r="E80" s="75" t="s">
        <v>22</v>
      </c>
      <c r="F80" s="75" t="s">
        <v>17</v>
      </c>
      <c r="G80" s="75" t="s">
        <v>23</v>
      </c>
      <c r="H80" s="76">
        <v>45000.0</v>
      </c>
      <c r="I80" s="75">
        <v>323.0</v>
      </c>
      <c r="J80" s="77">
        <v>298.49</v>
      </c>
      <c r="K80" s="77">
        <v>254.01</v>
      </c>
      <c r="L80" s="77">
        <v>96412.27</v>
      </c>
      <c r="M80" s="77">
        <v>82045.23</v>
      </c>
      <c r="N80" s="77">
        <v>14367.040000000008</v>
      </c>
      <c r="O80" s="78">
        <v>0.14901671747797254</v>
      </c>
    </row>
    <row r="81" ht="15.75" customHeight="1">
      <c r="B81" s="75" t="s">
        <v>107</v>
      </c>
      <c r="C81" s="75" t="s">
        <v>25</v>
      </c>
      <c r="D81" s="75" t="s">
        <v>21</v>
      </c>
      <c r="E81" s="75" t="s">
        <v>16</v>
      </c>
      <c r="F81" s="75" t="s">
        <v>27</v>
      </c>
      <c r="G81" s="75" t="s">
        <v>31</v>
      </c>
      <c r="H81" s="76">
        <v>45001.0</v>
      </c>
      <c r="I81" s="75">
        <v>258.0</v>
      </c>
      <c r="J81" s="77">
        <v>291.81</v>
      </c>
      <c r="K81" s="77">
        <v>93.1</v>
      </c>
      <c r="L81" s="77">
        <v>75286.98</v>
      </c>
      <c r="M81" s="77">
        <v>24019.8</v>
      </c>
      <c r="N81" s="77">
        <v>51267.17999999999</v>
      </c>
      <c r="O81" s="78">
        <v>0.6809567869504128</v>
      </c>
    </row>
    <row r="82" ht="15.75" customHeight="1">
      <c r="B82" s="75" t="s">
        <v>108</v>
      </c>
      <c r="C82" s="75" t="s">
        <v>52</v>
      </c>
      <c r="D82" s="75" t="s">
        <v>21</v>
      </c>
      <c r="E82" s="75" t="s">
        <v>16</v>
      </c>
      <c r="F82" s="75" t="s">
        <v>27</v>
      </c>
      <c r="G82" s="75" t="s">
        <v>23</v>
      </c>
      <c r="H82" s="76">
        <v>45002.0</v>
      </c>
      <c r="I82" s="75">
        <v>40.0</v>
      </c>
      <c r="J82" s="77">
        <v>333.0</v>
      </c>
      <c r="K82" s="77">
        <v>94.59</v>
      </c>
      <c r="L82" s="77">
        <v>13320.0</v>
      </c>
      <c r="M82" s="77">
        <v>3783.6000000000004</v>
      </c>
      <c r="N82" s="77">
        <v>9536.4</v>
      </c>
      <c r="O82" s="78">
        <v>0.715945945945946</v>
      </c>
    </row>
    <row r="83" ht="15.75" customHeight="1">
      <c r="B83" s="75" t="s">
        <v>109</v>
      </c>
      <c r="C83" s="75" t="s">
        <v>20</v>
      </c>
      <c r="D83" s="75" t="s">
        <v>15</v>
      </c>
      <c r="E83" s="75" t="s">
        <v>26</v>
      </c>
      <c r="F83" s="75" t="s">
        <v>27</v>
      </c>
      <c r="G83" s="75" t="s">
        <v>31</v>
      </c>
      <c r="H83" s="76">
        <v>45003.0</v>
      </c>
      <c r="I83" s="75">
        <v>32.0</v>
      </c>
      <c r="J83" s="77">
        <v>52.15</v>
      </c>
      <c r="K83" s="77">
        <v>89.88</v>
      </c>
      <c r="L83" s="77">
        <v>1668.8</v>
      </c>
      <c r="M83" s="77">
        <v>2876.16</v>
      </c>
      <c r="N83" s="77">
        <v>-1207.36</v>
      </c>
      <c r="O83" s="78">
        <v>-0.723489932885906</v>
      </c>
    </row>
    <row r="84" ht="15.75" customHeight="1">
      <c r="B84" s="75" t="s">
        <v>110</v>
      </c>
      <c r="C84" s="75" t="s">
        <v>20</v>
      </c>
      <c r="D84" s="75" t="s">
        <v>15</v>
      </c>
      <c r="E84" s="75" t="s">
        <v>16</v>
      </c>
      <c r="F84" s="75" t="s">
        <v>27</v>
      </c>
      <c r="G84" s="75" t="s">
        <v>18</v>
      </c>
      <c r="H84" s="76">
        <v>45004.0</v>
      </c>
      <c r="I84" s="75">
        <v>435.0</v>
      </c>
      <c r="J84" s="77">
        <v>327.8</v>
      </c>
      <c r="K84" s="77">
        <v>71.15</v>
      </c>
      <c r="L84" s="77">
        <v>142593.0</v>
      </c>
      <c r="M84" s="77">
        <v>30950.250000000004</v>
      </c>
      <c r="N84" s="77">
        <v>111642.75</v>
      </c>
      <c r="O84" s="78">
        <v>0.7829469188529591</v>
      </c>
    </row>
    <row r="85" ht="15.75" customHeight="1">
      <c r="B85" s="75" t="s">
        <v>111</v>
      </c>
      <c r="C85" s="75" t="s">
        <v>14</v>
      </c>
      <c r="D85" s="75" t="s">
        <v>54</v>
      </c>
      <c r="E85" s="75" t="s">
        <v>30</v>
      </c>
      <c r="F85" s="75" t="s">
        <v>27</v>
      </c>
      <c r="G85" s="75" t="s">
        <v>18</v>
      </c>
      <c r="H85" s="76">
        <v>45005.0</v>
      </c>
      <c r="I85" s="75">
        <v>403.0</v>
      </c>
      <c r="J85" s="77">
        <v>159.51</v>
      </c>
      <c r="K85" s="77">
        <v>262.98</v>
      </c>
      <c r="L85" s="77">
        <v>64282.53</v>
      </c>
      <c r="M85" s="77">
        <v>105980.94</v>
      </c>
      <c r="N85" s="77">
        <v>-41698.41</v>
      </c>
      <c r="O85" s="78">
        <v>-0.6486740643219862</v>
      </c>
    </row>
    <row r="86" ht="15.75" customHeight="1">
      <c r="B86" s="75" t="s">
        <v>112</v>
      </c>
      <c r="C86" s="75" t="s">
        <v>20</v>
      </c>
      <c r="D86" s="75" t="s">
        <v>54</v>
      </c>
      <c r="E86" s="75" t="s">
        <v>26</v>
      </c>
      <c r="F86" s="75" t="s">
        <v>17</v>
      </c>
      <c r="G86" s="75" t="s">
        <v>18</v>
      </c>
      <c r="H86" s="76">
        <v>45006.0</v>
      </c>
      <c r="I86" s="75">
        <v>169.0</v>
      </c>
      <c r="J86" s="77">
        <v>249.64520588235297</v>
      </c>
      <c r="K86" s="77">
        <v>339.51</v>
      </c>
      <c r="L86" s="77">
        <v>42190.03979411765</v>
      </c>
      <c r="M86" s="77">
        <v>57377.189999999995</v>
      </c>
      <c r="N86" s="77">
        <v>-15187.150205882346</v>
      </c>
      <c r="O86" s="78">
        <v>-0.35997003747789347</v>
      </c>
    </row>
    <row r="87" ht="15.75" customHeight="1">
      <c r="B87" s="75" t="s">
        <v>113</v>
      </c>
      <c r="C87" s="75" t="s">
        <v>14</v>
      </c>
      <c r="D87" s="75" t="s">
        <v>34</v>
      </c>
      <c r="E87" s="75" t="s">
        <v>16</v>
      </c>
      <c r="F87" s="75" t="s">
        <v>17</v>
      </c>
      <c r="G87" s="75" t="s">
        <v>23</v>
      </c>
      <c r="H87" s="76">
        <v>45007.0</v>
      </c>
      <c r="I87" s="75">
        <v>372.0</v>
      </c>
      <c r="J87" s="77">
        <v>429.7</v>
      </c>
      <c r="K87" s="77">
        <v>290.28</v>
      </c>
      <c r="L87" s="77">
        <v>159848.4</v>
      </c>
      <c r="M87" s="77">
        <v>107984.15999999999</v>
      </c>
      <c r="N87" s="77">
        <v>51864.240000000005</v>
      </c>
      <c r="O87" s="78">
        <v>0.3244589248312777</v>
      </c>
    </row>
    <row r="88" ht="15.75" customHeight="1">
      <c r="B88" s="75" t="s">
        <v>114</v>
      </c>
      <c r="C88" s="75" t="s">
        <v>20</v>
      </c>
      <c r="D88" s="75" t="s">
        <v>15</v>
      </c>
      <c r="E88" s="75" t="s">
        <v>46</v>
      </c>
      <c r="F88" s="75" t="s">
        <v>27</v>
      </c>
      <c r="G88" s="75" t="s">
        <v>31</v>
      </c>
      <c r="H88" s="76">
        <v>45008.0</v>
      </c>
      <c r="I88" s="75">
        <v>446.0</v>
      </c>
      <c r="J88" s="77">
        <v>9.47</v>
      </c>
      <c r="K88" s="77">
        <v>317.25</v>
      </c>
      <c r="L88" s="77">
        <v>4223.62</v>
      </c>
      <c r="M88" s="77">
        <v>141493.5</v>
      </c>
      <c r="N88" s="77">
        <v>-137269.88</v>
      </c>
      <c r="O88" s="78">
        <v>-32.50052798310454</v>
      </c>
    </row>
    <row r="89" ht="15.75" customHeight="1">
      <c r="B89" s="75" t="s">
        <v>115</v>
      </c>
      <c r="C89" s="75" t="s">
        <v>25</v>
      </c>
      <c r="D89" s="75" t="s">
        <v>21</v>
      </c>
      <c r="E89" s="75" t="s">
        <v>30</v>
      </c>
      <c r="F89" s="75" t="s">
        <v>17</v>
      </c>
      <c r="G89" s="75" t="s">
        <v>18</v>
      </c>
      <c r="H89" s="76">
        <v>45009.0</v>
      </c>
      <c r="I89" s="75">
        <v>167.0</v>
      </c>
      <c r="J89" s="77">
        <v>296.26</v>
      </c>
      <c r="K89" s="77">
        <v>163.11</v>
      </c>
      <c r="L89" s="77">
        <v>49475.42</v>
      </c>
      <c r="M89" s="77">
        <v>27239.370000000003</v>
      </c>
      <c r="N89" s="77">
        <v>22236.049999999996</v>
      </c>
      <c r="O89" s="78">
        <v>0.4494363059474785</v>
      </c>
    </row>
    <row r="90" ht="15.75" customHeight="1">
      <c r="B90" s="75" t="s">
        <v>116</v>
      </c>
      <c r="C90" s="75" t="s">
        <v>20</v>
      </c>
      <c r="D90" s="75" t="s">
        <v>54</v>
      </c>
      <c r="E90" s="75" t="s">
        <v>30</v>
      </c>
      <c r="F90" s="75" t="s">
        <v>27</v>
      </c>
      <c r="G90" s="75" t="s">
        <v>18</v>
      </c>
      <c r="H90" s="76">
        <v>45010.0</v>
      </c>
      <c r="I90" s="75">
        <v>48.0</v>
      </c>
      <c r="J90" s="77">
        <v>301.36</v>
      </c>
      <c r="K90" s="77">
        <v>262.32</v>
      </c>
      <c r="L90" s="77">
        <v>14465.28</v>
      </c>
      <c r="M90" s="77">
        <v>12591.36</v>
      </c>
      <c r="N90" s="77">
        <v>1873.92</v>
      </c>
      <c r="O90" s="78">
        <v>0.12954605787098486</v>
      </c>
    </row>
    <row r="91" ht="15.75" customHeight="1">
      <c r="B91" s="75" t="s">
        <v>117</v>
      </c>
      <c r="C91" s="75" t="s">
        <v>14</v>
      </c>
      <c r="D91" s="75" t="s">
        <v>54</v>
      </c>
      <c r="E91" s="75" t="s">
        <v>30</v>
      </c>
      <c r="F91" s="75" t="s">
        <v>27</v>
      </c>
      <c r="G91" s="75" t="s">
        <v>31</v>
      </c>
      <c r="H91" s="76">
        <v>45011.0</v>
      </c>
      <c r="I91" s="75">
        <v>424.0</v>
      </c>
      <c r="J91" s="77">
        <v>201.35</v>
      </c>
      <c r="K91" s="77">
        <v>142.99</v>
      </c>
      <c r="L91" s="77">
        <v>85372.4</v>
      </c>
      <c r="M91" s="77">
        <v>60627.76</v>
      </c>
      <c r="N91" s="77">
        <v>24744.639999999992</v>
      </c>
      <c r="O91" s="78">
        <v>0.28984355599702005</v>
      </c>
    </row>
    <row r="92" ht="15.75" customHeight="1">
      <c r="B92" s="75" t="s">
        <v>118</v>
      </c>
      <c r="C92" s="75" t="s">
        <v>14</v>
      </c>
      <c r="D92" s="75" t="s">
        <v>21</v>
      </c>
      <c r="E92" s="75" t="s">
        <v>26</v>
      </c>
      <c r="F92" s="75" t="s">
        <v>17</v>
      </c>
      <c r="G92" s="75" t="s">
        <v>18</v>
      </c>
      <c r="H92" s="76">
        <v>45012.0</v>
      </c>
      <c r="I92" s="75">
        <v>91.0</v>
      </c>
      <c r="J92" s="77">
        <v>122.33</v>
      </c>
      <c r="K92" s="77">
        <v>211.15</v>
      </c>
      <c r="L92" s="77">
        <v>11132.03</v>
      </c>
      <c r="M92" s="77">
        <v>19214.65</v>
      </c>
      <c r="N92" s="77">
        <v>-8082.620000000001</v>
      </c>
      <c r="O92" s="78">
        <v>-0.7260688302133573</v>
      </c>
    </row>
    <row r="93" ht="15.75" customHeight="1">
      <c r="B93" s="75" t="s">
        <v>119</v>
      </c>
      <c r="C93" s="75" t="s">
        <v>52</v>
      </c>
      <c r="D93" s="75" t="s">
        <v>54</v>
      </c>
      <c r="E93" s="75" t="s">
        <v>16</v>
      </c>
      <c r="F93" s="75" t="s">
        <v>17</v>
      </c>
      <c r="G93" s="75" t="s">
        <v>31</v>
      </c>
      <c r="H93" s="76">
        <v>45013.0</v>
      </c>
      <c r="I93" s="75">
        <v>365.0</v>
      </c>
      <c r="J93" s="77">
        <v>121.16</v>
      </c>
      <c r="K93" s="77">
        <v>193.69</v>
      </c>
      <c r="L93" s="77">
        <v>44223.4</v>
      </c>
      <c r="M93" s="77">
        <v>70696.85</v>
      </c>
      <c r="N93" s="77">
        <v>-26473.450000000004</v>
      </c>
      <c r="O93" s="78">
        <v>-0.5986299108616706</v>
      </c>
    </row>
    <row r="94" ht="15.75" customHeight="1">
      <c r="B94" s="75" t="s">
        <v>120</v>
      </c>
      <c r="C94" s="75" t="s">
        <v>25</v>
      </c>
      <c r="D94" s="75" t="s">
        <v>34</v>
      </c>
      <c r="E94" s="75" t="s">
        <v>16</v>
      </c>
      <c r="F94" s="75" t="s">
        <v>17</v>
      </c>
      <c r="G94" s="75" t="s">
        <v>31</v>
      </c>
      <c r="H94" s="76">
        <v>45014.0</v>
      </c>
      <c r="I94" s="75">
        <v>267.0</v>
      </c>
      <c r="J94" s="77">
        <v>442.44</v>
      </c>
      <c r="K94" s="77">
        <v>72.4</v>
      </c>
      <c r="L94" s="77">
        <v>118131.48</v>
      </c>
      <c r="M94" s="77">
        <v>19330.800000000003</v>
      </c>
      <c r="N94" s="77">
        <v>98800.68</v>
      </c>
      <c r="O94" s="78">
        <v>0.8363619925865654</v>
      </c>
    </row>
    <row r="95" ht="15.75" customHeight="1">
      <c r="B95" s="75" t="s">
        <v>121</v>
      </c>
      <c r="C95" s="75" t="s">
        <v>20</v>
      </c>
      <c r="D95" s="75" t="s">
        <v>15</v>
      </c>
      <c r="E95" s="75" t="s">
        <v>46</v>
      </c>
      <c r="F95" s="75" t="s">
        <v>27</v>
      </c>
      <c r="G95" s="75" t="s">
        <v>31</v>
      </c>
      <c r="H95" s="76">
        <v>45015.0</v>
      </c>
      <c r="I95" s="75">
        <v>215.0</v>
      </c>
      <c r="J95" s="77">
        <v>223.8</v>
      </c>
      <c r="K95" s="77">
        <v>156.06</v>
      </c>
      <c r="L95" s="77">
        <v>48117.0</v>
      </c>
      <c r="M95" s="77">
        <v>33552.9</v>
      </c>
      <c r="N95" s="77">
        <v>14564.099999999999</v>
      </c>
      <c r="O95" s="78">
        <v>0.3026809651474531</v>
      </c>
    </row>
    <row r="96" ht="15.75" customHeight="1">
      <c r="B96" s="75" t="s">
        <v>122</v>
      </c>
      <c r="C96" s="75" t="s">
        <v>52</v>
      </c>
      <c r="D96" s="75" t="s">
        <v>21</v>
      </c>
      <c r="E96" s="75" t="s">
        <v>46</v>
      </c>
      <c r="F96" s="75" t="s">
        <v>17</v>
      </c>
      <c r="G96" s="75" t="s">
        <v>31</v>
      </c>
      <c r="H96" s="76">
        <v>45016.0</v>
      </c>
      <c r="I96" s="75">
        <v>86.0</v>
      </c>
      <c r="J96" s="77">
        <v>168.79</v>
      </c>
      <c r="K96" s="77">
        <v>385.6</v>
      </c>
      <c r="L96" s="77">
        <v>14515.939999999999</v>
      </c>
      <c r="M96" s="77">
        <v>33161.6</v>
      </c>
      <c r="N96" s="77">
        <v>-18645.66</v>
      </c>
      <c r="O96" s="78">
        <v>-1.284495526986196</v>
      </c>
    </row>
    <row r="97" ht="15.75" customHeight="1">
      <c r="B97" s="75" t="s">
        <v>123</v>
      </c>
      <c r="C97" s="75" t="s">
        <v>20</v>
      </c>
      <c r="D97" s="75" t="s">
        <v>15</v>
      </c>
      <c r="E97" s="75" t="s">
        <v>30</v>
      </c>
      <c r="F97" s="75" t="s">
        <v>27</v>
      </c>
      <c r="G97" s="75" t="s">
        <v>31</v>
      </c>
      <c r="H97" s="76">
        <v>45017.0</v>
      </c>
      <c r="I97" s="75">
        <v>486.0</v>
      </c>
      <c r="J97" s="77">
        <v>227.14</v>
      </c>
      <c r="K97" s="77">
        <v>100.93</v>
      </c>
      <c r="L97" s="77">
        <v>110390.04</v>
      </c>
      <c r="M97" s="77">
        <v>49051.98</v>
      </c>
      <c r="N97" s="77">
        <v>61338.05999999999</v>
      </c>
      <c r="O97" s="78">
        <v>0.5556484987232543</v>
      </c>
    </row>
    <row r="98" ht="15.75" customHeight="1">
      <c r="B98" s="75" t="s">
        <v>124</v>
      </c>
      <c r="C98" s="75" t="s">
        <v>20</v>
      </c>
      <c r="D98" s="75" t="s">
        <v>54</v>
      </c>
      <c r="E98" s="75" t="s">
        <v>46</v>
      </c>
      <c r="F98" s="75" t="s">
        <v>27</v>
      </c>
      <c r="G98" s="75" t="s">
        <v>23</v>
      </c>
      <c r="H98" s="76">
        <v>45018.0</v>
      </c>
      <c r="I98" s="75">
        <v>21.0</v>
      </c>
      <c r="J98" s="77">
        <v>249.64520588235297</v>
      </c>
      <c r="K98" s="77">
        <v>55.25</v>
      </c>
      <c r="L98" s="77">
        <v>5242.5493235294125</v>
      </c>
      <c r="M98" s="77">
        <v>1160.25</v>
      </c>
      <c r="N98" s="77">
        <v>4082.2993235294125</v>
      </c>
      <c r="O98" s="78">
        <v>0.778685916259746</v>
      </c>
    </row>
    <row r="99" ht="15.75" customHeight="1">
      <c r="B99" s="75" t="s">
        <v>125</v>
      </c>
      <c r="C99" s="75" t="s">
        <v>52</v>
      </c>
      <c r="D99" s="75" t="s">
        <v>54</v>
      </c>
      <c r="E99" s="75" t="s">
        <v>26</v>
      </c>
      <c r="F99" s="75" t="s">
        <v>27</v>
      </c>
      <c r="G99" s="75" t="s">
        <v>18</v>
      </c>
      <c r="H99" s="76">
        <v>45019.0</v>
      </c>
      <c r="I99" s="75">
        <v>304.0</v>
      </c>
      <c r="J99" s="77">
        <v>77.15</v>
      </c>
      <c r="K99" s="77">
        <v>168.6</v>
      </c>
      <c r="L99" s="77">
        <v>23453.600000000002</v>
      </c>
      <c r="M99" s="77">
        <v>51254.4</v>
      </c>
      <c r="N99" s="77">
        <v>-27800.8</v>
      </c>
      <c r="O99" s="78">
        <v>-1.1853532080362927</v>
      </c>
    </row>
    <row r="100" ht="15.75" customHeight="1">
      <c r="B100" s="75" t="s">
        <v>126</v>
      </c>
      <c r="C100" s="75" t="s">
        <v>52</v>
      </c>
      <c r="D100" s="75" t="s">
        <v>21</v>
      </c>
      <c r="E100" s="75" t="s">
        <v>16</v>
      </c>
      <c r="F100" s="75" t="s">
        <v>17</v>
      </c>
      <c r="G100" s="75" t="s">
        <v>23</v>
      </c>
      <c r="H100" s="76">
        <v>45020.0</v>
      </c>
      <c r="I100" s="75">
        <v>459.0</v>
      </c>
      <c r="J100" s="77">
        <v>227.47</v>
      </c>
      <c r="K100" s="77">
        <v>316.55</v>
      </c>
      <c r="L100" s="77">
        <v>104408.73</v>
      </c>
      <c r="M100" s="77">
        <v>145296.45</v>
      </c>
      <c r="N100" s="77">
        <v>-40887.720000000016</v>
      </c>
      <c r="O100" s="78">
        <v>-0.3916120807139405</v>
      </c>
    </row>
    <row r="101" ht="15.75" customHeight="1">
      <c r="B101" s="75" t="s">
        <v>127</v>
      </c>
      <c r="C101" s="75" t="s">
        <v>52</v>
      </c>
      <c r="D101" s="75" t="s">
        <v>34</v>
      </c>
      <c r="E101" s="75" t="s">
        <v>30</v>
      </c>
      <c r="F101" s="75" t="s">
        <v>17</v>
      </c>
      <c r="G101" s="75" t="s">
        <v>18</v>
      </c>
      <c r="H101" s="76">
        <v>45021.0</v>
      </c>
      <c r="I101" s="75">
        <v>233.0</v>
      </c>
      <c r="J101" s="77">
        <v>296.0</v>
      </c>
      <c r="K101" s="77">
        <v>233.69</v>
      </c>
      <c r="L101" s="77">
        <v>68968.0</v>
      </c>
      <c r="M101" s="77">
        <v>54449.77</v>
      </c>
      <c r="N101" s="77">
        <v>14518.230000000003</v>
      </c>
      <c r="O101" s="78">
        <v>0.2105067567567568</v>
      </c>
    </row>
    <row r="102" ht="15.75" customHeight="1">
      <c r="B102" s="75" t="s">
        <v>128</v>
      </c>
      <c r="C102" s="75" t="s">
        <v>52</v>
      </c>
      <c r="D102" s="75" t="s">
        <v>29</v>
      </c>
      <c r="E102" s="75" t="s">
        <v>46</v>
      </c>
      <c r="F102" s="75" t="s">
        <v>27</v>
      </c>
      <c r="G102" s="75" t="s">
        <v>23</v>
      </c>
      <c r="H102" s="76">
        <v>45022.0</v>
      </c>
      <c r="I102" s="75">
        <v>22.0</v>
      </c>
      <c r="J102" s="77">
        <v>474.55</v>
      </c>
      <c r="K102" s="77">
        <v>273.03</v>
      </c>
      <c r="L102" s="77">
        <v>10440.1</v>
      </c>
      <c r="M102" s="77">
        <v>6006.66</v>
      </c>
      <c r="N102" s="77">
        <v>4433.4400000000005</v>
      </c>
      <c r="O102" s="78">
        <v>0.4246549362553999</v>
      </c>
    </row>
    <row r="103" ht="15.75" customHeight="1">
      <c r="B103" s="75" t="s">
        <v>129</v>
      </c>
      <c r="C103" s="75" t="s">
        <v>52</v>
      </c>
      <c r="D103" s="75" t="s">
        <v>21</v>
      </c>
      <c r="E103" s="75" t="s">
        <v>26</v>
      </c>
      <c r="F103" s="75" t="s">
        <v>17</v>
      </c>
      <c r="G103" s="75" t="s">
        <v>31</v>
      </c>
      <c r="H103" s="76">
        <v>45023.0</v>
      </c>
      <c r="I103" s="75">
        <v>55.0</v>
      </c>
      <c r="J103" s="77">
        <v>130.0</v>
      </c>
      <c r="K103" s="77">
        <v>77.5</v>
      </c>
      <c r="L103" s="77">
        <v>7150.0</v>
      </c>
      <c r="M103" s="77">
        <v>4262.5</v>
      </c>
      <c r="N103" s="77">
        <v>2887.5</v>
      </c>
      <c r="O103" s="78">
        <v>0.40384615384615385</v>
      </c>
    </row>
    <row r="104" ht="15.75" customHeight="1">
      <c r="B104" s="75" t="s">
        <v>130</v>
      </c>
      <c r="C104" s="75" t="s">
        <v>20</v>
      </c>
      <c r="D104" s="75" t="s">
        <v>29</v>
      </c>
      <c r="E104" s="75" t="s">
        <v>26</v>
      </c>
      <c r="F104" s="75" t="s">
        <v>17</v>
      </c>
      <c r="G104" s="75" t="s">
        <v>18</v>
      </c>
      <c r="H104" s="76">
        <v>45024.0</v>
      </c>
      <c r="I104" s="75">
        <v>164.0</v>
      </c>
      <c r="J104" s="77">
        <v>182.83</v>
      </c>
      <c r="K104" s="77">
        <v>248.34</v>
      </c>
      <c r="L104" s="77">
        <v>29984.120000000003</v>
      </c>
      <c r="M104" s="77">
        <v>40727.76</v>
      </c>
      <c r="N104" s="77">
        <v>-10743.64</v>
      </c>
      <c r="O104" s="78">
        <v>-0.3583109992889569</v>
      </c>
    </row>
    <row r="105" ht="15.75" customHeight="1">
      <c r="B105" s="75" t="s">
        <v>131</v>
      </c>
      <c r="C105" s="75" t="s">
        <v>52</v>
      </c>
      <c r="D105" s="75" t="s">
        <v>29</v>
      </c>
      <c r="E105" s="75" t="s">
        <v>46</v>
      </c>
      <c r="F105" s="75" t="s">
        <v>17</v>
      </c>
      <c r="G105" s="75" t="s">
        <v>18</v>
      </c>
      <c r="H105" s="76">
        <v>45025.0</v>
      </c>
      <c r="I105" s="75">
        <v>122.0</v>
      </c>
      <c r="J105" s="77">
        <v>192.78</v>
      </c>
      <c r="K105" s="77">
        <v>130.75</v>
      </c>
      <c r="L105" s="77">
        <v>23519.16</v>
      </c>
      <c r="M105" s="77">
        <v>15951.5</v>
      </c>
      <c r="N105" s="77">
        <v>7567.66</v>
      </c>
      <c r="O105" s="78">
        <v>0.3217657433343708</v>
      </c>
    </row>
    <row r="106" ht="15.75" customHeight="1">
      <c r="B106" s="75" t="s">
        <v>132</v>
      </c>
      <c r="C106" s="75" t="s">
        <v>25</v>
      </c>
      <c r="D106" s="75" t="s">
        <v>34</v>
      </c>
      <c r="E106" s="75" t="s">
        <v>16</v>
      </c>
      <c r="F106" s="75" t="s">
        <v>27</v>
      </c>
      <c r="G106" s="75" t="s">
        <v>23</v>
      </c>
      <c r="H106" s="76">
        <v>45026.0</v>
      </c>
      <c r="I106" s="75">
        <v>242.0</v>
      </c>
      <c r="J106" s="77">
        <v>304.74</v>
      </c>
      <c r="K106" s="77">
        <v>334.05</v>
      </c>
      <c r="L106" s="77">
        <v>73747.08</v>
      </c>
      <c r="M106" s="77">
        <v>80840.1</v>
      </c>
      <c r="N106" s="77">
        <v>-7093.020000000004</v>
      </c>
      <c r="O106" s="78">
        <v>-0.09618035046268957</v>
      </c>
    </row>
    <row r="107" ht="15.75" customHeight="1">
      <c r="B107" s="75" t="s">
        <v>133</v>
      </c>
      <c r="C107" s="75" t="s">
        <v>14</v>
      </c>
      <c r="D107" s="75" t="s">
        <v>29</v>
      </c>
      <c r="E107" s="75" t="s">
        <v>46</v>
      </c>
      <c r="F107" s="75" t="s">
        <v>27</v>
      </c>
      <c r="G107" s="75" t="s">
        <v>23</v>
      </c>
      <c r="H107" s="76">
        <v>45027.0</v>
      </c>
      <c r="I107" s="75">
        <v>26.0</v>
      </c>
      <c r="J107" s="77">
        <v>181.58</v>
      </c>
      <c r="K107" s="77">
        <v>252.46</v>
      </c>
      <c r="L107" s="77">
        <v>4721.08</v>
      </c>
      <c r="M107" s="77">
        <v>6563.96</v>
      </c>
      <c r="N107" s="77">
        <v>-1842.88</v>
      </c>
      <c r="O107" s="78">
        <v>-0.39035136028196943</v>
      </c>
    </row>
    <row r="108" ht="15.75" customHeight="1">
      <c r="B108" s="75" t="s">
        <v>134</v>
      </c>
      <c r="C108" s="75" t="s">
        <v>52</v>
      </c>
      <c r="D108" s="75" t="s">
        <v>29</v>
      </c>
      <c r="E108" s="75" t="s">
        <v>30</v>
      </c>
      <c r="F108" s="75" t="s">
        <v>17</v>
      </c>
      <c r="G108" s="75" t="s">
        <v>18</v>
      </c>
      <c r="H108" s="76">
        <v>45028.0</v>
      </c>
      <c r="I108" s="75">
        <v>369.0</v>
      </c>
      <c r="J108" s="77">
        <v>269.09</v>
      </c>
      <c r="K108" s="77">
        <v>81.14</v>
      </c>
      <c r="L108" s="77">
        <v>99294.20999999999</v>
      </c>
      <c r="M108" s="77">
        <v>29940.66</v>
      </c>
      <c r="N108" s="77">
        <v>69353.54999999999</v>
      </c>
      <c r="O108" s="78">
        <v>0.6984651975175591</v>
      </c>
    </row>
    <row r="109" ht="15.75" customHeight="1">
      <c r="B109" s="75" t="s">
        <v>135</v>
      </c>
      <c r="C109" s="75" t="s">
        <v>52</v>
      </c>
      <c r="D109" s="75" t="s">
        <v>34</v>
      </c>
      <c r="E109" s="75" t="s">
        <v>46</v>
      </c>
      <c r="F109" s="75" t="s">
        <v>27</v>
      </c>
      <c r="G109" s="75" t="s">
        <v>23</v>
      </c>
      <c r="H109" s="76">
        <v>45029.0</v>
      </c>
      <c r="I109" s="75">
        <v>232.0</v>
      </c>
      <c r="J109" s="77">
        <v>391.99</v>
      </c>
      <c r="K109" s="77">
        <v>27.72</v>
      </c>
      <c r="L109" s="77">
        <v>90941.68000000001</v>
      </c>
      <c r="M109" s="77">
        <v>6431.04</v>
      </c>
      <c r="N109" s="77">
        <v>84510.64000000001</v>
      </c>
      <c r="O109" s="78">
        <v>0.9292839103038344</v>
      </c>
    </row>
    <row r="110" ht="15.75" customHeight="1">
      <c r="B110" s="75" t="s">
        <v>136</v>
      </c>
      <c r="C110" s="75" t="s">
        <v>20</v>
      </c>
      <c r="D110" s="75" t="s">
        <v>29</v>
      </c>
      <c r="E110" s="75" t="s">
        <v>26</v>
      </c>
      <c r="F110" s="75" t="s">
        <v>17</v>
      </c>
      <c r="G110" s="75" t="s">
        <v>23</v>
      </c>
      <c r="H110" s="76">
        <v>45030.0</v>
      </c>
      <c r="I110" s="75">
        <v>363.0</v>
      </c>
      <c r="J110" s="77">
        <v>354.17</v>
      </c>
      <c r="K110" s="77">
        <v>18.97</v>
      </c>
      <c r="L110" s="77">
        <v>128563.71</v>
      </c>
      <c r="M110" s="77">
        <v>6886.11</v>
      </c>
      <c r="N110" s="77">
        <v>121677.6</v>
      </c>
      <c r="O110" s="78">
        <v>0.9464381511703419</v>
      </c>
    </row>
    <row r="111" ht="15.75" customHeight="1">
      <c r="B111" s="75" t="s">
        <v>137</v>
      </c>
      <c r="C111" s="75" t="s">
        <v>52</v>
      </c>
      <c r="D111" s="75" t="s">
        <v>29</v>
      </c>
      <c r="E111" s="75" t="s">
        <v>46</v>
      </c>
      <c r="F111" s="75" t="s">
        <v>17</v>
      </c>
      <c r="G111" s="75" t="s">
        <v>23</v>
      </c>
      <c r="H111" s="76">
        <v>45031.0</v>
      </c>
      <c r="I111" s="75">
        <v>197.0</v>
      </c>
      <c r="J111" s="77">
        <v>225.95</v>
      </c>
      <c r="K111" s="77">
        <v>149.82</v>
      </c>
      <c r="L111" s="77">
        <v>44512.149999999994</v>
      </c>
      <c r="M111" s="77">
        <v>29514.539999999997</v>
      </c>
      <c r="N111" s="77">
        <v>14997.609999999997</v>
      </c>
      <c r="O111" s="78">
        <v>0.3369329497676477</v>
      </c>
    </row>
    <row r="112" ht="15.75" customHeight="1">
      <c r="B112" s="75" t="s">
        <v>138</v>
      </c>
      <c r="C112" s="75" t="s">
        <v>52</v>
      </c>
      <c r="D112" s="75" t="s">
        <v>29</v>
      </c>
      <c r="E112" s="75" t="s">
        <v>16</v>
      </c>
      <c r="F112" s="75" t="s">
        <v>17</v>
      </c>
      <c r="G112" s="75" t="s">
        <v>31</v>
      </c>
      <c r="H112" s="76">
        <v>45032.0</v>
      </c>
      <c r="I112" s="75">
        <v>457.0</v>
      </c>
      <c r="J112" s="77">
        <v>432.79</v>
      </c>
      <c r="K112" s="77">
        <v>107.81</v>
      </c>
      <c r="L112" s="77">
        <v>197785.03</v>
      </c>
      <c r="M112" s="77">
        <v>49269.17</v>
      </c>
      <c r="N112" s="77">
        <v>148515.86</v>
      </c>
      <c r="O112" s="78">
        <v>0.7508953534046534</v>
      </c>
    </row>
    <row r="113" ht="15.75" customHeight="1">
      <c r="B113" s="75" t="s">
        <v>139</v>
      </c>
      <c r="C113" s="75" t="s">
        <v>52</v>
      </c>
      <c r="D113" s="75" t="s">
        <v>21</v>
      </c>
      <c r="E113" s="75" t="s">
        <v>22</v>
      </c>
      <c r="F113" s="75" t="s">
        <v>17</v>
      </c>
      <c r="G113" s="75" t="s">
        <v>31</v>
      </c>
      <c r="H113" s="76">
        <v>45033.0</v>
      </c>
      <c r="I113" s="75">
        <v>353.0</v>
      </c>
      <c r="J113" s="77">
        <v>281.28</v>
      </c>
      <c r="K113" s="77">
        <v>259.14</v>
      </c>
      <c r="L113" s="77">
        <v>99291.84</v>
      </c>
      <c r="M113" s="77">
        <v>91476.42</v>
      </c>
      <c r="N113" s="77">
        <v>7815.419999999998</v>
      </c>
      <c r="O113" s="78">
        <v>0.07871160409556313</v>
      </c>
    </row>
    <row r="114" ht="15.75" customHeight="1">
      <c r="B114" s="75" t="s">
        <v>140</v>
      </c>
      <c r="C114" s="75" t="s">
        <v>20</v>
      </c>
      <c r="D114" s="75" t="s">
        <v>21</v>
      </c>
      <c r="E114" s="75" t="s">
        <v>46</v>
      </c>
      <c r="F114" s="75" t="s">
        <v>27</v>
      </c>
      <c r="G114" s="75" t="s">
        <v>23</v>
      </c>
      <c r="H114" s="76">
        <v>45034.0</v>
      </c>
      <c r="I114" s="75">
        <v>374.0</v>
      </c>
      <c r="J114" s="77">
        <v>272.25</v>
      </c>
      <c r="K114" s="77">
        <v>200.73</v>
      </c>
      <c r="L114" s="77">
        <v>101821.5</v>
      </c>
      <c r="M114" s="77">
        <v>75073.01999999999</v>
      </c>
      <c r="N114" s="77">
        <v>26748.48000000001</v>
      </c>
      <c r="O114" s="78">
        <v>0.26269972451790646</v>
      </c>
    </row>
    <row r="115" ht="15.75" customHeight="1">
      <c r="B115" s="75" t="s">
        <v>141</v>
      </c>
      <c r="C115" s="75" t="s">
        <v>52</v>
      </c>
      <c r="D115" s="75" t="s">
        <v>21</v>
      </c>
      <c r="E115" s="75" t="s">
        <v>16</v>
      </c>
      <c r="F115" s="75" t="s">
        <v>27</v>
      </c>
      <c r="G115" s="75" t="s">
        <v>23</v>
      </c>
      <c r="H115" s="76">
        <v>45035.0</v>
      </c>
      <c r="I115" s="75">
        <v>172.0</v>
      </c>
      <c r="J115" s="77">
        <v>21.92</v>
      </c>
      <c r="K115" s="77">
        <v>107.88</v>
      </c>
      <c r="L115" s="77">
        <v>3770.2400000000002</v>
      </c>
      <c r="M115" s="77">
        <v>18555.36</v>
      </c>
      <c r="N115" s="77">
        <v>-14785.12</v>
      </c>
      <c r="O115" s="78">
        <v>-3.9215328467153285</v>
      </c>
    </row>
    <row r="116" ht="15.75" customHeight="1">
      <c r="B116" s="75" t="s">
        <v>142</v>
      </c>
      <c r="C116" s="75" t="s">
        <v>14</v>
      </c>
      <c r="D116" s="75" t="s">
        <v>34</v>
      </c>
      <c r="E116" s="75" t="s">
        <v>16</v>
      </c>
      <c r="F116" s="75" t="s">
        <v>27</v>
      </c>
      <c r="G116" s="75" t="s">
        <v>31</v>
      </c>
      <c r="H116" s="76">
        <v>45036.0</v>
      </c>
      <c r="I116" s="75">
        <v>335.0</v>
      </c>
      <c r="J116" s="77">
        <v>493.41</v>
      </c>
      <c r="K116" s="77">
        <v>61.4</v>
      </c>
      <c r="L116" s="77">
        <v>165292.35</v>
      </c>
      <c r="M116" s="77">
        <v>20569.0</v>
      </c>
      <c r="N116" s="77">
        <v>144723.35</v>
      </c>
      <c r="O116" s="78">
        <v>0.875559879207961</v>
      </c>
    </row>
    <row r="117" ht="15.75" customHeight="1">
      <c r="B117" s="75" t="s">
        <v>143</v>
      </c>
      <c r="C117" s="75" t="s">
        <v>20</v>
      </c>
      <c r="D117" s="75" t="s">
        <v>54</v>
      </c>
      <c r="E117" s="75" t="s">
        <v>26</v>
      </c>
      <c r="F117" s="75" t="s">
        <v>17</v>
      </c>
      <c r="G117" s="75" t="s">
        <v>31</v>
      </c>
      <c r="H117" s="76">
        <v>45037.0</v>
      </c>
      <c r="I117" s="75">
        <v>476.0</v>
      </c>
      <c r="J117" s="77">
        <v>65.87</v>
      </c>
      <c r="K117" s="77">
        <v>52.63</v>
      </c>
      <c r="L117" s="77">
        <v>31354.120000000003</v>
      </c>
      <c r="M117" s="77">
        <v>25051.88</v>
      </c>
      <c r="N117" s="77">
        <v>6302.240000000002</v>
      </c>
      <c r="O117" s="78">
        <v>0.2010019735843328</v>
      </c>
    </row>
    <row r="118" ht="15.75" customHeight="1">
      <c r="B118" s="75" t="s">
        <v>144</v>
      </c>
      <c r="C118" s="75" t="s">
        <v>14</v>
      </c>
      <c r="D118" s="75" t="s">
        <v>29</v>
      </c>
      <c r="E118" s="75" t="s">
        <v>16</v>
      </c>
      <c r="F118" s="75" t="s">
        <v>17</v>
      </c>
      <c r="G118" s="75" t="s">
        <v>18</v>
      </c>
      <c r="H118" s="76">
        <v>45038.0</v>
      </c>
      <c r="I118" s="75">
        <v>423.0</v>
      </c>
      <c r="J118" s="77">
        <v>119.41</v>
      </c>
      <c r="K118" s="77">
        <v>346.13</v>
      </c>
      <c r="L118" s="77">
        <v>50510.43</v>
      </c>
      <c r="M118" s="77">
        <v>146412.99</v>
      </c>
      <c r="N118" s="77">
        <v>-95902.56</v>
      </c>
      <c r="O118" s="78">
        <v>-1.8986684532283729</v>
      </c>
    </row>
    <row r="119" ht="15.75" customHeight="1">
      <c r="B119" s="75" t="s">
        <v>145</v>
      </c>
      <c r="C119" s="75" t="s">
        <v>20</v>
      </c>
      <c r="D119" s="75" t="s">
        <v>29</v>
      </c>
      <c r="E119" s="75" t="s">
        <v>16</v>
      </c>
      <c r="F119" s="75" t="s">
        <v>17</v>
      </c>
      <c r="G119" s="75" t="s">
        <v>18</v>
      </c>
      <c r="H119" s="76">
        <v>45039.0</v>
      </c>
      <c r="I119" s="75">
        <v>464.0</v>
      </c>
      <c r="J119" s="77">
        <v>30.59</v>
      </c>
      <c r="K119" s="77">
        <v>98.9</v>
      </c>
      <c r="L119" s="77">
        <v>14193.76</v>
      </c>
      <c r="M119" s="77">
        <v>45889.600000000006</v>
      </c>
      <c r="N119" s="77">
        <v>-31695.840000000004</v>
      </c>
      <c r="O119" s="78">
        <v>-2.2330827067669174</v>
      </c>
    </row>
    <row r="120" ht="15.75" customHeight="1">
      <c r="B120" s="75" t="s">
        <v>146</v>
      </c>
      <c r="C120" s="75" t="s">
        <v>52</v>
      </c>
      <c r="D120" s="75" t="s">
        <v>34</v>
      </c>
      <c r="E120" s="75" t="s">
        <v>16</v>
      </c>
      <c r="F120" s="75" t="s">
        <v>27</v>
      </c>
      <c r="G120" s="75" t="s">
        <v>31</v>
      </c>
      <c r="H120" s="76">
        <v>45040.0</v>
      </c>
      <c r="I120" s="75">
        <v>83.0</v>
      </c>
      <c r="J120" s="77">
        <v>321.8</v>
      </c>
      <c r="K120" s="77">
        <v>261.38</v>
      </c>
      <c r="L120" s="77">
        <v>26709.4</v>
      </c>
      <c r="M120" s="77">
        <v>21694.54</v>
      </c>
      <c r="N120" s="77">
        <v>5014.860000000001</v>
      </c>
      <c r="O120" s="78">
        <v>0.18775637041640772</v>
      </c>
    </row>
    <row r="121" ht="15.75" customHeight="1">
      <c r="B121" s="75" t="s">
        <v>147</v>
      </c>
      <c r="C121" s="75" t="s">
        <v>14</v>
      </c>
      <c r="D121" s="75" t="s">
        <v>29</v>
      </c>
      <c r="E121" s="75" t="s">
        <v>16</v>
      </c>
      <c r="F121" s="75" t="s">
        <v>17</v>
      </c>
      <c r="G121" s="75" t="s">
        <v>23</v>
      </c>
      <c r="H121" s="76">
        <v>45041.0</v>
      </c>
      <c r="I121" s="75">
        <v>242.0</v>
      </c>
      <c r="J121" s="77">
        <v>116.23</v>
      </c>
      <c r="K121" s="77">
        <v>324.65</v>
      </c>
      <c r="L121" s="77">
        <v>28127.66</v>
      </c>
      <c r="M121" s="77">
        <v>78565.29999999999</v>
      </c>
      <c r="N121" s="77">
        <v>-50437.639999999985</v>
      </c>
      <c r="O121" s="78">
        <v>-1.7931687171986572</v>
      </c>
    </row>
    <row r="122" ht="15.75" customHeight="1">
      <c r="B122" s="75" t="s">
        <v>148</v>
      </c>
      <c r="C122" s="75" t="s">
        <v>20</v>
      </c>
      <c r="D122" s="75" t="s">
        <v>21</v>
      </c>
      <c r="E122" s="75" t="s">
        <v>30</v>
      </c>
      <c r="F122" s="75" t="s">
        <v>27</v>
      </c>
      <c r="G122" s="75" t="s">
        <v>23</v>
      </c>
      <c r="H122" s="76">
        <v>45042.0</v>
      </c>
      <c r="I122" s="75">
        <v>233.0</v>
      </c>
      <c r="J122" s="77">
        <v>94.11</v>
      </c>
      <c r="K122" s="77">
        <v>246.4</v>
      </c>
      <c r="L122" s="77">
        <v>21927.63</v>
      </c>
      <c r="M122" s="77">
        <v>57411.200000000004</v>
      </c>
      <c r="N122" s="77">
        <v>-35483.57000000001</v>
      </c>
      <c r="O122" s="78">
        <v>-1.6182127297842952</v>
      </c>
    </row>
    <row r="123" ht="15.75" customHeight="1">
      <c r="B123" s="75" t="s">
        <v>149</v>
      </c>
      <c r="C123" s="75" t="s">
        <v>25</v>
      </c>
      <c r="D123" s="75" t="s">
        <v>54</v>
      </c>
      <c r="E123" s="75" t="s">
        <v>30</v>
      </c>
      <c r="F123" s="75" t="s">
        <v>27</v>
      </c>
      <c r="G123" s="75" t="s">
        <v>23</v>
      </c>
      <c r="H123" s="76">
        <v>45043.0</v>
      </c>
      <c r="I123" s="75">
        <v>491.0</v>
      </c>
      <c r="J123" s="77">
        <v>48.84</v>
      </c>
      <c r="K123" s="77">
        <v>344.11</v>
      </c>
      <c r="L123" s="77">
        <v>23980.440000000002</v>
      </c>
      <c r="M123" s="77">
        <v>168958.01</v>
      </c>
      <c r="N123" s="77">
        <v>-144977.57</v>
      </c>
      <c r="O123" s="78">
        <v>-6.045659295659295</v>
      </c>
    </row>
    <row r="124" ht="15.75" customHeight="1">
      <c r="B124" s="75" t="s">
        <v>150</v>
      </c>
      <c r="C124" s="75" t="s">
        <v>39</v>
      </c>
      <c r="D124" s="75" t="s">
        <v>15</v>
      </c>
      <c r="E124" s="75" t="s">
        <v>26</v>
      </c>
      <c r="F124" s="75" t="s">
        <v>27</v>
      </c>
      <c r="G124" s="75" t="s">
        <v>23</v>
      </c>
      <c r="H124" s="76">
        <v>45044.0</v>
      </c>
      <c r="I124" s="75">
        <v>328.0</v>
      </c>
      <c r="J124" s="77">
        <v>56.14</v>
      </c>
      <c r="K124" s="77">
        <v>158.17</v>
      </c>
      <c r="L124" s="77">
        <v>18413.920000000002</v>
      </c>
      <c r="M124" s="77">
        <v>51879.759999999995</v>
      </c>
      <c r="N124" s="77">
        <v>-33465.84</v>
      </c>
      <c r="O124" s="78">
        <v>-1.8174207338795865</v>
      </c>
    </row>
    <row r="125" ht="15.75" customHeight="1">
      <c r="B125" s="75" t="s">
        <v>151</v>
      </c>
      <c r="C125" s="75" t="s">
        <v>20</v>
      </c>
      <c r="D125" s="75" t="s">
        <v>29</v>
      </c>
      <c r="E125" s="75" t="s">
        <v>46</v>
      </c>
      <c r="F125" s="75" t="s">
        <v>27</v>
      </c>
      <c r="G125" s="75" t="s">
        <v>18</v>
      </c>
      <c r="H125" s="76">
        <v>45045.0</v>
      </c>
      <c r="I125" s="75">
        <v>421.0</v>
      </c>
      <c r="J125" s="77">
        <v>294.41</v>
      </c>
      <c r="K125" s="77">
        <v>382.58</v>
      </c>
      <c r="L125" s="77">
        <v>123946.61000000002</v>
      </c>
      <c r="M125" s="77">
        <v>161066.18</v>
      </c>
      <c r="N125" s="77">
        <v>-37119.56999999998</v>
      </c>
      <c r="O125" s="78">
        <v>-0.29948031656533386</v>
      </c>
    </row>
    <row r="126" ht="15.75" customHeight="1">
      <c r="B126" s="75" t="s">
        <v>152</v>
      </c>
      <c r="C126" s="75" t="s">
        <v>25</v>
      </c>
      <c r="D126" s="75" t="s">
        <v>21</v>
      </c>
      <c r="E126" s="75" t="s">
        <v>16</v>
      </c>
      <c r="F126" s="75" t="s">
        <v>27</v>
      </c>
      <c r="G126" s="75" t="s">
        <v>31</v>
      </c>
      <c r="H126" s="76">
        <v>45046.0</v>
      </c>
      <c r="I126" s="75">
        <v>69.0</v>
      </c>
      <c r="J126" s="77">
        <v>345.66</v>
      </c>
      <c r="K126" s="77">
        <v>54.99</v>
      </c>
      <c r="L126" s="77">
        <v>23850.54</v>
      </c>
      <c r="M126" s="77">
        <v>3794.31</v>
      </c>
      <c r="N126" s="77">
        <v>20056.23</v>
      </c>
      <c r="O126" s="78">
        <v>0.8409130359312619</v>
      </c>
    </row>
    <row r="127" ht="15.75" customHeight="1">
      <c r="B127" s="75" t="s">
        <v>153</v>
      </c>
      <c r="C127" s="75" t="s">
        <v>20</v>
      </c>
      <c r="D127" s="75" t="s">
        <v>15</v>
      </c>
      <c r="E127" s="75" t="s">
        <v>46</v>
      </c>
      <c r="F127" s="75" t="s">
        <v>27</v>
      </c>
      <c r="G127" s="75" t="s">
        <v>23</v>
      </c>
      <c r="H127" s="76">
        <v>45047.0</v>
      </c>
      <c r="I127" s="75">
        <v>344.0</v>
      </c>
      <c r="J127" s="77">
        <v>201.7</v>
      </c>
      <c r="K127" s="77">
        <v>42.66</v>
      </c>
      <c r="L127" s="77">
        <v>69384.8</v>
      </c>
      <c r="M127" s="77">
        <v>14675.039999999999</v>
      </c>
      <c r="N127" s="77">
        <v>54709.76</v>
      </c>
      <c r="O127" s="78">
        <v>0.7884977689638076</v>
      </c>
    </row>
    <row r="128" ht="15.75" customHeight="1">
      <c r="B128" s="75" t="s">
        <v>154</v>
      </c>
      <c r="C128" s="75" t="s">
        <v>39</v>
      </c>
      <c r="D128" s="75" t="s">
        <v>54</v>
      </c>
      <c r="E128" s="75" t="s">
        <v>46</v>
      </c>
      <c r="F128" s="75" t="s">
        <v>17</v>
      </c>
      <c r="G128" s="75" t="s">
        <v>18</v>
      </c>
      <c r="H128" s="76">
        <v>45048.0</v>
      </c>
      <c r="I128" s="75">
        <v>231.0</v>
      </c>
      <c r="J128" s="77">
        <v>242.55</v>
      </c>
      <c r="K128" s="77">
        <v>264.16</v>
      </c>
      <c r="L128" s="77">
        <v>56029.05</v>
      </c>
      <c r="M128" s="77">
        <v>61020.96000000001</v>
      </c>
      <c r="N128" s="77">
        <v>-4991.9100000000035</v>
      </c>
      <c r="O128" s="78">
        <v>-0.08909503195217487</v>
      </c>
    </row>
    <row r="129" ht="15.75" customHeight="1">
      <c r="B129" s="75" t="s">
        <v>155</v>
      </c>
      <c r="C129" s="75" t="s">
        <v>52</v>
      </c>
      <c r="D129" s="75" t="s">
        <v>15</v>
      </c>
      <c r="E129" s="75" t="s">
        <v>26</v>
      </c>
      <c r="F129" s="75" t="s">
        <v>17</v>
      </c>
      <c r="G129" s="75" t="s">
        <v>23</v>
      </c>
      <c r="H129" s="76">
        <v>45049.0</v>
      </c>
      <c r="I129" s="75">
        <v>46.0</v>
      </c>
      <c r="J129" s="77">
        <v>344.55</v>
      </c>
      <c r="K129" s="77">
        <v>377.25</v>
      </c>
      <c r="L129" s="77">
        <v>15849.300000000001</v>
      </c>
      <c r="M129" s="77">
        <v>17353.5</v>
      </c>
      <c r="N129" s="77">
        <v>-1504.199999999999</v>
      </c>
      <c r="O129" s="78">
        <v>-0.09490639965171956</v>
      </c>
    </row>
    <row r="130" ht="15.75" customHeight="1">
      <c r="B130" s="75" t="s">
        <v>156</v>
      </c>
      <c r="C130" s="75" t="s">
        <v>14</v>
      </c>
      <c r="D130" s="75" t="s">
        <v>21</v>
      </c>
      <c r="E130" s="75" t="s">
        <v>16</v>
      </c>
      <c r="F130" s="75" t="s">
        <v>27</v>
      </c>
      <c r="G130" s="75" t="s">
        <v>31</v>
      </c>
      <c r="H130" s="76">
        <v>45050.0</v>
      </c>
      <c r="I130" s="75">
        <v>486.0</v>
      </c>
      <c r="J130" s="77">
        <v>13.6</v>
      </c>
      <c r="K130" s="77">
        <v>323.94</v>
      </c>
      <c r="L130" s="77">
        <v>6609.599999999999</v>
      </c>
      <c r="M130" s="77">
        <v>157434.84</v>
      </c>
      <c r="N130" s="77">
        <v>-150825.24</v>
      </c>
      <c r="O130" s="78">
        <v>-22.819117647058825</v>
      </c>
    </row>
    <row r="131" ht="15.75" customHeight="1">
      <c r="B131" s="75" t="s">
        <v>157</v>
      </c>
      <c r="C131" s="75" t="s">
        <v>25</v>
      </c>
      <c r="D131" s="75" t="s">
        <v>15</v>
      </c>
      <c r="E131" s="75" t="s">
        <v>16</v>
      </c>
      <c r="F131" s="75" t="s">
        <v>27</v>
      </c>
      <c r="G131" s="75" t="s">
        <v>18</v>
      </c>
      <c r="H131" s="76">
        <v>45051.0</v>
      </c>
      <c r="I131" s="75">
        <v>287.0</v>
      </c>
      <c r="J131" s="77">
        <v>164.95</v>
      </c>
      <c r="K131" s="77">
        <v>32.41</v>
      </c>
      <c r="L131" s="77">
        <v>47340.649999999994</v>
      </c>
      <c r="M131" s="77">
        <v>9301.669999999998</v>
      </c>
      <c r="N131" s="77">
        <v>38038.979999999996</v>
      </c>
      <c r="O131" s="78">
        <v>0.8035162170354653</v>
      </c>
    </row>
    <row r="132" ht="15.75" customHeight="1">
      <c r="B132" s="75" t="s">
        <v>158</v>
      </c>
      <c r="C132" s="75" t="s">
        <v>20</v>
      </c>
      <c r="D132" s="75" t="s">
        <v>34</v>
      </c>
      <c r="E132" s="75" t="s">
        <v>22</v>
      </c>
      <c r="F132" s="75" t="s">
        <v>17</v>
      </c>
      <c r="G132" s="75" t="s">
        <v>31</v>
      </c>
      <c r="H132" s="76">
        <v>45052.0</v>
      </c>
      <c r="I132" s="75">
        <v>205.0</v>
      </c>
      <c r="J132" s="77">
        <v>486.68</v>
      </c>
      <c r="K132" s="77">
        <v>113.19</v>
      </c>
      <c r="L132" s="77">
        <v>99769.4</v>
      </c>
      <c r="M132" s="77">
        <v>23203.95</v>
      </c>
      <c r="N132" s="77">
        <v>76565.45</v>
      </c>
      <c r="O132" s="78">
        <v>0.7674241801594477</v>
      </c>
    </row>
    <row r="133" ht="15.75" customHeight="1">
      <c r="B133" s="75" t="s">
        <v>159</v>
      </c>
      <c r="C133" s="75" t="s">
        <v>52</v>
      </c>
      <c r="D133" s="75" t="s">
        <v>15</v>
      </c>
      <c r="E133" s="75" t="s">
        <v>46</v>
      </c>
      <c r="F133" s="75" t="s">
        <v>27</v>
      </c>
      <c r="G133" s="75" t="s">
        <v>31</v>
      </c>
      <c r="H133" s="76">
        <v>45053.0</v>
      </c>
      <c r="I133" s="75">
        <v>413.0</v>
      </c>
      <c r="J133" s="77">
        <v>292.16</v>
      </c>
      <c r="K133" s="77">
        <v>372.27</v>
      </c>
      <c r="L133" s="77">
        <v>120662.08000000002</v>
      </c>
      <c r="M133" s="77">
        <v>153747.50999999998</v>
      </c>
      <c r="N133" s="77">
        <v>-33085.429999999964</v>
      </c>
      <c r="O133" s="78">
        <v>-0.27419906900328556</v>
      </c>
    </row>
    <row r="134" ht="15.75" customHeight="1">
      <c r="B134" s="75" t="s">
        <v>160</v>
      </c>
      <c r="C134" s="75" t="s">
        <v>25</v>
      </c>
      <c r="D134" s="75" t="s">
        <v>29</v>
      </c>
      <c r="E134" s="75" t="s">
        <v>46</v>
      </c>
      <c r="F134" s="75" t="s">
        <v>27</v>
      </c>
      <c r="G134" s="75" t="s">
        <v>18</v>
      </c>
      <c r="H134" s="76">
        <v>45054.0</v>
      </c>
      <c r="I134" s="75">
        <v>361.0</v>
      </c>
      <c r="J134" s="77">
        <v>130.84</v>
      </c>
      <c r="K134" s="77">
        <v>102.72</v>
      </c>
      <c r="L134" s="77">
        <v>47233.24</v>
      </c>
      <c r="M134" s="77">
        <v>37081.92</v>
      </c>
      <c r="N134" s="77">
        <v>10151.32</v>
      </c>
      <c r="O134" s="78">
        <v>0.2149189850198716</v>
      </c>
    </row>
    <row r="135" ht="15.75" customHeight="1">
      <c r="B135" s="75" t="s">
        <v>161</v>
      </c>
      <c r="C135" s="75" t="s">
        <v>20</v>
      </c>
      <c r="D135" s="75" t="s">
        <v>29</v>
      </c>
      <c r="E135" s="75" t="s">
        <v>30</v>
      </c>
      <c r="F135" s="75" t="s">
        <v>17</v>
      </c>
      <c r="G135" s="75" t="s">
        <v>18</v>
      </c>
      <c r="H135" s="76">
        <v>45055.0</v>
      </c>
      <c r="I135" s="75">
        <v>493.0</v>
      </c>
      <c r="J135" s="77">
        <v>263.26</v>
      </c>
      <c r="K135" s="77">
        <v>312.91</v>
      </c>
      <c r="L135" s="77">
        <v>129787.18</v>
      </c>
      <c r="M135" s="77">
        <v>154264.63</v>
      </c>
      <c r="N135" s="77">
        <v>-24477.45000000001</v>
      </c>
      <c r="O135" s="78">
        <v>-0.18859682443212045</v>
      </c>
    </row>
    <row r="136" ht="15.75" customHeight="1">
      <c r="B136" s="75" t="s">
        <v>162</v>
      </c>
      <c r="C136" s="75" t="s">
        <v>20</v>
      </c>
      <c r="D136" s="75" t="s">
        <v>34</v>
      </c>
      <c r="E136" s="75" t="s">
        <v>22</v>
      </c>
      <c r="F136" s="75" t="s">
        <v>27</v>
      </c>
      <c r="G136" s="75" t="s">
        <v>18</v>
      </c>
      <c r="H136" s="76">
        <v>45056.0</v>
      </c>
      <c r="I136" s="75">
        <v>251.0</v>
      </c>
      <c r="J136" s="77">
        <v>174.61</v>
      </c>
      <c r="K136" s="77">
        <v>330.4</v>
      </c>
      <c r="L136" s="77">
        <v>43827.11</v>
      </c>
      <c r="M136" s="77">
        <v>82930.4</v>
      </c>
      <c r="N136" s="77">
        <v>-39103.28999999999</v>
      </c>
      <c r="O136" s="78">
        <v>-0.8922169406105033</v>
      </c>
    </row>
    <row r="137" ht="15.75" customHeight="1">
      <c r="B137" s="75" t="s">
        <v>163</v>
      </c>
      <c r="C137" s="75" t="s">
        <v>20</v>
      </c>
      <c r="D137" s="75" t="s">
        <v>21</v>
      </c>
      <c r="E137" s="75" t="s">
        <v>30</v>
      </c>
      <c r="F137" s="75" t="s">
        <v>27</v>
      </c>
      <c r="G137" s="75" t="s">
        <v>18</v>
      </c>
      <c r="H137" s="76">
        <v>45057.0</v>
      </c>
      <c r="I137" s="79">
        <v>255.9029411764706</v>
      </c>
      <c r="J137" s="77">
        <v>268.46</v>
      </c>
      <c r="K137" s="77">
        <v>199.19</v>
      </c>
      <c r="L137" s="77">
        <v>68699.7035882353</v>
      </c>
      <c r="M137" s="77">
        <v>50973.306852941176</v>
      </c>
      <c r="N137" s="77">
        <v>17726.396735294118</v>
      </c>
      <c r="O137" s="78">
        <v>0.25802726663190045</v>
      </c>
    </row>
    <row r="138" ht="15.75" customHeight="1">
      <c r="B138" s="75" t="s">
        <v>164</v>
      </c>
      <c r="C138" s="75" t="s">
        <v>25</v>
      </c>
      <c r="D138" s="75" t="s">
        <v>29</v>
      </c>
      <c r="E138" s="75" t="s">
        <v>30</v>
      </c>
      <c r="F138" s="75" t="s">
        <v>27</v>
      </c>
      <c r="G138" s="75" t="s">
        <v>18</v>
      </c>
      <c r="H138" s="76">
        <v>45058.0</v>
      </c>
      <c r="I138" s="75">
        <v>228.0</v>
      </c>
      <c r="J138" s="77">
        <v>67.24</v>
      </c>
      <c r="K138" s="77">
        <v>155.77</v>
      </c>
      <c r="L138" s="77">
        <v>15330.72</v>
      </c>
      <c r="M138" s="77">
        <v>35515.560000000005</v>
      </c>
      <c r="N138" s="77">
        <v>-20184.840000000004</v>
      </c>
      <c r="O138" s="78">
        <v>-1.3166270077334923</v>
      </c>
    </row>
    <row r="139" ht="15.75" customHeight="1">
      <c r="B139" s="75" t="s">
        <v>165</v>
      </c>
      <c r="C139" s="75" t="s">
        <v>25</v>
      </c>
      <c r="D139" s="75" t="s">
        <v>54</v>
      </c>
      <c r="E139" s="75" t="s">
        <v>30</v>
      </c>
      <c r="F139" s="75" t="s">
        <v>17</v>
      </c>
      <c r="G139" s="75" t="s">
        <v>18</v>
      </c>
      <c r="H139" s="76">
        <v>45059.0</v>
      </c>
      <c r="I139" s="75">
        <v>201.0</v>
      </c>
      <c r="J139" s="77">
        <v>70.69</v>
      </c>
      <c r="K139" s="77">
        <v>181.15</v>
      </c>
      <c r="L139" s="77">
        <v>14208.689999999999</v>
      </c>
      <c r="M139" s="77">
        <v>36411.15</v>
      </c>
      <c r="N139" s="77">
        <v>-22202.460000000003</v>
      </c>
      <c r="O139" s="78">
        <v>-1.5625972556231436</v>
      </c>
    </row>
    <row r="140" ht="15.75" customHeight="1">
      <c r="B140" s="75" t="s">
        <v>166</v>
      </c>
      <c r="C140" s="75" t="s">
        <v>25</v>
      </c>
      <c r="D140" s="75" t="s">
        <v>29</v>
      </c>
      <c r="E140" s="75" t="s">
        <v>26</v>
      </c>
      <c r="F140" s="75" t="s">
        <v>17</v>
      </c>
      <c r="G140" s="75" t="s">
        <v>18</v>
      </c>
      <c r="H140" s="76">
        <v>45060.0</v>
      </c>
      <c r="I140" s="75">
        <v>26.0</v>
      </c>
      <c r="J140" s="77">
        <v>76.05</v>
      </c>
      <c r="K140" s="77">
        <v>92.33</v>
      </c>
      <c r="L140" s="77">
        <v>1977.3</v>
      </c>
      <c r="M140" s="77">
        <v>2400.58</v>
      </c>
      <c r="N140" s="77">
        <v>-423.28</v>
      </c>
      <c r="O140" s="78">
        <v>-0.2140696909927679</v>
      </c>
    </row>
    <row r="141" ht="15.75" customHeight="1">
      <c r="B141" s="75" t="s">
        <v>167</v>
      </c>
      <c r="C141" s="75" t="s">
        <v>14</v>
      </c>
      <c r="D141" s="75" t="s">
        <v>29</v>
      </c>
      <c r="E141" s="75" t="s">
        <v>26</v>
      </c>
      <c r="F141" s="75" t="s">
        <v>17</v>
      </c>
      <c r="G141" s="75" t="s">
        <v>23</v>
      </c>
      <c r="H141" s="76">
        <v>45061.0</v>
      </c>
      <c r="I141" s="75">
        <v>21.0</v>
      </c>
      <c r="J141" s="77">
        <v>470.21</v>
      </c>
      <c r="K141" s="77">
        <v>355.98</v>
      </c>
      <c r="L141" s="77">
        <v>9874.41</v>
      </c>
      <c r="M141" s="77">
        <v>7475.58</v>
      </c>
      <c r="N141" s="77">
        <v>2398.83</v>
      </c>
      <c r="O141" s="78">
        <v>0.24293400820909805</v>
      </c>
    </row>
    <row r="142" ht="15.75" customHeight="1">
      <c r="B142" s="75" t="s">
        <v>168</v>
      </c>
      <c r="C142" s="75" t="s">
        <v>25</v>
      </c>
      <c r="D142" s="75" t="s">
        <v>21</v>
      </c>
      <c r="E142" s="75" t="s">
        <v>30</v>
      </c>
      <c r="F142" s="75" t="s">
        <v>27</v>
      </c>
      <c r="G142" s="75" t="s">
        <v>31</v>
      </c>
      <c r="H142" s="76">
        <v>45062.0</v>
      </c>
      <c r="I142" s="75">
        <v>415.0</v>
      </c>
      <c r="J142" s="77">
        <v>367.78</v>
      </c>
      <c r="K142" s="77">
        <v>181.35</v>
      </c>
      <c r="L142" s="77">
        <v>152628.69999999998</v>
      </c>
      <c r="M142" s="77">
        <v>75260.25</v>
      </c>
      <c r="N142" s="77">
        <v>77368.44999999998</v>
      </c>
      <c r="O142" s="78">
        <v>0.5069063026809505</v>
      </c>
    </row>
    <row r="143" ht="15.75" customHeight="1">
      <c r="B143" s="75" t="s">
        <v>169</v>
      </c>
      <c r="C143" s="75" t="s">
        <v>25</v>
      </c>
      <c r="D143" s="75" t="s">
        <v>15</v>
      </c>
      <c r="E143" s="75" t="s">
        <v>22</v>
      </c>
      <c r="F143" s="75" t="s">
        <v>27</v>
      </c>
      <c r="G143" s="75" t="s">
        <v>18</v>
      </c>
      <c r="H143" s="76">
        <v>45063.0</v>
      </c>
      <c r="I143" s="75">
        <v>410.0</v>
      </c>
      <c r="J143" s="77">
        <v>85.38</v>
      </c>
      <c r="K143" s="77">
        <v>353.22</v>
      </c>
      <c r="L143" s="77">
        <v>35005.799999999996</v>
      </c>
      <c r="M143" s="77">
        <v>144820.2</v>
      </c>
      <c r="N143" s="77">
        <v>-109814.40000000002</v>
      </c>
      <c r="O143" s="78">
        <v>-3.1370344342937466</v>
      </c>
    </row>
    <row r="144" ht="15.75" customHeight="1">
      <c r="B144" s="75" t="s">
        <v>170</v>
      </c>
      <c r="C144" s="75" t="s">
        <v>25</v>
      </c>
      <c r="D144" s="75" t="s">
        <v>29</v>
      </c>
      <c r="E144" s="75" t="s">
        <v>46</v>
      </c>
      <c r="F144" s="75" t="s">
        <v>17</v>
      </c>
      <c r="G144" s="75" t="s">
        <v>23</v>
      </c>
      <c r="H144" s="76">
        <v>45064.0</v>
      </c>
      <c r="I144" s="75">
        <v>403.0</v>
      </c>
      <c r="J144" s="77">
        <v>98.23</v>
      </c>
      <c r="K144" s="77">
        <v>44.07</v>
      </c>
      <c r="L144" s="77">
        <v>39586.69</v>
      </c>
      <c r="M144" s="77">
        <v>17760.21</v>
      </c>
      <c r="N144" s="77">
        <v>21826.480000000003</v>
      </c>
      <c r="O144" s="78">
        <v>0.5513590552784282</v>
      </c>
    </row>
    <row r="145" ht="15.75" customHeight="1">
      <c r="B145" s="75" t="s">
        <v>171</v>
      </c>
      <c r="C145" s="75" t="s">
        <v>14</v>
      </c>
      <c r="D145" s="75" t="s">
        <v>34</v>
      </c>
      <c r="E145" s="75" t="s">
        <v>22</v>
      </c>
      <c r="F145" s="75" t="s">
        <v>27</v>
      </c>
      <c r="G145" s="75" t="s">
        <v>23</v>
      </c>
      <c r="H145" s="76">
        <v>45065.0</v>
      </c>
      <c r="I145" s="75">
        <v>383.0</v>
      </c>
      <c r="J145" s="77">
        <v>366.76</v>
      </c>
      <c r="K145" s="77">
        <v>395.33</v>
      </c>
      <c r="L145" s="77">
        <v>140469.08</v>
      </c>
      <c r="M145" s="77">
        <v>151411.38999999998</v>
      </c>
      <c r="N145" s="77">
        <v>-10942.309999999998</v>
      </c>
      <c r="O145" s="78">
        <v>-0.0778983531464718</v>
      </c>
    </row>
    <row r="146" ht="15.75" customHeight="1">
      <c r="B146" s="75" t="s">
        <v>172</v>
      </c>
      <c r="C146" s="75" t="s">
        <v>25</v>
      </c>
      <c r="D146" s="75" t="s">
        <v>15</v>
      </c>
      <c r="E146" s="75" t="s">
        <v>16</v>
      </c>
      <c r="F146" s="75" t="s">
        <v>27</v>
      </c>
      <c r="G146" s="75" t="s">
        <v>23</v>
      </c>
      <c r="H146" s="76">
        <v>45066.0</v>
      </c>
      <c r="I146" s="75">
        <v>202.0</v>
      </c>
      <c r="J146" s="77">
        <v>82.3</v>
      </c>
      <c r="K146" s="77">
        <v>178.42</v>
      </c>
      <c r="L146" s="77">
        <v>16624.6</v>
      </c>
      <c r="M146" s="77">
        <v>36040.84</v>
      </c>
      <c r="N146" s="77">
        <v>-19416.239999999998</v>
      </c>
      <c r="O146" s="78">
        <v>-1.1679222357229648</v>
      </c>
    </row>
    <row r="147" ht="15.75" customHeight="1">
      <c r="B147" s="75" t="s">
        <v>173</v>
      </c>
      <c r="C147" s="75" t="s">
        <v>20</v>
      </c>
      <c r="D147" s="75" t="s">
        <v>54</v>
      </c>
      <c r="E147" s="75" t="s">
        <v>26</v>
      </c>
      <c r="F147" s="75" t="s">
        <v>27</v>
      </c>
      <c r="G147" s="75" t="s">
        <v>31</v>
      </c>
      <c r="H147" s="76">
        <v>45067.0</v>
      </c>
      <c r="I147" s="75">
        <v>31.0</v>
      </c>
      <c r="J147" s="77">
        <v>121.11</v>
      </c>
      <c r="K147" s="77">
        <v>21.04</v>
      </c>
      <c r="L147" s="77">
        <v>3754.41</v>
      </c>
      <c r="M147" s="77">
        <v>652.24</v>
      </c>
      <c r="N147" s="77">
        <v>3102.17</v>
      </c>
      <c r="O147" s="78">
        <v>0.8262736355379408</v>
      </c>
    </row>
    <row r="148" ht="15.75" customHeight="1">
      <c r="B148" s="75" t="s">
        <v>174</v>
      </c>
      <c r="C148" s="75" t="s">
        <v>25</v>
      </c>
      <c r="D148" s="75" t="s">
        <v>21</v>
      </c>
      <c r="E148" s="75" t="s">
        <v>46</v>
      </c>
      <c r="F148" s="75" t="s">
        <v>27</v>
      </c>
      <c r="G148" s="75" t="s">
        <v>18</v>
      </c>
      <c r="H148" s="76">
        <v>45068.0</v>
      </c>
      <c r="I148" s="75">
        <v>483.0</v>
      </c>
      <c r="J148" s="77">
        <v>481.86</v>
      </c>
      <c r="K148" s="77">
        <v>17.13</v>
      </c>
      <c r="L148" s="77">
        <v>232738.38</v>
      </c>
      <c r="M148" s="77">
        <v>8273.789999999999</v>
      </c>
      <c r="N148" s="77">
        <v>224464.59</v>
      </c>
      <c r="O148" s="78">
        <v>0.9644502552608641</v>
      </c>
    </row>
    <row r="149" ht="15.75" customHeight="1">
      <c r="B149" s="75" t="s">
        <v>175</v>
      </c>
      <c r="C149" s="75" t="s">
        <v>20</v>
      </c>
      <c r="D149" s="75" t="s">
        <v>54</v>
      </c>
      <c r="E149" s="75" t="s">
        <v>46</v>
      </c>
      <c r="F149" s="75" t="s">
        <v>27</v>
      </c>
      <c r="G149" s="75" t="s">
        <v>23</v>
      </c>
      <c r="H149" s="76">
        <v>45069.0</v>
      </c>
      <c r="I149" s="75">
        <v>129.0</v>
      </c>
      <c r="J149" s="77">
        <v>131.38</v>
      </c>
      <c r="K149" s="77">
        <v>298.99</v>
      </c>
      <c r="L149" s="77">
        <v>16948.02</v>
      </c>
      <c r="M149" s="77">
        <v>38569.71</v>
      </c>
      <c r="N149" s="77">
        <v>-21621.69</v>
      </c>
      <c r="O149" s="78">
        <v>-1.275764956614401</v>
      </c>
    </row>
    <row r="150" ht="15.75" customHeight="1">
      <c r="B150" s="75" t="s">
        <v>176</v>
      </c>
      <c r="C150" s="75" t="s">
        <v>20</v>
      </c>
      <c r="D150" s="75" t="s">
        <v>15</v>
      </c>
      <c r="E150" s="75" t="s">
        <v>16</v>
      </c>
      <c r="F150" s="75" t="s">
        <v>17</v>
      </c>
      <c r="G150" s="75" t="s">
        <v>31</v>
      </c>
      <c r="H150" s="76">
        <v>45070.0</v>
      </c>
      <c r="I150" s="75">
        <v>219.0</v>
      </c>
      <c r="J150" s="77">
        <v>332.51</v>
      </c>
      <c r="K150" s="77">
        <v>264.3</v>
      </c>
      <c r="L150" s="77">
        <v>72819.69</v>
      </c>
      <c r="M150" s="77">
        <v>57881.700000000004</v>
      </c>
      <c r="N150" s="77">
        <v>14937.989999999998</v>
      </c>
      <c r="O150" s="78">
        <v>0.20513668761841747</v>
      </c>
    </row>
    <row r="151" ht="15.75" customHeight="1">
      <c r="B151" s="75" t="s">
        <v>177</v>
      </c>
      <c r="C151" s="75" t="s">
        <v>20</v>
      </c>
      <c r="D151" s="75" t="s">
        <v>15</v>
      </c>
      <c r="E151" s="75" t="s">
        <v>16</v>
      </c>
      <c r="F151" s="75" t="s">
        <v>27</v>
      </c>
      <c r="G151" s="75" t="s">
        <v>31</v>
      </c>
      <c r="H151" s="76">
        <v>45071.0</v>
      </c>
      <c r="I151" s="75">
        <v>315.0</v>
      </c>
      <c r="J151" s="77">
        <v>489.42</v>
      </c>
      <c r="K151" s="77">
        <v>321.25</v>
      </c>
      <c r="L151" s="77">
        <v>154167.30000000002</v>
      </c>
      <c r="M151" s="77">
        <v>101193.75</v>
      </c>
      <c r="N151" s="77">
        <v>52973.55000000002</v>
      </c>
      <c r="O151" s="78">
        <v>0.3436108046258838</v>
      </c>
    </row>
    <row r="152" ht="15.75" customHeight="1">
      <c r="B152" s="75" t="s">
        <v>178</v>
      </c>
      <c r="C152" s="75" t="s">
        <v>14</v>
      </c>
      <c r="D152" s="75" t="s">
        <v>15</v>
      </c>
      <c r="E152" s="75" t="s">
        <v>30</v>
      </c>
      <c r="F152" s="75" t="s">
        <v>17</v>
      </c>
      <c r="G152" s="75" t="s">
        <v>31</v>
      </c>
      <c r="H152" s="76">
        <v>45072.0</v>
      </c>
      <c r="I152" s="75">
        <v>279.0</v>
      </c>
      <c r="J152" s="77">
        <v>190.28</v>
      </c>
      <c r="K152" s="77">
        <v>43.94</v>
      </c>
      <c r="L152" s="77">
        <v>53088.12</v>
      </c>
      <c r="M152" s="77">
        <v>12259.26</v>
      </c>
      <c r="N152" s="77">
        <v>40828.86</v>
      </c>
      <c r="O152" s="78">
        <v>0.7690771494639478</v>
      </c>
    </row>
    <row r="153" ht="15.75" customHeight="1">
      <c r="B153" s="75" t="s">
        <v>179</v>
      </c>
      <c r="C153" s="75" t="s">
        <v>14</v>
      </c>
      <c r="D153" s="75" t="s">
        <v>54</v>
      </c>
      <c r="E153" s="75" t="s">
        <v>26</v>
      </c>
      <c r="F153" s="75" t="s">
        <v>27</v>
      </c>
      <c r="G153" s="75" t="s">
        <v>23</v>
      </c>
      <c r="H153" s="76">
        <v>45073.0</v>
      </c>
      <c r="I153" s="75">
        <v>201.0</v>
      </c>
      <c r="J153" s="77">
        <v>13.67</v>
      </c>
      <c r="K153" s="77">
        <v>16.16</v>
      </c>
      <c r="L153" s="77">
        <v>2747.67</v>
      </c>
      <c r="M153" s="77">
        <v>3248.16</v>
      </c>
      <c r="N153" s="77">
        <v>-500.4899999999998</v>
      </c>
      <c r="O153" s="78">
        <v>-0.18215069495245054</v>
      </c>
    </row>
    <row r="154" ht="15.75" customHeight="1">
      <c r="B154" s="75" t="s">
        <v>180</v>
      </c>
      <c r="C154" s="75" t="s">
        <v>14</v>
      </c>
      <c r="D154" s="75" t="s">
        <v>15</v>
      </c>
      <c r="E154" s="75" t="s">
        <v>26</v>
      </c>
      <c r="F154" s="75" t="s">
        <v>17</v>
      </c>
      <c r="G154" s="75" t="s">
        <v>18</v>
      </c>
      <c r="H154" s="76">
        <v>45074.0</v>
      </c>
      <c r="I154" s="75">
        <v>184.0</v>
      </c>
      <c r="J154" s="77">
        <v>125.85</v>
      </c>
      <c r="K154" s="77">
        <v>204.41</v>
      </c>
      <c r="L154" s="77">
        <v>23156.399999999998</v>
      </c>
      <c r="M154" s="77">
        <v>37611.44</v>
      </c>
      <c r="N154" s="77">
        <v>-14455.040000000005</v>
      </c>
      <c r="O154" s="78">
        <v>-0.6242352006356776</v>
      </c>
    </row>
    <row r="155" ht="15.75" customHeight="1">
      <c r="B155" s="75" t="s">
        <v>181</v>
      </c>
      <c r="C155" s="75" t="s">
        <v>25</v>
      </c>
      <c r="D155" s="75" t="s">
        <v>54</v>
      </c>
      <c r="E155" s="75" t="s">
        <v>22</v>
      </c>
      <c r="F155" s="75" t="s">
        <v>27</v>
      </c>
      <c r="G155" s="75" t="s">
        <v>23</v>
      </c>
      <c r="H155" s="76">
        <v>45075.0</v>
      </c>
      <c r="I155" s="75">
        <v>294.0</v>
      </c>
      <c r="J155" s="77">
        <v>416.28</v>
      </c>
      <c r="K155" s="77">
        <v>156.26</v>
      </c>
      <c r="L155" s="77">
        <v>122386.31999999999</v>
      </c>
      <c r="M155" s="77">
        <v>45940.439999999995</v>
      </c>
      <c r="N155" s="77">
        <v>76445.88</v>
      </c>
      <c r="O155" s="78">
        <v>0.624627654463342</v>
      </c>
    </row>
    <row r="156" ht="15.75" customHeight="1">
      <c r="B156" s="75" t="s">
        <v>182</v>
      </c>
      <c r="C156" s="75" t="s">
        <v>20</v>
      </c>
      <c r="D156" s="75" t="s">
        <v>15</v>
      </c>
      <c r="E156" s="75" t="s">
        <v>30</v>
      </c>
      <c r="F156" s="75" t="s">
        <v>17</v>
      </c>
      <c r="G156" s="75" t="s">
        <v>23</v>
      </c>
      <c r="H156" s="76">
        <v>45076.0</v>
      </c>
      <c r="I156" s="75">
        <v>213.0</v>
      </c>
      <c r="J156" s="77">
        <v>432.98</v>
      </c>
      <c r="K156" s="77">
        <v>185.85</v>
      </c>
      <c r="L156" s="77">
        <v>92224.74</v>
      </c>
      <c r="M156" s="77">
        <v>39586.049999999996</v>
      </c>
      <c r="N156" s="77">
        <v>52638.69000000001</v>
      </c>
      <c r="O156" s="78">
        <v>0.5707653933207077</v>
      </c>
    </row>
    <row r="157" ht="15.75" customHeight="1">
      <c r="B157" s="75" t="s">
        <v>183</v>
      </c>
      <c r="C157" s="75" t="s">
        <v>14</v>
      </c>
      <c r="D157" s="75" t="s">
        <v>34</v>
      </c>
      <c r="E157" s="75" t="s">
        <v>30</v>
      </c>
      <c r="F157" s="75" t="s">
        <v>27</v>
      </c>
      <c r="G157" s="75" t="s">
        <v>18</v>
      </c>
      <c r="H157" s="76">
        <v>45077.0</v>
      </c>
      <c r="I157" s="75">
        <v>173.0</v>
      </c>
      <c r="J157" s="77">
        <v>385.42</v>
      </c>
      <c r="K157" s="77">
        <v>396.65</v>
      </c>
      <c r="L157" s="77">
        <v>66677.66</v>
      </c>
      <c r="M157" s="77">
        <v>68620.45</v>
      </c>
      <c r="N157" s="77">
        <v>-1942.7899999999936</v>
      </c>
      <c r="O157" s="78">
        <v>-0.02913704530122973</v>
      </c>
    </row>
    <row r="158" ht="15.75" customHeight="1">
      <c r="B158" s="75" t="s">
        <v>184</v>
      </c>
      <c r="C158" s="75" t="s">
        <v>14</v>
      </c>
      <c r="D158" s="75" t="s">
        <v>15</v>
      </c>
      <c r="E158" s="75" t="s">
        <v>30</v>
      </c>
      <c r="F158" s="75" t="s">
        <v>17</v>
      </c>
      <c r="G158" s="75" t="s">
        <v>18</v>
      </c>
      <c r="H158" s="76">
        <v>45078.0</v>
      </c>
      <c r="I158" s="75">
        <v>260.0</v>
      </c>
      <c r="J158" s="77">
        <v>60.99</v>
      </c>
      <c r="K158" s="77">
        <v>388.36</v>
      </c>
      <c r="L158" s="77">
        <v>15857.4</v>
      </c>
      <c r="M158" s="77">
        <v>100973.6</v>
      </c>
      <c r="N158" s="77">
        <v>-85116.20000000001</v>
      </c>
      <c r="O158" s="78">
        <v>-5.36760124610592</v>
      </c>
    </row>
    <row r="159" ht="15.75" customHeight="1">
      <c r="B159" s="75" t="s">
        <v>185</v>
      </c>
      <c r="C159" s="75" t="s">
        <v>25</v>
      </c>
      <c r="D159" s="75" t="s">
        <v>54</v>
      </c>
      <c r="E159" s="75" t="s">
        <v>30</v>
      </c>
      <c r="F159" s="75" t="s">
        <v>27</v>
      </c>
      <c r="G159" s="75" t="s">
        <v>18</v>
      </c>
      <c r="H159" s="76">
        <v>45079.0</v>
      </c>
      <c r="I159" s="75">
        <v>236.0</v>
      </c>
      <c r="J159" s="77">
        <v>398.78</v>
      </c>
      <c r="K159" s="77">
        <v>377.04</v>
      </c>
      <c r="L159" s="77">
        <v>94112.07999999999</v>
      </c>
      <c r="M159" s="77">
        <v>88981.44</v>
      </c>
      <c r="N159" s="77">
        <v>5130.639999999985</v>
      </c>
      <c r="O159" s="78">
        <v>0.05451627463764466</v>
      </c>
    </row>
    <row r="160" ht="15.75" customHeight="1">
      <c r="B160" s="75" t="s">
        <v>186</v>
      </c>
      <c r="C160" s="75" t="s">
        <v>14</v>
      </c>
      <c r="D160" s="75" t="s">
        <v>29</v>
      </c>
      <c r="E160" s="75" t="s">
        <v>26</v>
      </c>
      <c r="F160" s="75" t="s">
        <v>17</v>
      </c>
      <c r="G160" s="75" t="s">
        <v>31</v>
      </c>
      <c r="H160" s="76">
        <v>45080.0</v>
      </c>
      <c r="I160" s="75">
        <v>445.0</v>
      </c>
      <c r="J160" s="77">
        <v>459.75</v>
      </c>
      <c r="K160" s="77">
        <v>313.97</v>
      </c>
      <c r="L160" s="77">
        <v>204588.75</v>
      </c>
      <c r="M160" s="77">
        <v>139716.65000000002</v>
      </c>
      <c r="N160" s="77">
        <v>64872.09999999998</v>
      </c>
      <c r="O160" s="78">
        <v>0.3170853724850461</v>
      </c>
    </row>
    <row r="161" ht="15.75" customHeight="1">
      <c r="B161" s="75" t="s">
        <v>187</v>
      </c>
      <c r="C161" s="75" t="s">
        <v>25</v>
      </c>
      <c r="D161" s="75" t="s">
        <v>15</v>
      </c>
      <c r="E161" s="75" t="s">
        <v>26</v>
      </c>
      <c r="F161" s="75" t="s">
        <v>27</v>
      </c>
      <c r="G161" s="75" t="s">
        <v>18</v>
      </c>
      <c r="H161" s="76">
        <v>45081.0</v>
      </c>
      <c r="I161" s="75">
        <v>390.0</v>
      </c>
      <c r="J161" s="77">
        <v>302.3</v>
      </c>
      <c r="K161" s="77">
        <v>143.23</v>
      </c>
      <c r="L161" s="77">
        <v>117897.0</v>
      </c>
      <c r="M161" s="77">
        <v>55859.7</v>
      </c>
      <c r="N161" s="77">
        <v>62037.3</v>
      </c>
      <c r="O161" s="78">
        <v>0.5261991399272247</v>
      </c>
    </row>
    <row r="162" ht="15.75" customHeight="1">
      <c r="B162" s="75" t="s">
        <v>188</v>
      </c>
      <c r="C162" s="75" t="s">
        <v>52</v>
      </c>
      <c r="D162" s="75" t="s">
        <v>29</v>
      </c>
      <c r="E162" s="75" t="s">
        <v>30</v>
      </c>
      <c r="F162" s="75" t="s">
        <v>17</v>
      </c>
      <c r="G162" s="75" t="s">
        <v>23</v>
      </c>
      <c r="H162" s="76">
        <v>45082.0</v>
      </c>
      <c r="I162" s="75">
        <v>469.0</v>
      </c>
      <c r="J162" s="77">
        <v>470.73</v>
      </c>
      <c r="K162" s="77">
        <v>166.03</v>
      </c>
      <c r="L162" s="77">
        <v>220772.37</v>
      </c>
      <c r="M162" s="77">
        <v>77868.07</v>
      </c>
      <c r="N162" s="77">
        <v>142904.3</v>
      </c>
      <c r="O162" s="78">
        <v>0.647292503133431</v>
      </c>
    </row>
    <row r="163" ht="15.75" customHeight="1">
      <c r="B163" s="75" t="s">
        <v>189</v>
      </c>
      <c r="C163" s="75" t="s">
        <v>14</v>
      </c>
      <c r="D163" s="75" t="s">
        <v>34</v>
      </c>
      <c r="E163" s="75" t="s">
        <v>22</v>
      </c>
      <c r="F163" s="75" t="s">
        <v>17</v>
      </c>
      <c r="G163" s="75" t="s">
        <v>18</v>
      </c>
      <c r="H163" s="76">
        <v>45083.0</v>
      </c>
      <c r="I163" s="75">
        <v>16.0</v>
      </c>
      <c r="J163" s="77">
        <v>249.64520588235297</v>
      </c>
      <c r="K163" s="77">
        <v>220.75</v>
      </c>
      <c r="L163" s="77">
        <v>3994.3232941176475</v>
      </c>
      <c r="M163" s="77">
        <v>3532.0</v>
      </c>
      <c r="N163" s="77">
        <v>462.3232941176475</v>
      </c>
      <c r="O163" s="78">
        <v>0.11574508623237906</v>
      </c>
    </row>
    <row r="164" ht="15.75" customHeight="1">
      <c r="B164" s="75" t="s">
        <v>190</v>
      </c>
      <c r="C164" s="75" t="s">
        <v>52</v>
      </c>
      <c r="D164" s="75" t="s">
        <v>21</v>
      </c>
      <c r="E164" s="75" t="s">
        <v>46</v>
      </c>
      <c r="F164" s="75" t="s">
        <v>27</v>
      </c>
      <c r="G164" s="75" t="s">
        <v>23</v>
      </c>
      <c r="H164" s="76">
        <v>45084.0</v>
      </c>
      <c r="I164" s="75">
        <v>38.0</v>
      </c>
      <c r="J164" s="77">
        <v>335.15</v>
      </c>
      <c r="K164" s="77">
        <v>332.55</v>
      </c>
      <c r="L164" s="77">
        <v>12735.699999999999</v>
      </c>
      <c r="M164" s="77">
        <v>12636.9</v>
      </c>
      <c r="N164" s="77">
        <v>98.79999999999927</v>
      </c>
      <c r="O164" s="78">
        <v>0.007757720423690828</v>
      </c>
    </row>
    <row r="165" ht="15.75" customHeight="1">
      <c r="B165" s="75" t="s">
        <v>191</v>
      </c>
      <c r="C165" s="75" t="s">
        <v>25</v>
      </c>
      <c r="D165" s="75" t="s">
        <v>34</v>
      </c>
      <c r="E165" s="75" t="s">
        <v>39</v>
      </c>
      <c r="F165" s="75" t="s">
        <v>27</v>
      </c>
      <c r="G165" s="75" t="s">
        <v>31</v>
      </c>
      <c r="H165" s="76">
        <v>45085.0</v>
      </c>
      <c r="I165" s="75">
        <v>404.0</v>
      </c>
      <c r="J165" s="77">
        <v>290.71</v>
      </c>
      <c r="K165" s="77">
        <v>29.35</v>
      </c>
      <c r="L165" s="77">
        <v>117446.84</v>
      </c>
      <c r="M165" s="77">
        <v>11857.400000000001</v>
      </c>
      <c r="N165" s="77">
        <v>105589.44</v>
      </c>
      <c r="O165" s="78">
        <v>0.8990402806920987</v>
      </c>
    </row>
    <row r="166" ht="15.75" customHeight="1">
      <c r="B166" s="75" t="s">
        <v>192</v>
      </c>
      <c r="C166" s="75" t="s">
        <v>20</v>
      </c>
      <c r="D166" s="75" t="s">
        <v>15</v>
      </c>
      <c r="E166" s="75" t="s">
        <v>22</v>
      </c>
      <c r="F166" s="75" t="s">
        <v>17</v>
      </c>
      <c r="G166" s="75" t="s">
        <v>23</v>
      </c>
      <c r="H166" s="76">
        <v>45086.0</v>
      </c>
      <c r="I166" s="75">
        <v>42.0</v>
      </c>
      <c r="J166" s="77">
        <v>177.54</v>
      </c>
      <c r="K166" s="77">
        <v>170.87</v>
      </c>
      <c r="L166" s="77">
        <v>7456.679999999999</v>
      </c>
      <c r="M166" s="77">
        <v>7176.54</v>
      </c>
      <c r="N166" s="77">
        <v>280.1399999999994</v>
      </c>
      <c r="O166" s="78">
        <v>0.037568998535541215</v>
      </c>
    </row>
    <row r="167" ht="15.75" customHeight="1">
      <c r="B167" s="75" t="s">
        <v>193</v>
      </c>
      <c r="C167" s="75" t="s">
        <v>14</v>
      </c>
      <c r="D167" s="75" t="s">
        <v>29</v>
      </c>
      <c r="E167" s="75" t="s">
        <v>30</v>
      </c>
      <c r="F167" s="75" t="s">
        <v>27</v>
      </c>
      <c r="G167" s="75" t="s">
        <v>23</v>
      </c>
      <c r="H167" s="76">
        <v>45087.0</v>
      </c>
      <c r="I167" s="75">
        <v>143.0</v>
      </c>
      <c r="J167" s="77">
        <v>83.85</v>
      </c>
      <c r="K167" s="77">
        <v>34.88</v>
      </c>
      <c r="L167" s="77">
        <v>11990.55</v>
      </c>
      <c r="M167" s="77">
        <v>4987.84</v>
      </c>
      <c r="N167" s="77">
        <v>7002.709999999999</v>
      </c>
      <c r="O167" s="78">
        <v>0.5840190816935003</v>
      </c>
    </row>
    <row r="168" ht="15.75" customHeight="1">
      <c r="B168" s="75" t="s">
        <v>194</v>
      </c>
      <c r="C168" s="75" t="s">
        <v>25</v>
      </c>
      <c r="D168" s="75" t="s">
        <v>29</v>
      </c>
      <c r="E168" s="75" t="s">
        <v>26</v>
      </c>
      <c r="F168" s="75" t="s">
        <v>17</v>
      </c>
      <c r="G168" s="75" t="s">
        <v>18</v>
      </c>
      <c r="H168" s="76">
        <v>45088.0</v>
      </c>
      <c r="I168" s="75">
        <v>376.0</v>
      </c>
      <c r="J168" s="77">
        <v>304.45</v>
      </c>
      <c r="K168" s="77">
        <v>206.83</v>
      </c>
      <c r="L168" s="77">
        <v>114473.2</v>
      </c>
      <c r="M168" s="77">
        <v>77768.08</v>
      </c>
      <c r="N168" s="77">
        <v>36705.119999999995</v>
      </c>
      <c r="O168" s="78">
        <v>0.32064378387255704</v>
      </c>
    </row>
    <row r="169" ht="15.75" customHeight="1">
      <c r="B169" s="75" t="s">
        <v>195</v>
      </c>
      <c r="C169" s="75" t="s">
        <v>20</v>
      </c>
      <c r="D169" s="75" t="s">
        <v>54</v>
      </c>
      <c r="E169" s="75" t="s">
        <v>46</v>
      </c>
      <c r="F169" s="75" t="s">
        <v>17</v>
      </c>
      <c r="G169" s="75" t="s">
        <v>18</v>
      </c>
      <c r="H169" s="76">
        <v>45089.0</v>
      </c>
      <c r="I169" s="75">
        <v>88.0</v>
      </c>
      <c r="J169" s="77">
        <v>162.47</v>
      </c>
      <c r="K169" s="77">
        <v>359.76</v>
      </c>
      <c r="L169" s="77">
        <v>14297.36</v>
      </c>
      <c r="M169" s="77">
        <v>31658.879999999997</v>
      </c>
      <c r="N169" s="77">
        <v>-17361.519999999997</v>
      </c>
      <c r="O169" s="78">
        <v>-1.2143164891980056</v>
      </c>
    </row>
    <row r="170" ht="15.75" customHeight="1">
      <c r="B170" s="75" t="s">
        <v>196</v>
      </c>
      <c r="C170" s="75" t="s">
        <v>20</v>
      </c>
      <c r="D170" s="75" t="s">
        <v>29</v>
      </c>
      <c r="E170" s="75" t="s">
        <v>16</v>
      </c>
      <c r="F170" s="75" t="s">
        <v>17</v>
      </c>
      <c r="G170" s="75" t="s">
        <v>23</v>
      </c>
      <c r="H170" s="76">
        <v>45090.0</v>
      </c>
      <c r="I170" s="75">
        <v>425.0</v>
      </c>
      <c r="J170" s="77">
        <v>433.89</v>
      </c>
      <c r="K170" s="77">
        <v>313.43</v>
      </c>
      <c r="L170" s="77">
        <v>184403.25</v>
      </c>
      <c r="M170" s="77">
        <v>133207.75</v>
      </c>
      <c r="N170" s="77">
        <v>51195.5</v>
      </c>
      <c r="O170" s="78">
        <v>0.27762797022286756</v>
      </c>
    </row>
    <row r="171" ht="15.75" customHeight="1">
      <c r="B171" s="75" t="s">
        <v>197</v>
      </c>
      <c r="C171" s="75" t="s">
        <v>52</v>
      </c>
      <c r="D171" s="75" t="s">
        <v>54</v>
      </c>
      <c r="E171" s="75" t="s">
        <v>16</v>
      </c>
      <c r="F171" s="75" t="s">
        <v>27</v>
      </c>
      <c r="G171" s="75" t="s">
        <v>18</v>
      </c>
      <c r="H171" s="76">
        <v>45091.0</v>
      </c>
      <c r="I171" s="75">
        <v>444.0</v>
      </c>
      <c r="J171" s="77">
        <v>496.7</v>
      </c>
      <c r="K171" s="77">
        <v>92.68</v>
      </c>
      <c r="L171" s="77">
        <v>220534.8</v>
      </c>
      <c r="M171" s="77">
        <v>41149.920000000006</v>
      </c>
      <c r="N171" s="77">
        <v>179384.87999999998</v>
      </c>
      <c r="O171" s="78">
        <v>0.8134084960740889</v>
      </c>
    </row>
    <row r="172" ht="15.75" customHeight="1">
      <c r="B172" s="75" t="s">
        <v>198</v>
      </c>
      <c r="C172" s="75" t="s">
        <v>25</v>
      </c>
      <c r="D172" s="75" t="s">
        <v>21</v>
      </c>
      <c r="E172" s="75" t="s">
        <v>22</v>
      </c>
      <c r="F172" s="75" t="s">
        <v>17</v>
      </c>
      <c r="G172" s="75" t="s">
        <v>31</v>
      </c>
      <c r="H172" s="76">
        <v>45092.0</v>
      </c>
      <c r="I172" s="75">
        <v>468.0</v>
      </c>
      <c r="J172" s="77">
        <v>377.45</v>
      </c>
      <c r="K172" s="77">
        <v>390.44</v>
      </c>
      <c r="L172" s="77">
        <v>176646.6</v>
      </c>
      <c r="M172" s="77">
        <v>182725.92</v>
      </c>
      <c r="N172" s="77">
        <v>-6079.320000000007</v>
      </c>
      <c r="O172" s="78">
        <v>-0.034415154325076205</v>
      </c>
    </row>
    <row r="173" ht="15.75" customHeight="1">
      <c r="B173" s="75" t="s">
        <v>199</v>
      </c>
      <c r="C173" s="75" t="s">
        <v>20</v>
      </c>
      <c r="D173" s="75" t="s">
        <v>15</v>
      </c>
      <c r="E173" s="75" t="s">
        <v>30</v>
      </c>
      <c r="F173" s="75" t="s">
        <v>17</v>
      </c>
      <c r="G173" s="75" t="s">
        <v>31</v>
      </c>
      <c r="H173" s="76">
        <v>45093.0</v>
      </c>
      <c r="I173" s="75">
        <v>67.0</v>
      </c>
      <c r="J173" s="77">
        <v>49.79</v>
      </c>
      <c r="K173" s="77">
        <v>267.61</v>
      </c>
      <c r="L173" s="77">
        <v>3335.93</v>
      </c>
      <c r="M173" s="77">
        <v>17929.870000000003</v>
      </c>
      <c r="N173" s="77">
        <v>-14593.940000000002</v>
      </c>
      <c r="O173" s="78">
        <v>-4.374774051014261</v>
      </c>
    </row>
    <row r="174" ht="15.75" customHeight="1">
      <c r="B174" s="75" t="s">
        <v>200</v>
      </c>
      <c r="C174" s="75" t="s">
        <v>14</v>
      </c>
      <c r="D174" s="75" t="s">
        <v>54</v>
      </c>
      <c r="E174" s="75" t="s">
        <v>46</v>
      </c>
      <c r="F174" s="75" t="s">
        <v>27</v>
      </c>
      <c r="G174" s="75" t="s">
        <v>18</v>
      </c>
      <c r="H174" s="76">
        <v>45094.0</v>
      </c>
      <c r="I174" s="75">
        <v>480.0</v>
      </c>
      <c r="J174" s="77">
        <v>147.9</v>
      </c>
      <c r="K174" s="77">
        <v>6.15</v>
      </c>
      <c r="L174" s="77">
        <v>70992.0</v>
      </c>
      <c r="M174" s="77">
        <v>2952.0</v>
      </c>
      <c r="N174" s="77">
        <v>68040.0</v>
      </c>
      <c r="O174" s="78">
        <v>0.9584178498985801</v>
      </c>
    </row>
    <row r="175" ht="15.75" customHeight="1">
      <c r="B175" s="75" t="s">
        <v>201</v>
      </c>
      <c r="C175" s="75" t="s">
        <v>14</v>
      </c>
      <c r="D175" s="75" t="s">
        <v>21</v>
      </c>
      <c r="E175" s="75" t="s">
        <v>30</v>
      </c>
      <c r="F175" s="75" t="s">
        <v>27</v>
      </c>
      <c r="G175" s="75" t="s">
        <v>31</v>
      </c>
      <c r="H175" s="76">
        <v>45095.0</v>
      </c>
      <c r="I175" s="75">
        <v>35.0</v>
      </c>
      <c r="J175" s="77">
        <v>59.01</v>
      </c>
      <c r="K175" s="77">
        <v>103.65</v>
      </c>
      <c r="L175" s="77">
        <v>2065.35</v>
      </c>
      <c r="M175" s="77">
        <v>3627.75</v>
      </c>
      <c r="N175" s="77">
        <v>-1562.4</v>
      </c>
      <c r="O175" s="78">
        <v>-0.7564819522114896</v>
      </c>
    </row>
    <row r="176" ht="15.75" customHeight="1">
      <c r="B176" s="75" t="s">
        <v>202</v>
      </c>
      <c r="C176" s="75" t="s">
        <v>52</v>
      </c>
      <c r="D176" s="75" t="s">
        <v>29</v>
      </c>
      <c r="E176" s="75" t="s">
        <v>46</v>
      </c>
      <c r="F176" s="75" t="s">
        <v>27</v>
      </c>
      <c r="G176" s="75" t="s">
        <v>18</v>
      </c>
      <c r="H176" s="76">
        <v>45096.0</v>
      </c>
      <c r="I176" s="75">
        <v>491.0</v>
      </c>
      <c r="J176" s="77">
        <v>327.0</v>
      </c>
      <c r="K176" s="77">
        <v>105.76</v>
      </c>
      <c r="L176" s="77">
        <v>160557.0</v>
      </c>
      <c r="M176" s="77">
        <v>51928.16</v>
      </c>
      <c r="N176" s="77">
        <v>108628.84</v>
      </c>
      <c r="O176" s="78">
        <v>0.6765749235474006</v>
      </c>
    </row>
    <row r="177" ht="15.75" customHeight="1">
      <c r="B177" s="75" t="s">
        <v>203</v>
      </c>
      <c r="C177" s="75" t="s">
        <v>20</v>
      </c>
      <c r="D177" s="75" t="s">
        <v>29</v>
      </c>
      <c r="E177" s="75" t="s">
        <v>22</v>
      </c>
      <c r="F177" s="75" t="s">
        <v>27</v>
      </c>
      <c r="G177" s="75" t="s">
        <v>23</v>
      </c>
      <c r="H177" s="76">
        <v>45097.0</v>
      </c>
      <c r="I177" s="75">
        <v>439.0</v>
      </c>
      <c r="J177" s="77">
        <v>383.77</v>
      </c>
      <c r="K177" s="77">
        <v>29.56</v>
      </c>
      <c r="L177" s="77">
        <v>168475.03</v>
      </c>
      <c r="M177" s="77">
        <v>12976.84</v>
      </c>
      <c r="N177" s="77">
        <v>155498.19</v>
      </c>
      <c r="O177" s="78">
        <v>0.9229746983870548</v>
      </c>
    </row>
    <row r="178" ht="15.75" customHeight="1">
      <c r="B178" s="75" t="s">
        <v>204</v>
      </c>
      <c r="C178" s="75" t="s">
        <v>25</v>
      </c>
      <c r="D178" s="75" t="s">
        <v>21</v>
      </c>
      <c r="E178" s="75" t="s">
        <v>22</v>
      </c>
      <c r="F178" s="75" t="s">
        <v>17</v>
      </c>
      <c r="G178" s="75" t="s">
        <v>23</v>
      </c>
      <c r="H178" s="76">
        <v>45098.0</v>
      </c>
      <c r="I178" s="75">
        <v>235.0</v>
      </c>
      <c r="J178" s="77">
        <v>463.21</v>
      </c>
      <c r="K178" s="77">
        <v>384.01</v>
      </c>
      <c r="L178" s="77">
        <v>108854.34999999999</v>
      </c>
      <c r="M178" s="77">
        <v>90242.34999999999</v>
      </c>
      <c r="N178" s="77">
        <v>18612.0</v>
      </c>
      <c r="O178" s="78">
        <v>0.17098076466397533</v>
      </c>
    </row>
    <row r="179" ht="15.75" customHeight="1">
      <c r="B179" s="75" t="s">
        <v>205</v>
      </c>
      <c r="C179" s="75" t="s">
        <v>14</v>
      </c>
      <c r="D179" s="75" t="s">
        <v>29</v>
      </c>
      <c r="E179" s="75" t="s">
        <v>16</v>
      </c>
      <c r="F179" s="75" t="s">
        <v>17</v>
      </c>
      <c r="G179" s="75" t="s">
        <v>31</v>
      </c>
      <c r="H179" s="76">
        <v>45099.0</v>
      </c>
      <c r="I179" s="75">
        <v>294.0</v>
      </c>
      <c r="J179" s="77">
        <v>221.9</v>
      </c>
      <c r="K179" s="77">
        <v>192.35</v>
      </c>
      <c r="L179" s="77">
        <v>65238.6</v>
      </c>
      <c r="M179" s="77">
        <v>56550.9</v>
      </c>
      <c r="N179" s="77">
        <v>8687.699999999997</v>
      </c>
      <c r="O179" s="78">
        <v>0.13316809373591704</v>
      </c>
    </row>
    <row r="180" ht="15.75" customHeight="1">
      <c r="B180" s="75" t="s">
        <v>206</v>
      </c>
      <c r="C180" s="75" t="s">
        <v>20</v>
      </c>
      <c r="D180" s="75" t="s">
        <v>21</v>
      </c>
      <c r="E180" s="75" t="s">
        <v>30</v>
      </c>
      <c r="F180" s="75" t="s">
        <v>17</v>
      </c>
      <c r="G180" s="75" t="s">
        <v>18</v>
      </c>
      <c r="H180" s="76">
        <v>45100.0</v>
      </c>
      <c r="I180" s="75">
        <v>13.0</v>
      </c>
      <c r="J180" s="77">
        <v>451.18</v>
      </c>
      <c r="K180" s="77">
        <v>358.53</v>
      </c>
      <c r="L180" s="77">
        <v>5865.34</v>
      </c>
      <c r="M180" s="77">
        <v>4660.889999999999</v>
      </c>
      <c r="N180" s="77">
        <v>1204.4500000000007</v>
      </c>
      <c r="O180" s="78">
        <v>0.20535041446872657</v>
      </c>
    </row>
    <row r="181" ht="15.75" customHeight="1">
      <c r="B181" s="75" t="s">
        <v>207</v>
      </c>
      <c r="C181" s="75" t="s">
        <v>20</v>
      </c>
      <c r="D181" s="75" t="s">
        <v>54</v>
      </c>
      <c r="E181" s="75" t="s">
        <v>16</v>
      </c>
      <c r="F181" s="75" t="s">
        <v>17</v>
      </c>
      <c r="G181" s="75" t="s">
        <v>18</v>
      </c>
      <c r="H181" s="76">
        <v>45101.0</v>
      </c>
      <c r="I181" s="75">
        <v>474.0</v>
      </c>
      <c r="J181" s="77">
        <v>439.56</v>
      </c>
      <c r="K181" s="77">
        <v>130.24</v>
      </c>
      <c r="L181" s="77">
        <v>208351.44</v>
      </c>
      <c r="M181" s="77">
        <v>61733.76</v>
      </c>
      <c r="N181" s="77">
        <v>146617.68</v>
      </c>
      <c r="O181" s="78">
        <v>0.7037037037037036</v>
      </c>
    </row>
    <row r="182" ht="15.75" customHeight="1">
      <c r="B182" s="75" t="s">
        <v>208</v>
      </c>
      <c r="C182" s="75" t="s">
        <v>52</v>
      </c>
      <c r="D182" s="75" t="s">
        <v>54</v>
      </c>
      <c r="E182" s="75" t="s">
        <v>30</v>
      </c>
      <c r="F182" s="75" t="s">
        <v>27</v>
      </c>
      <c r="G182" s="75" t="s">
        <v>31</v>
      </c>
      <c r="H182" s="76">
        <v>45102.0</v>
      </c>
      <c r="I182" s="75">
        <v>108.0</v>
      </c>
      <c r="J182" s="77">
        <v>162.01</v>
      </c>
      <c r="K182" s="77">
        <v>51.84</v>
      </c>
      <c r="L182" s="77">
        <v>17497.079999999998</v>
      </c>
      <c r="M182" s="77">
        <v>5598.72</v>
      </c>
      <c r="N182" s="77">
        <v>11898.359999999997</v>
      </c>
      <c r="O182" s="78">
        <v>0.6800197518671686</v>
      </c>
    </row>
    <row r="183" ht="15.75" customHeight="1">
      <c r="B183" s="75" t="s">
        <v>209</v>
      </c>
      <c r="C183" s="75" t="s">
        <v>14</v>
      </c>
      <c r="D183" s="75" t="s">
        <v>21</v>
      </c>
      <c r="E183" s="75" t="s">
        <v>16</v>
      </c>
      <c r="F183" s="75" t="s">
        <v>17</v>
      </c>
      <c r="G183" s="75" t="s">
        <v>23</v>
      </c>
      <c r="H183" s="76">
        <v>45103.0</v>
      </c>
      <c r="I183" s="75">
        <v>406.0</v>
      </c>
      <c r="J183" s="77">
        <v>435.11</v>
      </c>
      <c r="K183" s="77">
        <v>190.79</v>
      </c>
      <c r="L183" s="77">
        <v>176654.66</v>
      </c>
      <c r="M183" s="77">
        <v>77460.73999999999</v>
      </c>
      <c r="N183" s="77">
        <v>99193.92000000001</v>
      </c>
      <c r="O183" s="78">
        <v>0.5615131805750271</v>
      </c>
    </row>
    <row r="184" ht="15.75" customHeight="1">
      <c r="B184" s="75" t="s">
        <v>210</v>
      </c>
      <c r="C184" s="75" t="s">
        <v>14</v>
      </c>
      <c r="D184" s="75" t="s">
        <v>54</v>
      </c>
      <c r="E184" s="75" t="s">
        <v>26</v>
      </c>
      <c r="F184" s="75" t="s">
        <v>17</v>
      </c>
      <c r="G184" s="75" t="s">
        <v>31</v>
      </c>
      <c r="H184" s="76">
        <v>45104.0</v>
      </c>
      <c r="I184" s="75">
        <v>498.0</v>
      </c>
      <c r="J184" s="77">
        <v>190.96</v>
      </c>
      <c r="K184" s="77">
        <v>47.35</v>
      </c>
      <c r="L184" s="77">
        <v>95098.08</v>
      </c>
      <c r="M184" s="77">
        <v>23580.3</v>
      </c>
      <c r="N184" s="77">
        <v>71517.78</v>
      </c>
      <c r="O184" s="78">
        <v>0.7520423125261835</v>
      </c>
    </row>
    <row r="185" ht="15.75" customHeight="1">
      <c r="B185" s="75" t="s">
        <v>211</v>
      </c>
      <c r="C185" s="75" t="s">
        <v>25</v>
      </c>
      <c r="D185" s="75" t="s">
        <v>54</v>
      </c>
      <c r="E185" s="75" t="s">
        <v>26</v>
      </c>
      <c r="F185" s="75" t="s">
        <v>27</v>
      </c>
      <c r="G185" s="75" t="s">
        <v>23</v>
      </c>
      <c r="H185" s="76">
        <v>45105.0</v>
      </c>
      <c r="I185" s="75">
        <v>48.0</v>
      </c>
      <c r="J185" s="77">
        <v>151.95</v>
      </c>
      <c r="K185" s="77">
        <v>195.43</v>
      </c>
      <c r="L185" s="77">
        <v>7293.599999999999</v>
      </c>
      <c r="M185" s="77">
        <v>9380.64</v>
      </c>
      <c r="N185" s="77">
        <v>-2087.04</v>
      </c>
      <c r="O185" s="78">
        <v>-0.2861467588022376</v>
      </c>
    </row>
    <row r="186" ht="15.75" customHeight="1">
      <c r="B186" s="75" t="s">
        <v>212</v>
      </c>
      <c r="C186" s="75" t="s">
        <v>14</v>
      </c>
      <c r="D186" s="75" t="s">
        <v>54</v>
      </c>
      <c r="E186" s="75" t="s">
        <v>26</v>
      </c>
      <c r="F186" s="75" t="s">
        <v>17</v>
      </c>
      <c r="G186" s="75" t="s">
        <v>18</v>
      </c>
      <c r="H186" s="76">
        <v>45106.0</v>
      </c>
      <c r="I186" s="75">
        <v>280.0</v>
      </c>
      <c r="J186" s="77">
        <v>326.29</v>
      </c>
      <c r="K186" s="77">
        <v>368.28</v>
      </c>
      <c r="L186" s="77">
        <v>91361.20000000001</v>
      </c>
      <c r="M186" s="77">
        <v>103118.4</v>
      </c>
      <c r="N186" s="77">
        <v>-11757.199999999983</v>
      </c>
      <c r="O186" s="78">
        <v>-0.12868920285635457</v>
      </c>
    </row>
    <row r="187" ht="15.75" customHeight="1">
      <c r="B187" s="75" t="s">
        <v>213</v>
      </c>
      <c r="C187" s="75" t="s">
        <v>25</v>
      </c>
      <c r="D187" s="75" t="s">
        <v>34</v>
      </c>
      <c r="E187" s="75" t="s">
        <v>26</v>
      </c>
      <c r="F187" s="75" t="s">
        <v>17</v>
      </c>
      <c r="G187" s="75" t="s">
        <v>23</v>
      </c>
      <c r="H187" s="76">
        <v>45107.0</v>
      </c>
      <c r="I187" s="75">
        <v>384.0</v>
      </c>
      <c r="J187" s="77">
        <v>167.55</v>
      </c>
      <c r="K187" s="77">
        <v>209.27</v>
      </c>
      <c r="L187" s="77">
        <v>64339.200000000004</v>
      </c>
      <c r="M187" s="77">
        <v>80359.68000000001</v>
      </c>
      <c r="N187" s="77">
        <v>-16020.480000000003</v>
      </c>
      <c r="O187" s="78">
        <v>-0.24900029841838262</v>
      </c>
    </row>
    <row r="188" ht="15.75" customHeight="1">
      <c r="B188" s="75" t="s">
        <v>214</v>
      </c>
      <c r="C188" s="75" t="s">
        <v>14</v>
      </c>
      <c r="D188" s="75" t="s">
        <v>15</v>
      </c>
      <c r="E188" s="75" t="s">
        <v>46</v>
      </c>
      <c r="F188" s="75" t="s">
        <v>17</v>
      </c>
      <c r="G188" s="75" t="s">
        <v>31</v>
      </c>
      <c r="H188" s="76">
        <v>45108.0</v>
      </c>
      <c r="I188" s="75">
        <v>294.0</v>
      </c>
      <c r="J188" s="77">
        <v>316.95</v>
      </c>
      <c r="K188" s="77">
        <v>247.37</v>
      </c>
      <c r="L188" s="77">
        <v>93183.3</v>
      </c>
      <c r="M188" s="77">
        <v>72726.78</v>
      </c>
      <c r="N188" s="77">
        <v>20456.520000000004</v>
      </c>
      <c r="O188" s="78">
        <v>0.21952989430509548</v>
      </c>
    </row>
    <row r="189" ht="15.75" customHeight="1">
      <c r="B189" s="75" t="s">
        <v>215</v>
      </c>
      <c r="C189" s="75" t="s">
        <v>52</v>
      </c>
      <c r="D189" s="75" t="s">
        <v>29</v>
      </c>
      <c r="E189" s="75" t="s">
        <v>26</v>
      </c>
      <c r="F189" s="75" t="s">
        <v>17</v>
      </c>
      <c r="G189" s="75" t="s">
        <v>18</v>
      </c>
      <c r="H189" s="76">
        <v>45109.0</v>
      </c>
      <c r="I189" s="75">
        <v>166.0</v>
      </c>
      <c r="J189" s="77">
        <v>306.87</v>
      </c>
      <c r="K189" s="77">
        <v>64.34</v>
      </c>
      <c r="L189" s="77">
        <v>50940.42</v>
      </c>
      <c r="M189" s="77">
        <v>10680.44</v>
      </c>
      <c r="N189" s="77">
        <v>40259.979999999996</v>
      </c>
      <c r="O189" s="78">
        <v>0.7903346694039821</v>
      </c>
    </row>
    <row r="190" ht="15.75" customHeight="1">
      <c r="B190" s="75" t="s">
        <v>216</v>
      </c>
      <c r="C190" s="75" t="s">
        <v>14</v>
      </c>
      <c r="D190" s="75" t="s">
        <v>34</v>
      </c>
      <c r="E190" s="75" t="s">
        <v>22</v>
      </c>
      <c r="F190" s="75" t="s">
        <v>17</v>
      </c>
      <c r="G190" s="75" t="s">
        <v>31</v>
      </c>
      <c r="H190" s="76">
        <v>45110.0</v>
      </c>
      <c r="I190" s="75">
        <v>84.0</v>
      </c>
      <c r="J190" s="77">
        <v>283.9</v>
      </c>
      <c r="K190" s="77">
        <v>19.41</v>
      </c>
      <c r="L190" s="77">
        <v>23847.6</v>
      </c>
      <c r="M190" s="77">
        <v>1630.44</v>
      </c>
      <c r="N190" s="77">
        <v>22217.16</v>
      </c>
      <c r="O190" s="78">
        <v>0.9316308559351885</v>
      </c>
    </row>
    <row r="191" ht="15.75" customHeight="1">
      <c r="B191" s="75" t="s">
        <v>217</v>
      </c>
      <c r="C191" s="75" t="s">
        <v>25</v>
      </c>
      <c r="D191" s="75" t="s">
        <v>54</v>
      </c>
      <c r="E191" s="75" t="s">
        <v>22</v>
      </c>
      <c r="F191" s="75" t="s">
        <v>17</v>
      </c>
      <c r="G191" s="75" t="s">
        <v>31</v>
      </c>
      <c r="H191" s="76">
        <v>45111.0</v>
      </c>
      <c r="I191" s="75">
        <v>381.0</v>
      </c>
      <c r="J191" s="77">
        <v>193.31</v>
      </c>
      <c r="K191" s="77">
        <v>46.1</v>
      </c>
      <c r="L191" s="77">
        <v>73651.11</v>
      </c>
      <c r="M191" s="77">
        <v>17564.100000000002</v>
      </c>
      <c r="N191" s="77">
        <v>56087.009999999995</v>
      </c>
      <c r="O191" s="78">
        <v>0.7615229424240856</v>
      </c>
    </row>
    <row r="192" ht="15.75" customHeight="1">
      <c r="B192" s="75" t="s">
        <v>218</v>
      </c>
      <c r="C192" s="75" t="s">
        <v>25</v>
      </c>
      <c r="D192" s="75" t="s">
        <v>21</v>
      </c>
      <c r="E192" s="75" t="s">
        <v>46</v>
      </c>
      <c r="F192" s="75" t="s">
        <v>27</v>
      </c>
      <c r="G192" s="75" t="s">
        <v>23</v>
      </c>
      <c r="H192" s="76">
        <v>45112.0</v>
      </c>
      <c r="I192" s="75">
        <v>297.0</v>
      </c>
      <c r="J192" s="77">
        <v>276.51</v>
      </c>
      <c r="K192" s="77">
        <v>240.22</v>
      </c>
      <c r="L192" s="77">
        <v>82123.47</v>
      </c>
      <c r="M192" s="77">
        <v>71345.34</v>
      </c>
      <c r="N192" s="77">
        <v>10778.130000000005</v>
      </c>
      <c r="O192" s="78">
        <v>0.131242993020144</v>
      </c>
    </row>
    <row r="193" ht="15.75" customHeight="1">
      <c r="B193" s="75" t="s">
        <v>219</v>
      </c>
      <c r="C193" s="75" t="s">
        <v>52</v>
      </c>
      <c r="D193" s="75" t="s">
        <v>54</v>
      </c>
      <c r="E193" s="75" t="s">
        <v>26</v>
      </c>
      <c r="F193" s="75" t="s">
        <v>27</v>
      </c>
      <c r="G193" s="75" t="s">
        <v>31</v>
      </c>
      <c r="H193" s="76">
        <v>45113.0</v>
      </c>
      <c r="I193" s="75">
        <v>139.0</v>
      </c>
      <c r="J193" s="77">
        <v>300.26</v>
      </c>
      <c r="K193" s="77">
        <v>39.81</v>
      </c>
      <c r="L193" s="77">
        <v>41736.14</v>
      </c>
      <c r="M193" s="77">
        <v>5533.59</v>
      </c>
      <c r="N193" s="77">
        <v>36202.55</v>
      </c>
      <c r="O193" s="78">
        <v>0.8674149070805303</v>
      </c>
    </row>
    <row r="194" ht="15.75" customHeight="1">
      <c r="B194" s="75" t="s">
        <v>220</v>
      </c>
      <c r="C194" s="75" t="s">
        <v>14</v>
      </c>
      <c r="D194" s="75" t="s">
        <v>15</v>
      </c>
      <c r="E194" s="75" t="s">
        <v>26</v>
      </c>
      <c r="F194" s="75" t="s">
        <v>17</v>
      </c>
      <c r="G194" s="75" t="s">
        <v>23</v>
      </c>
      <c r="H194" s="76">
        <v>45114.0</v>
      </c>
      <c r="I194" s="75">
        <v>184.0</v>
      </c>
      <c r="J194" s="77">
        <v>275.12</v>
      </c>
      <c r="K194" s="77">
        <v>151.65</v>
      </c>
      <c r="L194" s="77">
        <v>50622.08</v>
      </c>
      <c r="M194" s="77">
        <v>27903.600000000002</v>
      </c>
      <c r="N194" s="77">
        <v>22718.48</v>
      </c>
      <c r="O194" s="78">
        <v>0.44878598429776095</v>
      </c>
    </row>
    <row r="195" ht="15.75" customHeight="1">
      <c r="B195" s="75" t="s">
        <v>221</v>
      </c>
      <c r="C195" s="75" t="s">
        <v>14</v>
      </c>
      <c r="D195" s="75" t="s">
        <v>54</v>
      </c>
      <c r="E195" s="75" t="s">
        <v>26</v>
      </c>
      <c r="F195" s="75" t="s">
        <v>17</v>
      </c>
      <c r="G195" s="75" t="s">
        <v>18</v>
      </c>
      <c r="H195" s="76">
        <v>45115.0</v>
      </c>
      <c r="I195" s="75">
        <v>471.0</v>
      </c>
      <c r="J195" s="77">
        <v>224.99</v>
      </c>
      <c r="K195" s="77">
        <v>220.94</v>
      </c>
      <c r="L195" s="77">
        <v>105970.29000000001</v>
      </c>
      <c r="M195" s="77">
        <v>104062.74</v>
      </c>
      <c r="N195" s="77">
        <v>1907.550000000003</v>
      </c>
      <c r="O195" s="78">
        <v>0.018000800035557162</v>
      </c>
    </row>
    <row r="196" ht="15.75" customHeight="1">
      <c r="B196" s="75" t="s">
        <v>222</v>
      </c>
      <c r="C196" s="75" t="s">
        <v>52</v>
      </c>
      <c r="D196" s="75" t="s">
        <v>21</v>
      </c>
      <c r="E196" s="75" t="s">
        <v>16</v>
      </c>
      <c r="F196" s="75" t="s">
        <v>27</v>
      </c>
      <c r="G196" s="75" t="s">
        <v>23</v>
      </c>
      <c r="H196" s="76">
        <v>45116.0</v>
      </c>
      <c r="I196" s="75">
        <v>93.0</v>
      </c>
      <c r="J196" s="77">
        <v>12.26</v>
      </c>
      <c r="K196" s="77">
        <v>156.68</v>
      </c>
      <c r="L196" s="77">
        <v>1140.18</v>
      </c>
      <c r="M196" s="77">
        <v>14571.24</v>
      </c>
      <c r="N196" s="77">
        <v>-13431.06</v>
      </c>
      <c r="O196" s="78">
        <v>-11.779771615008155</v>
      </c>
    </row>
    <row r="197" ht="15.75" customHeight="1">
      <c r="B197" s="75" t="s">
        <v>223</v>
      </c>
      <c r="C197" s="75" t="s">
        <v>14</v>
      </c>
      <c r="D197" s="75" t="s">
        <v>15</v>
      </c>
      <c r="E197" s="75" t="s">
        <v>30</v>
      </c>
      <c r="F197" s="75" t="s">
        <v>17</v>
      </c>
      <c r="G197" s="75" t="s">
        <v>18</v>
      </c>
      <c r="H197" s="76">
        <v>45117.0</v>
      </c>
      <c r="I197" s="75">
        <v>31.0</v>
      </c>
      <c r="J197" s="77">
        <v>295.6</v>
      </c>
      <c r="K197" s="77">
        <v>67.15</v>
      </c>
      <c r="L197" s="77">
        <v>9163.6</v>
      </c>
      <c r="M197" s="77">
        <v>2081.65</v>
      </c>
      <c r="N197" s="77">
        <v>7081.950000000001</v>
      </c>
      <c r="O197" s="78">
        <v>0.7728349120433018</v>
      </c>
    </row>
    <row r="198" ht="15.75" customHeight="1">
      <c r="B198" s="75" t="s">
        <v>224</v>
      </c>
      <c r="C198" s="75" t="s">
        <v>14</v>
      </c>
      <c r="D198" s="75" t="s">
        <v>54</v>
      </c>
      <c r="E198" s="75" t="s">
        <v>16</v>
      </c>
      <c r="F198" s="75" t="s">
        <v>17</v>
      </c>
      <c r="G198" s="75" t="s">
        <v>23</v>
      </c>
      <c r="H198" s="76">
        <v>45118.0</v>
      </c>
      <c r="I198" s="75">
        <v>468.0</v>
      </c>
      <c r="J198" s="77">
        <v>88.38</v>
      </c>
      <c r="K198" s="77">
        <v>110.97</v>
      </c>
      <c r="L198" s="77">
        <v>41361.84</v>
      </c>
      <c r="M198" s="77">
        <v>51933.96</v>
      </c>
      <c r="N198" s="77">
        <v>-10572.120000000003</v>
      </c>
      <c r="O198" s="78">
        <v>-0.2556008146639512</v>
      </c>
    </row>
    <row r="199" ht="15.75" customHeight="1">
      <c r="B199" s="75" t="s">
        <v>225</v>
      </c>
      <c r="C199" s="75" t="s">
        <v>25</v>
      </c>
      <c r="D199" s="75" t="s">
        <v>15</v>
      </c>
      <c r="E199" s="75" t="s">
        <v>30</v>
      </c>
      <c r="F199" s="75" t="s">
        <v>17</v>
      </c>
      <c r="G199" s="75" t="s">
        <v>31</v>
      </c>
      <c r="H199" s="76">
        <v>45119.0</v>
      </c>
      <c r="I199" s="75">
        <v>36.0</v>
      </c>
      <c r="J199" s="77">
        <v>323.08</v>
      </c>
      <c r="K199" s="77">
        <v>371.47</v>
      </c>
      <c r="L199" s="77">
        <v>11630.88</v>
      </c>
      <c r="M199" s="77">
        <v>13372.920000000002</v>
      </c>
      <c r="N199" s="77">
        <v>-1742.0400000000027</v>
      </c>
      <c r="O199" s="78">
        <v>-0.14977714497957187</v>
      </c>
    </row>
    <row r="200" ht="15.75" customHeight="1">
      <c r="B200" s="75" t="s">
        <v>226</v>
      </c>
      <c r="C200" s="75" t="s">
        <v>14</v>
      </c>
      <c r="D200" s="75" t="s">
        <v>29</v>
      </c>
      <c r="E200" s="75" t="s">
        <v>26</v>
      </c>
      <c r="F200" s="75" t="s">
        <v>27</v>
      </c>
      <c r="G200" s="75" t="s">
        <v>23</v>
      </c>
      <c r="H200" s="76">
        <v>45120.0</v>
      </c>
      <c r="I200" s="75">
        <v>204.0</v>
      </c>
      <c r="J200" s="77">
        <v>380.88</v>
      </c>
      <c r="K200" s="77">
        <v>271.04</v>
      </c>
      <c r="L200" s="77">
        <v>77699.52</v>
      </c>
      <c r="M200" s="77">
        <v>55292.16</v>
      </c>
      <c r="N200" s="77">
        <v>22407.36</v>
      </c>
      <c r="O200" s="78">
        <v>0.28838479311069104</v>
      </c>
    </row>
    <row r="201" ht="15.75" customHeight="1">
      <c r="B201" s="75" t="s">
        <v>227</v>
      </c>
      <c r="C201" s="75" t="s">
        <v>14</v>
      </c>
      <c r="D201" s="75" t="s">
        <v>29</v>
      </c>
      <c r="E201" s="75" t="s">
        <v>26</v>
      </c>
      <c r="F201" s="75" t="s">
        <v>17</v>
      </c>
      <c r="G201" s="75" t="s">
        <v>23</v>
      </c>
      <c r="H201" s="76">
        <v>45121.0</v>
      </c>
      <c r="I201" s="75">
        <v>346.0</v>
      </c>
      <c r="J201" s="77">
        <v>252.72</v>
      </c>
      <c r="K201" s="77">
        <v>199.43</v>
      </c>
      <c r="L201" s="77">
        <v>87441.12</v>
      </c>
      <c r="M201" s="77">
        <v>69002.78</v>
      </c>
      <c r="N201" s="77">
        <v>18438.339999999997</v>
      </c>
      <c r="O201" s="78">
        <v>0.21086578031022474</v>
      </c>
    </row>
    <row r="202" ht="15.75" customHeight="1">
      <c r="B202" s="75" t="s">
        <v>228</v>
      </c>
      <c r="C202" s="75" t="s">
        <v>52</v>
      </c>
      <c r="D202" s="75" t="s">
        <v>54</v>
      </c>
      <c r="E202" s="75" t="s">
        <v>16</v>
      </c>
      <c r="F202" s="75" t="s">
        <v>27</v>
      </c>
      <c r="G202" s="75" t="s">
        <v>18</v>
      </c>
      <c r="H202" s="76">
        <v>45122.0</v>
      </c>
      <c r="I202" s="75">
        <v>391.0</v>
      </c>
      <c r="J202" s="77">
        <v>273.47</v>
      </c>
      <c r="K202" s="77">
        <v>7.06</v>
      </c>
      <c r="L202" s="77">
        <v>106926.77</v>
      </c>
      <c r="M202" s="77">
        <v>2760.46</v>
      </c>
      <c r="N202" s="77">
        <v>104166.31</v>
      </c>
      <c r="O202" s="78">
        <v>0.9741836398873733</v>
      </c>
    </row>
    <row r="203" ht="15.75" customHeight="1">
      <c r="B203" s="75" t="s">
        <v>229</v>
      </c>
      <c r="C203" s="75" t="s">
        <v>52</v>
      </c>
      <c r="D203" s="75" t="s">
        <v>15</v>
      </c>
      <c r="E203" s="75" t="s">
        <v>16</v>
      </c>
      <c r="F203" s="75" t="s">
        <v>17</v>
      </c>
      <c r="G203" s="75" t="s">
        <v>31</v>
      </c>
      <c r="H203" s="76">
        <v>45123.0</v>
      </c>
      <c r="I203" s="75">
        <v>245.0</v>
      </c>
      <c r="J203" s="77">
        <v>475.98</v>
      </c>
      <c r="K203" s="77">
        <v>396.98</v>
      </c>
      <c r="L203" s="77">
        <v>116615.1</v>
      </c>
      <c r="M203" s="77">
        <v>97260.1</v>
      </c>
      <c r="N203" s="77">
        <v>19355.0</v>
      </c>
      <c r="O203" s="78">
        <v>0.16597336022521955</v>
      </c>
    </row>
    <row r="204" ht="15.75" customHeight="1">
      <c r="B204" s="75" t="s">
        <v>230</v>
      </c>
      <c r="C204" s="75" t="s">
        <v>20</v>
      </c>
      <c r="D204" s="75" t="s">
        <v>21</v>
      </c>
      <c r="E204" s="75" t="s">
        <v>30</v>
      </c>
      <c r="F204" s="75" t="s">
        <v>27</v>
      </c>
      <c r="G204" s="75" t="s">
        <v>23</v>
      </c>
      <c r="H204" s="76">
        <v>45124.0</v>
      </c>
      <c r="I204" s="75">
        <v>449.0</v>
      </c>
      <c r="J204" s="77">
        <v>424.35</v>
      </c>
      <c r="K204" s="77">
        <v>269.24</v>
      </c>
      <c r="L204" s="77">
        <v>190533.15000000002</v>
      </c>
      <c r="M204" s="77">
        <v>120888.76000000001</v>
      </c>
      <c r="N204" s="77">
        <v>69644.39000000001</v>
      </c>
      <c r="O204" s="78">
        <v>0.36552374219394373</v>
      </c>
    </row>
    <row r="205" ht="15.75" customHeight="1">
      <c r="B205" s="75" t="s">
        <v>231</v>
      </c>
      <c r="C205" s="75" t="s">
        <v>25</v>
      </c>
      <c r="D205" s="75" t="s">
        <v>54</v>
      </c>
      <c r="E205" s="75" t="s">
        <v>22</v>
      </c>
      <c r="F205" s="75" t="s">
        <v>27</v>
      </c>
      <c r="G205" s="75" t="s">
        <v>31</v>
      </c>
      <c r="H205" s="76">
        <v>45125.0</v>
      </c>
      <c r="I205" s="75">
        <v>101.0</v>
      </c>
      <c r="J205" s="77">
        <v>457.55</v>
      </c>
      <c r="K205" s="77">
        <v>128.14</v>
      </c>
      <c r="L205" s="77">
        <v>46212.55</v>
      </c>
      <c r="M205" s="77">
        <v>12942.14</v>
      </c>
      <c r="N205" s="77">
        <v>33270.41</v>
      </c>
      <c r="O205" s="78">
        <v>0.719943175609223</v>
      </c>
    </row>
    <row r="206" ht="15.75" customHeight="1">
      <c r="B206" s="75" t="s">
        <v>232</v>
      </c>
      <c r="C206" s="75" t="s">
        <v>14</v>
      </c>
      <c r="D206" s="75" t="s">
        <v>29</v>
      </c>
      <c r="E206" s="75" t="s">
        <v>30</v>
      </c>
      <c r="F206" s="75" t="s">
        <v>17</v>
      </c>
      <c r="G206" s="75" t="s">
        <v>23</v>
      </c>
      <c r="H206" s="76">
        <v>45126.0</v>
      </c>
      <c r="I206" s="75">
        <v>255.9029411764706</v>
      </c>
      <c r="J206" s="77">
        <v>407.81</v>
      </c>
      <c r="K206" s="77">
        <v>351.95</v>
      </c>
      <c r="L206" s="77">
        <v>104359.77844117647</v>
      </c>
      <c r="M206" s="77">
        <v>90065.04014705883</v>
      </c>
      <c r="N206" s="77">
        <v>14294.738294117647</v>
      </c>
      <c r="O206" s="78">
        <v>0.13697555234055075</v>
      </c>
    </row>
    <row r="207" ht="15.75" customHeight="1">
      <c r="B207" s="75" t="s">
        <v>233</v>
      </c>
      <c r="C207" s="75" t="s">
        <v>14</v>
      </c>
      <c r="D207" s="75" t="s">
        <v>29</v>
      </c>
      <c r="E207" s="75" t="s">
        <v>16</v>
      </c>
      <c r="F207" s="75" t="s">
        <v>27</v>
      </c>
      <c r="G207" s="75" t="s">
        <v>23</v>
      </c>
      <c r="H207" s="76">
        <v>45127.0</v>
      </c>
      <c r="I207" s="75">
        <v>30.0</v>
      </c>
      <c r="J207" s="77">
        <v>58.91</v>
      </c>
      <c r="K207" s="77">
        <v>104.86</v>
      </c>
      <c r="L207" s="77">
        <v>1767.3</v>
      </c>
      <c r="M207" s="77">
        <v>3145.8</v>
      </c>
      <c r="N207" s="77">
        <v>-1378.5000000000002</v>
      </c>
      <c r="O207" s="78">
        <v>-0.7800033950093365</v>
      </c>
    </row>
    <row r="208" ht="15.75" customHeight="1">
      <c r="B208" s="75" t="s">
        <v>234</v>
      </c>
      <c r="C208" s="75" t="s">
        <v>20</v>
      </c>
      <c r="D208" s="75" t="s">
        <v>54</v>
      </c>
      <c r="E208" s="75" t="s">
        <v>16</v>
      </c>
      <c r="F208" s="75" t="s">
        <v>17</v>
      </c>
      <c r="G208" s="75" t="s">
        <v>31</v>
      </c>
      <c r="H208" s="76">
        <v>45128.0</v>
      </c>
      <c r="I208" s="75">
        <v>312.0</v>
      </c>
      <c r="J208" s="77">
        <v>78.75</v>
      </c>
      <c r="K208" s="77">
        <v>218.52</v>
      </c>
      <c r="L208" s="77">
        <v>24570.0</v>
      </c>
      <c r="M208" s="77">
        <v>68178.24</v>
      </c>
      <c r="N208" s="77">
        <v>-43608.240000000005</v>
      </c>
      <c r="O208" s="78">
        <v>-1.7748571428571431</v>
      </c>
    </row>
    <row r="209" ht="15.75" customHeight="1">
      <c r="B209" s="75" t="s">
        <v>235</v>
      </c>
      <c r="C209" s="75" t="s">
        <v>14</v>
      </c>
      <c r="D209" s="75" t="s">
        <v>15</v>
      </c>
      <c r="E209" s="75" t="s">
        <v>46</v>
      </c>
      <c r="F209" s="75" t="s">
        <v>27</v>
      </c>
      <c r="G209" s="75" t="s">
        <v>23</v>
      </c>
      <c r="H209" s="76">
        <v>45129.0</v>
      </c>
      <c r="I209" s="75">
        <v>473.0</v>
      </c>
      <c r="J209" s="77">
        <v>265.68</v>
      </c>
      <c r="K209" s="77">
        <v>255.16</v>
      </c>
      <c r="L209" s="77">
        <v>125666.64</v>
      </c>
      <c r="M209" s="77">
        <v>120690.68</v>
      </c>
      <c r="N209" s="77">
        <v>4975.960000000006</v>
      </c>
      <c r="O209" s="78">
        <v>0.039596507076181925</v>
      </c>
    </row>
    <row r="210" ht="15.75" customHeight="1">
      <c r="B210" s="75" t="s">
        <v>236</v>
      </c>
      <c r="C210" s="75" t="s">
        <v>25</v>
      </c>
      <c r="D210" s="75" t="s">
        <v>29</v>
      </c>
      <c r="E210" s="75" t="s">
        <v>16</v>
      </c>
      <c r="F210" s="75" t="s">
        <v>17</v>
      </c>
      <c r="G210" s="75" t="s">
        <v>31</v>
      </c>
      <c r="H210" s="76">
        <v>45130.0</v>
      </c>
      <c r="I210" s="75">
        <v>366.0</v>
      </c>
      <c r="J210" s="77">
        <v>126.8</v>
      </c>
      <c r="K210" s="77">
        <v>89.98</v>
      </c>
      <c r="L210" s="77">
        <v>46408.799999999996</v>
      </c>
      <c r="M210" s="77">
        <v>32932.68</v>
      </c>
      <c r="N210" s="77">
        <v>13476.119999999995</v>
      </c>
      <c r="O210" s="78">
        <v>0.290378548895899</v>
      </c>
    </row>
    <row r="211" ht="15.75" customHeight="1">
      <c r="B211" s="75" t="s">
        <v>237</v>
      </c>
      <c r="C211" s="75" t="s">
        <v>20</v>
      </c>
      <c r="D211" s="75" t="s">
        <v>15</v>
      </c>
      <c r="E211" s="75" t="s">
        <v>46</v>
      </c>
      <c r="F211" s="75" t="s">
        <v>17</v>
      </c>
      <c r="G211" s="75" t="s">
        <v>23</v>
      </c>
      <c r="H211" s="76">
        <v>45131.0</v>
      </c>
      <c r="I211" s="75">
        <v>452.0</v>
      </c>
      <c r="J211" s="77">
        <v>240.96</v>
      </c>
      <c r="K211" s="77">
        <v>391.4</v>
      </c>
      <c r="L211" s="77">
        <v>108913.92</v>
      </c>
      <c r="M211" s="77">
        <v>176912.8</v>
      </c>
      <c r="N211" s="77">
        <v>-67998.87999999999</v>
      </c>
      <c r="O211" s="78">
        <v>-0.6243359893758299</v>
      </c>
    </row>
    <row r="212" ht="15.75" customHeight="1">
      <c r="B212" s="75" t="s">
        <v>238</v>
      </c>
      <c r="C212" s="75" t="s">
        <v>25</v>
      </c>
      <c r="D212" s="75" t="s">
        <v>29</v>
      </c>
      <c r="E212" s="75" t="s">
        <v>22</v>
      </c>
      <c r="F212" s="75" t="s">
        <v>27</v>
      </c>
      <c r="G212" s="75" t="s">
        <v>18</v>
      </c>
      <c r="H212" s="76">
        <v>45132.0</v>
      </c>
      <c r="I212" s="75">
        <v>93.0</v>
      </c>
      <c r="J212" s="77">
        <v>200.21</v>
      </c>
      <c r="K212" s="77">
        <v>299.78</v>
      </c>
      <c r="L212" s="77">
        <v>18619.530000000002</v>
      </c>
      <c r="M212" s="77">
        <v>27879.539999999997</v>
      </c>
      <c r="N212" s="77">
        <v>-9260.009999999995</v>
      </c>
      <c r="O212" s="78">
        <v>-0.49732780580390556</v>
      </c>
    </row>
    <row r="213" ht="15.75" customHeight="1">
      <c r="B213" s="75" t="s">
        <v>239</v>
      </c>
      <c r="C213" s="75" t="s">
        <v>20</v>
      </c>
      <c r="D213" s="75" t="s">
        <v>29</v>
      </c>
      <c r="E213" s="75" t="s">
        <v>30</v>
      </c>
      <c r="F213" s="75" t="s">
        <v>17</v>
      </c>
      <c r="G213" s="75" t="s">
        <v>31</v>
      </c>
      <c r="H213" s="76">
        <v>45133.0</v>
      </c>
      <c r="I213" s="75">
        <v>271.0</v>
      </c>
      <c r="J213" s="77">
        <v>276.96</v>
      </c>
      <c r="K213" s="77">
        <v>224.01</v>
      </c>
      <c r="L213" s="77">
        <v>75056.15999999999</v>
      </c>
      <c r="M213" s="77">
        <v>60706.71</v>
      </c>
      <c r="N213" s="77">
        <v>14349.44999999999</v>
      </c>
      <c r="O213" s="78">
        <v>0.19118284228769486</v>
      </c>
    </row>
    <row r="214" ht="15.75" customHeight="1">
      <c r="B214" s="75" t="s">
        <v>240</v>
      </c>
      <c r="C214" s="75" t="s">
        <v>20</v>
      </c>
      <c r="D214" s="75" t="s">
        <v>34</v>
      </c>
      <c r="E214" s="75" t="s">
        <v>30</v>
      </c>
      <c r="F214" s="75" t="s">
        <v>17</v>
      </c>
      <c r="G214" s="75" t="s">
        <v>23</v>
      </c>
      <c r="H214" s="76">
        <v>45134.0</v>
      </c>
      <c r="I214" s="75">
        <v>156.0</v>
      </c>
      <c r="J214" s="77">
        <v>374.7</v>
      </c>
      <c r="K214" s="77">
        <v>73.88</v>
      </c>
      <c r="L214" s="77">
        <v>58453.2</v>
      </c>
      <c r="M214" s="77">
        <v>11525.279999999999</v>
      </c>
      <c r="N214" s="77">
        <v>46927.92</v>
      </c>
      <c r="O214" s="78">
        <v>0.8028289298105151</v>
      </c>
    </row>
    <row r="215" ht="15.75" customHeight="1">
      <c r="B215" s="75" t="s">
        <v>241</v>
      </c>
      <c r="C215" s="75" t="s">
        <v>52</v>
      </c>
      <c r="D215" s="75" t="s">
        <v>29</v>
      </c>
      <c r="E215" s="75" t="s">
        <v>46</v>
      </c>
      <c r="F215" s="75" t="s">
        <v>27</v>
      </c>
      <c r="G215" s="75" t="s">
        <v>23</v>
      </c>
      <c r="H215" s="76">
        <v>45135.0</v>
      </c>
      <c r="I215" s="75">
        <v>450.0</v>
      </c>
      <c r="J215" s="77">
        <v>359.17</v>
      </c>
      <c r="K215" s="77">
        <v>23.44</v>
      </c>
      <c r="L215" s="77">
        <v>161626.5</v>
      </c>
      <c r="M215" s="77">
        <v>10548.0</v>
      </c>
      <c r="N215" s="77">
        <v>151078.5</v>
      </c>
      <c r="O215" s="78">
        <v>0.9347384247013949</v>
      </c>
    </row>
    <row r="216" ht="15.75" customHeight="1">
      <c r="B216" s="75" t="s">
        <v>242</v>
      </c>
      <c r="C216" s="75" t="s">
        <v>25</v>
      </c>
      <c r="D216" s="75" t="s">
        <v>21</v>
      </c>
      <c r="E216" s="75" t="s">
        <v>30</v>
      </c>
      <c r="F216" s="75" t="s">
        <v>17</v>
      </c>
      <c r="G216" s="75" t="s">
        <v>18</v>
      </c>
      <c r="H216" s="76">
        <v>45136.0</v>
      </c>
      <c r="I216" s="75">
        <v>462.0</v>
      </c>
      <c r="J216" s="77">
        <v>263.01</v>
      </c>
      <c r="K216" s="77">
        <v>129.38</v>
      </c>
      <c r="L216" s="77">
        <v>121510.62</v>
      </c>
      <c r="M216" s="77">
        <v>59773.56</v>
      </c>
      <c r="N216" s="77">
        <v>61737.06</v>
      </c>
      <c r="O216" s="78">
        <v>0.5080795407018744</v>
      </c>
    </row>
    <row r="217" ht="15.75" customHeight="1">
      <c r="B217" s="75" t="s">
        <v>243</v>
      </c>
      <c r="C217" s="75" t="s">
        <v>14</v>
      </c>
      <c r="D217" s="75" t="s">
        <v>54</v>
      </c>
      <c r="E217" s="75" t="s">
        <v>39</v>
      </c>
      <c r="F217" s="75" t="s">
        <v>17</v>
      </c>
      <c r="G217" s="75" t="s">
        <v>31</v>
      </c>
      <c r="H217" s="76">
        <v>45137.0</v>
      </c>
      <c r="I217" s="75">
        <v>396.0</v>
      </c>
      <c r="J217" s="77">
        <v>412.08</v>
      </c>
      <c r="K217" s="77">
        <v>301.77</v>
      </c>
      <c r="L217" s="77">
        <v>163183.68</v>
      </c>
      <c r="M217" s="77">
        <v>119500.92</v>
      </c>
      <c r="N217" s="77">
        <v>43682.759999999995</v>
      </c>
      <c r="O217" s="78">
        <v>0.26769073966220147</v>
      </c>
    </row>
    <row r="218" ht="15.75" customHeight="1">
      <c r="B218" s="75" t="s">
        <v>244</v>
      </c>
      <c r="C218" s="75" t="s">
        <v>14</v>
      </c>
      <c r="D218" s="75" t="s">
        <v>54</v>
      </c>
      <c r="E218" s="75" t="s">
        <v>26</v>
      </c>
      <c r="F218" s="75" t="s">
        <v>27</v>
      </c>
      <c r="G218" s="75" t="s">
        <v>23</v>
      </c>
      <c r="H218" s="76">
        <v>45138.0</v>
      </c>
      <c r="I218" s="75">
        <v>266.0</v>
      </c>
      <c r="J218" s="77">
        <v>218.28</v>
      </c>
      <c r="K218" s="77">
        <v>109.19</v>
      </c>
      <c r="L218" s="77">
        <v>58062.48</v>
      </c>
      <c r="M218" s="77">
        <v>29044.54</v>
      </c>
      <c r="N218" s="77">
        <v>29017.940000000002</v>
      </c>
      <c r="O218" s="78">
        <v>0.499770936411948</v>
      </c>
    </row>
    <row r="219" ht="15.75" customHeight="1">
      <c r="B219" s="75" t="s">
        <v>245</v>
      </c>
      <c r="C219" s="75" t="s">
        <v>25</v>
      </c>
      <c r="D219" s="75" t="s">
        <v>15</v>
      </c>
      <c r="E219" s="75" t="s">
        <v>46</v>
      </c>
      <c r="F219" s="75" t="s">
        <v>27</v>
      </c>
      <c r="G219" s="75" t="s">
        <v>18</v>
      </c>
      <c r="H219" s="76">
        <v>45139.0</v>
      </c>
      <c r="I219" s="75">
        <v>67.0</v>
      </c>
      <c r="J219" s="77">
        <v>448.87</v>
      </c>
      <c r="K219" s="77">
        <v>216.74</v>
      </c>
      <c r="L219" s="77">
        <v>30074.29</v>
      </c>
      <c r="M219" s="77">
        <v>14521.58</v>
      </c>
      <c r="N219" s="77">
        <v>15552.710000000001</v>
      </c>
      <c r="O219" s="78">
        <v>0.5171430480985586</v>
      </c>
    </row>
    <row r="220" ht="15.75" customHeight="1">
      <c r="B220" s="75" t="s">
        <v>246</v>
      </c>
      <c r="C220" s="75" t="s">
        <v>14</v>
      </c>
      <c r="D220" s="75" t="s">
        <v>29</v>
      </c>
      <c r="E220" s="75" t="s">
        <v>30</v>
      </c>
      <c r="F220" s="75" t="s">
        <v>17</v>
      </c>
      <c r="G220" s="75" t="s">
        <v>23</v>
      </c>
      <c r="H220" s="76">
        <v>45140.0</v>
      </c>
      <c r="I220" s="75">
        <v>389.0</v>
      </c>
      <c r="J220" s="77">
        <v>40.28</v>
      </c>
      <c r="K220" s="77">
        <v>291.72</v>
      </c>
      <c r="L220" s="77">
        <v>15668.92</v>
      </c>
      <c r="M220" s="77">
        <v>113479.08000000002</v>
      </c>
      <c r="N220" s="77">
        <v>-97810.16000000002</v>
      </c>
      <c r="O220" s="78">
        <v>-6.242303872889773</v>
      </c>
    </row>
    <row r="221" ht="15.75" customHeight="1">
      <c r="B221" s="75" t="s">
        <v>247</v>
      </c>
      <c r="C221" s="75" t="s">
        <v>14</v>
      </c>
      <c r="D221" s="75" t="s">
        <v>21</v>
      </c>
      <c r="E221" s="75" t="s">
        <v>46</v>
      </c>
      <c r="F221" s="75" t="s">
        <v>17</v>
      </c>
      <c r="G221" s="75" t="s">
        <v>31</v>
      </c>
      <c r="H221" s="76">
        <v>45141.0</v>
      </c>
      <c r="I221" s="75">
        <v>431.0</v>
      </c>
      <c r="J221" s="77">
        <v>477.56</v>
      </c>
      <c r="K221" s="77">
        <v>44.96</v>
      </c>
      <c r="L221" s="77">
        <v>205828.36000000002</v>
      </c>
      <c r="M221" s="77">
        <v>19377.760000000002</v>
      </c>
      <c r="N221" s="77">
        <v>186450.6</v>
      </c>
      <c r="O221" s="78">
        <v>0.9058547617053354</v>
      </c>
    </row>
    <row r="222" ht="15.75" customHeight="1">
      <c r="B222" s="75" t="s">
        <v>248</v>
      </c>
      <c r="C222" s="75" t="s">
        <v>25</v>
      </c>
      <c r="D222" s="75" t="s">
        <v>15</v>
      </c>
      <c r="E222" s="75" t="s">
        <v>46</v>
      </c>
      <c r="F222" s="75" t="s">
        <v>27</v>
      </c>
      <c r="G222" s="75" t="s">
        <v>23</v>
      </c>
      <c r="H222" s="76">
        <v>45142.0</v>
      </c>
      <c r="I222" s="75">
        <v>24.0</v>
      </c>
      <c r="J222" s="77">
        <v>329.07</v>
      </c>
      <c r="K222" s="77">
        <v>274.75</v>
      </c>
      <c r="L222" s="77">
        <v>7897.68</v>
      </c>
      <c r="M222" s="77">
        <v>6594.0</v>
      </c>
      <c r="N222" s="77">
        <v>1303.6800000000003</v>
      </c>
      <c r="O222" s="78">
        <v>0.16507126143373754</v>
      </c>
    </row>
    <row r="223" ht="15.75" customHeight="1">
      <c r="B223" s="75" t="s">
        <v>249</v>
      </c>
      <c r="C223" s="75" t="s">
        <v>20</v>
      </c>
      <c r="D223" s="75" t="s">
        <v>34</v>
      </c>
      <c r="E223" s="75" t="s">
        <v>26</v>
      </c>
      <c r="F223" s="75" t="s">
        <v>27</v>
      </c>
      <c r="G223" s="75" t="s">
        <v>23</v>
      </c>
      <c r="H223" s="76">
        <v>45143.0</v>
      </c>
      <c r="I223" s="75">
        <v>171.0</v>
      </c>
      <c r="J223" s="77">
        <v>193.14</v>
      </c>
      <c r="K223" s="77">
        <v>38.56</v>
      </c>
      <c r="L223" s="77">
        <v>33026.939999999995</v>
      </c>
      <c r="M223" s="77">
        <v>6593.76</v>
      </c>
      <c r="N223" s="77">
        <v>26433.179999999993</v>
      </c>
      <c r="O223" s="78">
        <v>0.8003520762141451</v>
      </c>
    </row>
    <row r="224" ht="15.75" customHeight="1">
      <c r="B224" s="75" t="s">
        <v>250</v>
      </c>
      <c r="C224" s="75" t="s">
        <v>25</v>
      </c>
      <c r="D224" s="75" t="s">
        <v>15</v>
      </c>
      <c r="E224" s="75" t="s">
        <v>16</v>
      </c>
      <c r="F224" s="75" t="s">
        <v>17</v>
      </c>
      <c r="G224" s="75" t="s">
        <v>23</v>
      </c>
      <c r="H224" s="76">
        <v>45144.0</v>
      </c>
      <c r="I224" s="75">
        <v>454.0</v>
      </c>
      <c r="J224" s="77">
        <v>102.59</v>
      </c>
      <c r="K224" s="77">
        <v>386.12</v>
      </c>
      <c r="L224" s="77">
        <v>46575.86</v>
      </c>
      <c r="M224" s="77">
        <v>175298.48</v>
      </c>
      <c r="N224" s="77">
        <v>-128722.62000000001</v>
      </c>
      <c r="O224" s="78">
        <v>-2.763719660785652</v>
      </c>
    </row>
    <row r="225" ht="15.75" customHeight="1">
      <c r="B225" s="75" t="s">
        <v>251</v>
      </c>
      <c r="C225" s="75" t="s">
        <v>20</v>
      </c>
      <c r="D225" s="75" t="s">
        <v>15</v>
      </c>
      <c r="E225" s="75" t="s">
        <v>46</v>
      </c>
      <c r="F225" s="75" t="s">
        <v>27</v>
      </c>
      <c r="G225" s="75" t="s">
        <v>23</v>
      </c>
      <c r="H225" s="76">
        <v>45145.0</v>
      </c>
      <c r="I225" s="75">
        <v>172.0</v>
      </c>
      <c r="J225" s="77">
        <v>242.2</v>
      </c>
      <c r="K225" s="77">
        <v>196.38</v>
      </c>
      <c r="L225" s="77">
        <v>41658.4</v>
      </c>
      <c r="M225" s="77">
        <v>33777.36</v>
      </c>
      <c r="N225" s="77">
        <v>7881.040000000001</v>
      </c>
      <c r="O225" s="78">
        <v>0.18918249380677127</v>
      </c>
    </row>
    <row r="226" ht="15.75" customHeight="1">
      <c r="B226" s="75" t="s">
        <v>252</v>
      </c>
      <c r="C226" s="75" t="s">
        <v>14</v>
      </c>
      <c r="D226" s="75" t="s">
        <v>29</v>
      </c>
      <c r="E226" s="75" t="s">
        <v>30</v>
      </c>
      <c r="F226" s="75" t="s">
        <v>17</v>
      </c>
      <c r="G226" s="75" t="s">
        <v>18</v>
      </c>
      <c r="H226" s="76">
        <v>45146.0</v>
      </c>
      <c r="I226" s="75">
        <v>329.0</v>
      </c>
      <c r="J226" s="77">
        <v>101.31</v>
      </c>
      <c r="K226" s="77">
        <v>61.97</v>
      </c>
      <c r="L226" s="77">
        <v>33330.99</v>
      </c>
      <c r="M226" s="77">
        <v>20388.13</v>
      </c>
      <c r="N226" s="77">
        <v>12942.859999999997</v>
      </c>
      <c r="O226" s="78">
        <v>0.38831309841081824</v>
      </c>
    </row>
    <row r="227" ht="15.75" customHeight="1">
      <c r="B227" s="75" t="s">
        <v>253</v>
      </c>
      <c r="C227" s="75" t="s">
        <v>14</v>
      </c>
      <c r="D227" s="75" t="s">
        <v>34</v>
      </c>
      <c r="E227" s="75" t="s">
        <v>22</v>
      </c>
      <c r="F227" s="75" t="s">
        <v>17</v>
      </c>
      <c r="G227" s="75" t="s">
        <v>18</v>
      </c>
      <c r="H227" s="76">
        <v>45147.0</v>
      </c>
      <c r="I227" s="75">
        <v>290.0</v>
      </c>
      <c r="J227" s="77">
        <v>87.33</v>
      </c>
      <c r="K227" s="77">
        <v>138.27</v>
      </c>
      <c r="L227" s="77">
        <v>25325.7</v>
      </c>
      <c r="M227" s="77">
        <v>40098.3</v>
      </c>
      <c r="N227" s="77">
        <v>-14772.600000000002</v>
      </c>
      <c r="O227" s="78">
        <v>-0.5833047062864996</v>
      </c>
    </row>
    <row r="228" ht="15.75" customHeight="1">
      <c r="B228" s="75" t="s">
        <v>254</v>
      </c>
      <c r="C228" s="75" t="s">
        <v>39</v>
      </c>
      <c r="D228" s="75" t="s">
        <v>15</v>
      </c>
      <c r="E228" s="75" t="s">
        <v>46</v>
      </c>
      <c r="F228" s="75" t="s">
        <v>17</v>
      </c>
      <c r="G228" s="75" t="s">
        <v>31</v>
      </c>
      <c r="H228" s="76">
        <v>45148.0</v>
      </c>
      <c r="I228" s="75">
        <v>289.0</v>
      </c>
      <c r="J228" s="77">
        <v>310.59</v>
      </c>
      <c r="K228" s="77">
        <v>166.54</v>
      </c>
      <c r="L228" s="77">
        <v>89760.51</v>
      </c>
      <c r="M228" s="77">
        <v>48130.06</v>
      </c>
      <c r="N228" s="77">
        <v>41630.45</v>
      </c>
      <c r="O228" s="78">
        <v>0.4637947132876139</v>
      </c>
    </row>
    <row r="229" ht="15.75" customHeight="1">
      <c r="B229" s="75" t="s">
        <v>255</v>
      </c>
      <c r="C229" s="75" t="s">
        <v>52</v>
      </c>
      <c r="D229" s="75" t="s">
        <v>21</v>
      </c>
      <c r="E229" s="75" t="s">
        <v>46</v>
      </c>
      <c r="F229" s="75" t="s">
        <v>17</v>
      </c>
      <c r="G229" s="75" t="s">
        <v>18</v>
      </c>
      <c r="H229" s="76">
        <v>45149.0</v>
      </c>
      <c r="I229" s="75">
        <v>21.0</v>
      </c>
      <c r="J229" s="77">
        <v>263.93</v>
      </c>
      <c r="K229" s="77">
        <v>303.76</v>
      </c>
      <c r="L229" s="77">
        <v>5542.53</v>
      </c>
      <c r="M229" s="77">
        <v>6378.96</v>
      </c>
      <c r="N229" s="77">
        <v>-836.4300000000003</v>
      </c>
      <c r="O229" s="78">
        <v>-0.15091122646156183</v>
      </c>
    </row>
    <row r="230" ht="15.75" customHeight="1">
      <c r="B230" s="75" t="s">
        <v>256</v>
      </c>
      <c r="C230" s="75" t="s">
        <v>20</v>
      </c>
      <c r="D230" s="75" t="s">
        <v>21</v>
      </c>
      <c r="E230" s="75" t="s">
        <v>26</v>
      </c>
      <c r="F230" s="75" t="s">
        <v>17</v>
      </c>
      <c r="G230" s="75" t="s">
        <v>18</v>
      </c>
      <c r="H230" s="76">
        <v>45150.0</v>
      </c>
      <c r="I230" s="75">
        <v>283.0</v>
      </c>
      <c r="J230" s="77">
        <v>336.7</v>
      </c>
      <c r="K230" s="77">
        <v>297.88</v>
      </c>
      <c r="L230" s="77">
        <v>95286.09999999999</v>
      </c>
      <c r="M230" s="77">
        <v>84300.04</v>
      </c>
      <c r="N230" s="77">
        <v>10986.059999999998</v>
      </c>
      <c r="O230" s="78">
        <v>0.11529551529551528</v>
      </c>
    </row>
    <row r="231" ht="15.75" customHeight="1">
      <c r="B231" s="75" t="s">
        <v>257</v>
      </c>
      <c r="C231" s="75" t="s">
        <v>52</v>
      </c>
      <c r="D231" s="75" t="s">
        <v>54</v>
      </c>
      <c r="E231" s="75" t="s">
        <v>16</v>
      </c>
      <c r="F231" s="75" t="s">
        <v>27</v>
      </c>
      <c r="G231" s="75" t="s">
        <v>31</v>
      </c>
      <c r="H231" s="76">
        <v>45151.0</v>
      </c>
      <c r="I231" s="75">
        <v>280.0</v>
      </c>
      <c r="J231" s="77">
        <v>465.15</v>
      </c>
      <c r="K231" s="77">
        <v>245.55</v>
      </c>
      <c r="L231" s="77">
        <v>130242.0</v>
      </c>
      <c r="M231" s="77">
        <v>68754.0</v>
      </c>
      <c r="N231" s="77">
        <v>61488.0</v>
      </c>
      <c r="O231" s="78">
        <v>0.47210577233150597</v>
      </c>
    </row>
    <row r="232" ht="15.75" customHeight="1">
      <c r="B232" s="75" t="s">
        <v>258</v>
      </c>
      <c r="C232" s="75" t="s">
        <v>52</v>
      </c>
      <c r="D232" s="75" t="s">
        <v>34</v>
      </c>
      <c r="E232" s="75" t="s">
        <v>22</v>
      </c>
      <c r="F232" s="75" t="s">
        <v>27</v>
      </c>
      <c r="G232" s="75" t="s">
        <v>18</v>
      </c>
      <c r="H232" s="76">
        <v>45152.0</v>
      </c>
      <c r="I232" s="75">
        <v>217.0</v>
      </c>
      <c r="J232" s="77">
        <v>268.47</v>
      </c>
      <c r="K232" s="77">
        <v>44.16</v>
      </c>
      <c r="L232" s="77">
        <v>58257.990000000005</v>
      </c>
      <c r="M232" s="77">
        <v>9582.72</v>
      </c>
      <c r="N232" s="77">
        <v>48675.270000000004</v>
      </c>
      <c r="O232" s="78">
        <v>0.8355123477483518</v>
      </c>
    </row>
    <row r="233" ht="15.75" customHeight="1">
      <c r="B233" s="75" t="s">
        <v>259</v>
      </c>
      <c r="C233" s="75" t="s">
        <v>25</v>
      </c>
      <c r="D233" s="75" t="s">
        <v>34</v>
      </c>
      <c r="E233" s="75" t="s">
        <v>30</v>
      </c>
      <c r="F233" s="75" t="s">
        <v>27</v>
      </c>
      <c r="G233" s="75" t="s">
        <v>18</v>
      </c>
      <c r="H233" s="76">
        <v>45153.0</v>
      </c>
      <c r="I233" s="75">
        <v>36.0</v>
      </c>
      <c r="J233" s="77">
        <v>292.56</v>
      </c>
      <c r="K233" s="77">
        <v>62.32</v>
      </c>
      <c r="L233" s="77">
        <v>10532.16</v>
      </c>
      <c r="M233" s="77">
        <v>2243.52</v>
      </c>
      <c r="N233" s="77">
        <v>8288.64</v>
      </c>
      <c r="O233" s="78">
        <v>0.7869838665572874</v>
      </c>
    </row>
    <row r="234" ht="15.75" customHeight="1">
      <c r="B234" s="75" t="s">
        <v>260</v>
      </c>
      <c r="C234" s="75" t="s">
        <v>52</v>
      </c>
      <c r="D234" s="75" t="s">
        <v>54</v>
      </c>
      <c r="E234" s="75" t="s">
        <v>22</v>
      </c>
      <c r="F234" s="75" t="s">
        <v>27</v>
      </c>
      <c r="G234" s="75" t="s">
        <v>31</v>
      </c>
      <c r="H234" s="76">
        <v>45154.0</v>
      </c>
      <c r="I234" s="75">
        <v>255.9029411764706</v>
      </c>
      <c r="J234" s="77">
        <v>49.37</v>
      </c>
      <c r="K234" s="77">
        <v>39.32</v>
      </c>
      <c r="L234" s="77">
        <v>12633.928205882352</v>
      </c>
      <c r="M234" s="77">
        <v>10062.103647058824</v>
      </c>
      <c r="N234" s="77">
        <v>2571.8245588235277</v>
      </c>
      <c r="O234" s="78">
        <v>0.2035649179663762</v>
      </c>
    </row>
    <row r="235" ht="15.75" customHeight="1">
      <c r="B235" s="75" t="s">
        <v>261</v>
      </c>
      <c r="C235" s="75" t="s">
        <v>25</v>
      </c>
      <c r="D235" s="75" t="s">
        <v>15</v>
      </c>
      <c r="E235" s="75" t="s">
        <v>30</v>
      </c>
      <c r="F235" s="75" t="s">
        <v>17</v>
      </c>
      <c r="G235" s="75" t="s">
        <v>31</v>
      </c>
      <c r="H235" s="76">
        <v>45155.0</v>
      </c>
      <c r="I235" s="75">
        <v>69.0</v>
      </c>
      <c r="J235" s="77">
        <v>360.23</v>
      </c>
      <c r="K235" s="77">
        <v>231.71</v>
      </c>
      <c r="L235" s="77">
        <v>24855.870000000003</v>
      </c>
      <c r="M235" s="77">
        <v>15987.99</v>
      </c>
      <c r="N235" s="77">
        <v>8867.880000000003</v>
      </c>
      <c r="O235" s="78">
        <v>0.35677206229353475</v>
      </c>
    </row>
    <row r="236" ht="15.75" customHeight="1">
      <c r="B236" s="75" t="s">
        <v>262</v>
      </c>
      <c r="C236" s="75" t="s">
        <v>25</v>
      </c>
      <c r="D236" s="75" t="s">
        <v>34</v>
      </c>
      <c r="E236" s="75" t="s">
        <v>16</v>
      </c>
      <c r="F236" s="75" t="s">
        <v>17</v>
      </c>
      <c r="G236" s="75" t="s">
        <v>31</v>
      </c>
      <c r="H236" s="76">
        <v>45156.0</v>
      </c>
      <c r="I236" s="75">
        <v>439.0</v>
      </c>
      <c r="J236" s="77">
        <v>202.95</v>
      </c>
      <c r="K236" s="77">
        <v>351.1</v>
      </c>
      <c r="L236" s="77">
        <v>89095.04999999999</v>
      </c>
      <c r="M236" s="77">
        <v>154132.90000000002</v>
      </c>
      <c r="N236" s="77">
        <v>-65037.850000000035</v>
      </c>
      <c r="O236" s="78">
        <v>-0.7299827543729988</v>
      </c>
    </row>
    <row r="237" ht="15.75" customHeight="1">
      <c r="B237" s="75" t="s">
        <v>263</v>
      </c>
      <c r="C237" s="75" t="s">
        <v>52</v>
      </c>
      <c r="D237" s="75" t="s">
        <v>21</v>
      </c>
      <c r="E237" s="75" t="s">
        <v>30</v>
      </c>
      <c r="F237" s="75" t="s">
        <v>17</v>
      </c>
      <c r="G237" s="75" t="s">
        <v>23</v>
      </c>
      <c r="H237" s="76">
        <v>45157.0</v>
      </c>
      <c r="I237" s="75">
        <v>482.0</v>
      </c>
      <c r="J237" s="77">
        <v>488.48</v>
      </c>
      <c r="K237" s="77">
        <v>174.65</v>
      </c>
      <c r="L237" s="77">
        <v>235447.36000000002</v>
      </c>
      <c r="M237" s="77">
        <v>84181.3</v>
      </c>
      <c r="N237" s="77">
        <v>151266.06</v>
      </c>
      <c r="O237" s="78">
        <v>0.6424623321323288</v>
      </c>
    </row>
    <row r="238" ht="15.75" customHeight="1">
      <c r="B238" s="75" t="s">
        <v>264</v>
      </c>
      <c r="C238" s="75" t="s">
        <v>20</v>
      </c>
      <c r="D238" s="75" t="s">
        <v>21</v>
      </c>
      <c r="E238" s="75" t="s">
        <v>26</v>
      </c>
      <c r="F238" s="75" t="s">
        <v>17</v>
      </c>
      <c r="G238" s="75" t="s">
        <v>23</v>
      </c>
      <c r="H238" s="76">
        <v>45158.0</v>
      </c>
      <c r="I238" s="75">
        <v>154.0</v>
      </c>
      <c r="J238" s="77">
        <v>412.47</v>
      </c>
      <c r="K238" s="77">
        <v>66.02</v>
      </c>
      <c r="L238" s="77">
        <v>63520.380000000005</v>
      </c>
      <c r="M238" s="77">
        <v>10167.08</v>
      </c>
      <c r="N238" s="77">
        <v>53353.3</v>
      </c>
      <c r="O238" s="78">
        <v>0.839939874415109</v>
      </c>
    </row>
    <row r="239" ht="15.75" customHeight="1">
      <c r="B239" s="75" t="s">
        <v>265</v>
      </c>
      <c r="C239" s="75" t="s">
        <v>20</v>
      </c>
      <c r="D239" s="75" t="s">
        <v>29</v>
      </c>
      <c r="E239" s="75" t="s">
        <v>26</v>
      </c>
      <c r="F239" s="75" t="s">
        <v>27</v>
      </c>
      <c r="G239" s="75" t="s">
        <v>31</v>
      </c>
      <c r="H239" s="76">
        <v>45159.0</v>
      </c>
      <c r="I239" s="75">
        <v>102.0</v>
      </c>
      <c r="J239" s="77">
        <v>263.63</v>
      </c>
      <c r="K239" s="77">
        <v>224.1</v>
      </c>
      <c r="L239" s="77">
        <v>26890.26</v>
      </c>
      <c r="M239" s="77">
        <v>22858.2</v>
      </c>
      <c r="N239" s="77">
        <v>4032.0599999999977</v>
      </c>
      <c r="O239" s="78">
        <v>0.14994499867238167</v>
      </c>
    </row>
    <row r="240" ht="15.75" customHeight="1">
      <c r="B240" s="75" t="s">
        <v>266</v>
      </c>
      <c r="C240" s="75" t="s">
        <v>20</v>
      </c>
      <c r="D240" s="75" t="s">
        <v>34</v>
      </c>
      <c r="E240" s="75" t="s">
        <v>26</v>
      </c>
      <c r="F240" s="75" t="s">
        <v>17</v>
      </c>
      <c r="G240" s="75" t="s">
        <v>31</v>
      </c>
      <c r="H240" s="76">
        <v>45160.0</v>
      </c>
      <c r="I240" s="75">
        <v>318.0</v>
      </c>
      <c r="J240" s="77">
        <v>66.0</v>
      </c>
      <c r="K240" s="77">
        <v>325.08</v>
      </c>
      <c r="L240" s="77">
        <v>20988.0</v>
      </c>
      <c r="M240" s="77">
        <v>103375.43999999999</v>
      </c>
      <c r="N240" s="77">
        <v>-82387.43999999999</v>
      </c>
      <c r="O240" s="78">
        <v>-3.925454545454545</v>
      </c>
    </row>
    <row r="241" ht="15.75" customHeight="1">
      <c r="B241" s="75" t="s">
        <v>267</v>
      </c>
      <c r="C241" s="75" t="s">
        <v>20</v>
      </c>
      <c r="D241" s="75" t="s">
        <v>15</v>
      </c>
      <c r="E241" s="75" t="s">
        <v>26</v>
      </c>
      <c r="F241" s="75" t="s">
        <v>17</v>
      </c>
      <c r="G241" s="75" t="s">
        <v>31</v>
      </c>
      <c r="H241" s="76">
        <v>45161.0</v>
      </c>
      <c r="I241" s="75">
        <v>17.0</v>
      </c>
      <c r="J241" s="77">
        <v>430.41</v>
      </c>
      <c r="K241" s="77">
        <v>297.2</v>
      </c>
      <c r="L241" s="77">
        <v>7316.97</v>
      </c>
      <c r="M241" s="77">
        <v>5052.4</v>
      </c>
      <c r="N241" s="77">
        <v>2264.5700000000006</v>
      </c>
      <c r="O241" s="78">
        <v>0.30949559722125425</v>
      </c>
    </row>
    <row r="242" ht="15.75" customHeight="1">
      <c r="B242" s="75" t="s">
        <v>268</v>
      </c>
      <c r="C242" s="75" t="s">
        <v>20</v>
      </c>
      <c r="D242" s="75" t="s">
        <v>54</v>
      </c>
      <c r="E242" s="75" t="s">
        <v>22</v>
      </c>
      <c r="F242" s="75" t="s">
        <v>27</v>
      </c>
      <c r="G242" s="75" t="s">
        <v>23</v>
      </c>
      <c r="H242" s="76">
        <v>45162.0</v>
      </c>
      <c r="I242" s="75">
        <v>88.0</v>
      </c>
      <c r="J242" s="77">
        <v>400.89</v>
      </c>
      <c r="K242" s="77">
        <v>352.82</v>
      </c>
      <c r="L242" s="77">
        <v>35278.32</v>
      </c>
      <c r="M242" s="77">
        <v>31048.16</v>
      </c>
      <c r="N242" s="77">
        <v>4230.16</v>
      </c>
      <c r="O242" s="78">
        <v>0.11990820424555364</v>
      </c>
    </row>
    <row r="243" ht="15.75" customHeight="1">
      <c r="B243" s="75" t="s">
        <v>269</v>
      </c>
      <c r="C243" s="75" t="s">
        <v>52</v>
      </c>
      <c r="D243" s="75" t="s">
        <v>54</v>
      </c>
      <c r="E243" s="75" t="s">
        <v>16</v>
      </c>
      <c r="F243" s="75" t="s">
        <v>27</v>
      </c>
      <c r="G243" s="75" t="s">
        <v>23</v>
      </c>
      <c r="H243" s="76">
        <v>45163.0</v>
      </c>
      <c r="I243" s="75">
        <v>36.0</v>
      </c>
      <c r="J243" s="77">
        <v>96.37</v>
      </c>
      <c r="K243" s="77">
        <v>112.61</v>
      </c>
      <c r="L243" s="77">
        <v>3469.32</v>
      </c>
      <c r="M243" s="77">
        <v>4053.96</v>
      </c>
      <c r="N243" s="77">
        <v>-584.6399999999999</v>
      </c>
      <c r="O243" s="78">
        <v>-0.16851717339420977</v>
      </c>
    </row>
    <row r="244" ht="15.75" customHeight="1">
      <c r="B244" s="75" t="s">
        <v>270</v>
      </c>
      <c r="C244" s="75" t="s">
        <v>52</v>
      </c>
      <c r="D244" s="75" t="s">
        <v>15</v>
      </c>
      <c r="E244" s="75" t="s">
        <v>30</v>
      </c>
      <c r="F244" s="75" t="s">
        <v>27</v>
      </c>
      <c r="G244" s="75" t="s">
        <v>18</v>
      </c>
      <c r="H244" s="76">
        <v>45164.0</v>
      </c>
      <c r="I244" s="75">
        <v>183.0</v>
      </c>
      <c r="J244" s="77">
        <v>151.16</v>
      </c>
      <c r="K244" s="77">
        <v>79.19</v>
      </c>
      <c r="L244" s="77">
        <v>27662.28</v>
      </c>
      <c r="M244" s="77">
        <v>14491.77</v>
      </c>
      <c r="N244" s="77">
        <v>13170.509999999998</v>
      </c>
      <c r="O244" s="78">
        <v>0.476118020640381</v>
      </c>
    </row>
    <row r="245" ht="15.75" customHeight="1">
      <c r="B245" s="75" t="s">
        <v>271</v>
      </c>
      <c r="C245" s="75" t="s">
        <v>14</v>
      </c>
      <c r="D245" s="75" t="s">
        <v>29</v>
      </c>
      <c r="E245" s="75" t="s">
        <v>30</v>
      </c>
      <c r="F245" s="75" t="s">
        <v>27</v>
      </c>
      <c r="G245" s="75" t="s">
        <v>18</v>
      </c>
      <c r="H245" s="76">
        <v>45165.0</v>
      </c>
      <c r="I245" s="75">
        <v>59.0</v>
      </c>
      <c r="J245" s="77">
        <v>397.74</v>
      </c>
      <c r="K245" s="77">
        <v>352.17</v>
      </c>
      <c r="L245" s="77">
        <v>23466.66</v>
      </c>
      <c r="M245" s="77">
        <v>20778.030000000002</v>
      </c>
      <c r="N245" s="77">
        <v>2688.6299999999974</v>
      </c>
      <c r="O245" s="78">
        <v>0.11457233368532196</v>
      </c>
    </row>
    <row r="246" ht="15.75" customHeight="1">
      <c r="B246" s="75" t="s">
        <v>272</v>
      </c>
      <c r="C246" s="75" t="s">
        <v>20</v>
      </c>
      <c r="D246" s="75" t="s">
        <v>54</v>
      </c>
      <c r="E246" s="75" t="s">
        <v>26</v>
      </c>
      <c r="F246" s="75" t="s">
        <v>17</v>
      </c>
      <c r="G246" s="75" t="s">
        <v>31</v>
      </c>
      <c r="H246" s="76">
        <v>45166.0</v>
      </c>
      <c r="I246" s="75">
        <v>208.0</v>
      </c>
      <c r="J246" s="77">
        <v>96.69</v>
      </c>
      <c r="K246" s="77">
        <v>263.71</v>
      </c>
      <c r="L246" s="77">
        <v>20111.52</v>
      </c>
      <c r="M246" s="77">
        <v>54851.67999999999</v>
      </c>
      <c r="N246" s="77">
        <v>-34740.15999999999</v>
      </c>
      <c r="O246" s="78">
        <v>-1.727376150584341</v>
      </c>
    </row>
    <row r="247" ht="15.75" customHeight="1">
      <c r="B247" s="75" t="s">
        <v>273</v>
      </c>
      <c r="C247" s="75" t="s">
        <v>52</v>
      </c>
      <c r="D247" s="75" t="s">
        <v>34</v>
      </c>
      <c r="E247" s="75" t="s">
        <v>26</v>
      </c>
      <c r="F247" s="75" t="s">
        <v>17</v>
      </c>
      <c r="G247" s="75" t="s">
        <v>23</v>
      </c>
      <c r="H247" s="76">
        <v>45167.0</v>
      </c>
      <c r="I247" s="75">
        <v>396.0</v>
      </c>
      <c r="J247" s="77">
        <v>459.29</v>
      </c>
      <c r="K247" s="77">
        <v>125.75</v>
      </c>
      <c r="L247" s="77">
        <v>181878.84</v>
      </c>
      <c r="M247" s="77">
        <v>49797.0</v>
      </c>
      <c r="N247" s="77">
        <v>132081.84</v>
      </c>
      <c r="O247" s="78">
        <v>0.7262078425395719</v>
      </c>
    </row>
    <row r="248" ht="15.75" customHeight="1">
      <c r="B248" s="75" t="s">
        <v>274</v>
      </c>
      <c r="C248" s="75" t="s">
        <v>14</v>
      </c>
      <c r="D248" s="75" t="s">
        <v>29</v>
      </c>
      <c r="E248" s="75" t="s">
        <v>46</v>
      </c>
      <c r="F248" s="75" t="s">
        <v>27</v>
      </c>
      <c r="G248" s="75" t="s">
        <v>23</v>
      </c>
      <c r="H248" s="76">
        <v>45168.0</v>
      </c>
      <c r="I248" s="75">
        <v>358.0</v>
      </c>
      <c r="J248" s="77">
        <v>215.14</v>
      </c>
      <c r="K248" s="77">
        <v>297.45</v>
      </c>
      <c r="L248" s="77">
        <v>77020.12</v>
      </c>
      <c r="M248" s="77">
        <v>106487.09999999999</v>
      </c>
      <c r="N248" s="77">
        <v>-29466.979999999996</v>
      </c>
      <c r="O248" s="78">
        <v>-0.38258808217904616</v>
      </c>
    </row>
    <row r="249" ht="15.75" customHeight="1">
      <c r="B249" s="75" t="s">
        <v>275</v>
      </c>
      <c r="C249" s="75" t="s">
        <v>20</v>
      </c>
      <c r="D249" s="75" t="s">
        <v>34</v>
      </c>
      <c r="E249" s="75" t="s">
        <v>16</v>
      </c>
      <c r="F249" s="75" t="s">
        <v>17</v>
      </c>
      <c r="G249" s="75" t="s">
        <v>23</v>
      </c>
      <c r="H249" s="76">
        <v>45169.0</v>
      </c>
      <c r="I249" s="75">
        <v>457.0</v>
      </c>
      <c r="J249" s="77">
        <v>48.08</v>
      </c>
      <c r="K249" s="77">
        <v>326.42</v>
      </c>
      <c r="L249" s="77">
        <v>21972.559999999998</v>
      </c>
      <c r="M249" s="77">
        <v>149173.94</v>
      </c>
      <c r="N249" s="77">
        <v>-127201.38</v>
      </c>
      <c r="O249" s="78">
        <v>-5.78910149750416</v>
      </c>
    </row>
    <row r="250" ht="15.75" customHeight="1">
      <c r="B250" s="75" t="s">
        <v>276</v>
      </c>
      <c r="C250" s="75" t="s">
        <v>25</v>
      </c>
      <c r="D250" s="75" t="s">
        <v>21</v>
      </c>
      <c r="E250" s="75" t="s">
        <v>22</v>
      </c>
      <c r="F250" s="75" t="s">
        <v>17</v>
      </c>
      <c r="G250" s="75" t="s">
        <v>31</v>
      </c>
      <c r="H250" s="76">
        <v>45170.0</v>
      </c>
      <c r="I250" s="75">
        <v>437.0</v>
      </c>
      <c r="J250" s="77">
        <v>408.8</v>
      </c>
      <c r="K250" s="77">
        <v>246.76</v>
      </c>
      <c r="L250" s="77">
        <v>178645.6</v>
      </c>
      <c r="M250" s="77">
        <v>107834.12</v>
      </c>
      <c r="N250" s="77">
        <v>70811.48000000001</v>
      </c>
      <c r="O250" s="78">
        <v>0.3963796477495108</v>
      </c>
    </row>
    <row r="251" ht="15.75" customHeight="1">
      <c r="B251" s="75" t="s">
        <v>277</v>
      </c>
      <c r="C251" s="75" t="s">
        <v>14</v>
      </c>
      <c r="D251" s="75" t="s">
        <v>29</v>
      </c>
      <c r="E251" s="75" t="s">
        <v>30</v>
      </c>
      <c r="F251" s="75" t="s">
        <v>17</v>
      </c>
      <c r="G251" s="75" t="s">
        <v>18</v>
      </c>
      <c r="H251" s="76">
        <v>45171.0</v>
      </c>
      <c r="I251" s="75">
        <v>190.0</v>
      </c>
      <c r="J251" s="77">
        <v>189.89</v>
      </c>
      <c r="K251" s="77">
        <v>275.78</v>
      </c>
      <c r="L251" s="77">
        <v>36079.1</v>
      </c>
      <c r="M251" s="77">
        <v>52398.2</v>
      </c>
      <c r="N251" s="77">
        <v>-16319.099999999999</v>
      </c>
      <c r="O251" s="78">
        <v>-0.45231449786718625</v>
      </c>
    </row>
    <row r="252" ht="15.75" customHeight="1">
      <c r="B252" s="75" t="s">
        <v>278</v>
      </c>
      <c r="C252" s="75" t="s">
        <v>52</v>
      </c>
      <c r="D252" s="75" t="s">
        <v>54</v>
      </c>
      <c r="E252" s="75" t="s">
        <v>46</v>
      </c>
      <c r="F252" s="75" t="s">
        <v>27</v>
      </c>
      <c r="G252" s="75" t="s">
        <v>31</v>
      </c>
      <c r="H252" s="76">
        <v>45172.0</v>
      </c>
      <c r="I252" s="75">
        <v>33.0</v>
      </c>
      <c r="J252" s="77">
        <v>265.62</v>
      </c>
      <c r="K252" s="77">
        <v>151.35</v>
      </c>
      <c r="L252" s="77">
        <v>8765.460000000001</v>
      </c>
      <c r="M252" s="77">
        <v>4994.55</v>
      </c>
      <c r="N252" s="77">
        <v>3770.9100000000008</v>
      </c>
      <c r="O252" s="78">
        <v>0.4302010390783827</v>
      </c>
    </row>
    <row r="253" ht="15.75" customHeight="1">
      <c r="B253" s="75" t="s">
        <v>279</v>
      </c>
      <c r="C253" s="75" t="s">
        <v>25</v>
      </c>
      <c r="D253" s="75" t="s">
        <v>29</v>
      </c>
      <c r="E253" s="75" t="s">
        <v>46</v>
      </c>
      <c r="F253" s="75" t="s">
        <v>17</v>
      </c>
      <c r="G253" s="75" t="s">
        <v>18</v>
      </c>
      <c r="H253" s="76">
        <v>45173.0</v>
      </c>
      <c r="I253" s="75">
        <v>325.0</v>
      </c>
      <c r="J253" s="77">
        <v>60.59</v>
      </c>
      <c r="K253" s="77">
        <v>216.4</v>
      </c>
      <c r="L253" s="77">
        <v>19691.75</v>
      </c>
      <c r="M253" s="77">
        <v>70330.0</v>
      </c>
      <c r="N253" s="77">
        <v>-50638.25</v>
      </c>
      <c r="O253" s="78">
        <v>-2.57154645981185</v>
      </c>
    </row>
    <row r="254" ht="15.75" customHeight="1">
      <c r="B254" s="75" t="s">
        <v>280</v>
      </c>
      <c r="C254" s="75" t="s">
        <v>25</v>
      </c>
      <c r="D254" s="75" t="s">
        <v>29</v>
      </c>
      <c r="E254" s="75" t="s">
        <v>30</v>
      </c>
      <c r="F254" s="75" t="s">
        <v>27</v>
      </c>
      <c r="G254" s="75" t="s">
        <v>18</v>
      </c>
      <c r="H254" s="76">
        <v>45174.0</v>
      </c>
      <c r="I254" s="75">
        <v>387.0</v>
      </c>
      <c r="J254" s="77">
        <v>6.28</v>
      </c>
      <c r="K254" s="77">
        <v>210.62</v>
      </c>
      <c r="L254" s="77">
        <v>2430.36</v>
      </c>
      <c r="M254" s="77">
        <v>81509.94</v>
      </c>
      <c r="N254" s="77">
        <v>-79079.58</v>
      </c>
      <c r="O254" s="78">
        <v>-32.538216560509554</v>
      </c>
    </row>
    <row r="255" ht="15.75" customHeight="1">
      <c r="B255" s="75" t="s">
        <v>281</v>
      </c>
      <c r="C255" s="75" t="s">
        <v>25</v>
      </c>
      <c r="D255" s="75" t="s">
        <v>29</v>
      </c>
      <c r="E255" s="75" t="s">
        <v>22</v>
      </c>
      <c r="F255" s="75" t="s">
        <v>17</v>
      </c>
      <c r="G255" s="75" t="s">
        <v>31</v>
      </c>
      <c r="H255" s="76">
        <v>45175.0</v>
      </c>
      <c r="I255" s="75">
        <v>396.0</v>
      </c>
      <c r="J255" s="77">
        <v>320.8</v>
      </c>
      <c r="K255" s="77">
        <v>339.52</v>
      </c>
      <c r="L255" s="77">
        <v>127036.8</v>
      </c>
      <c r="M255" s="77">
        <v>134449.91999999998</v>
      </c>
      <c r="N255" s="77">
        <v>-7413.119999999981</v>
      </c>
      <c r="O255" s="78">
        <v>-0.058354114713216804</v>
      </c>
    </row>
    <row r="256" ht="15.75" customHeight="1">
      <c r="B256" s="75" t="s">
        <v>282</v>
      </c>
      <c r="C256" s="75" t="s">
        <v>14</v>
      </c>
      <c r="D256" s="75" t="s">
        <v>29</v>
      </c>
      <c r="E256" s="75" t="s">
        <v>46</v>
      </c>
      <c r="F256" s="75" t="s">
        <v>17</v>
      </c>
      <c r="G256" s="75" t="s">
        <v>18</v>
      </c>
      <c r="H256" s="76">
        <v>45176.0</v>
      </c>
      <c r="I256" s="75">
        <v>413.0</v>
      </c>
      <c r="J256" s="77">
        <v>260.01</v>
      </c>
      <c r="K256" s="77">
        <v>336.31</v>
      </c>
      <c r="L256" s="77">
        <v>107384.12999999999</v>
      </c>
      <c r="M256" s="77">
        <v>138896.03</v>
      </c>
      <c r="N256" s="77">
        <v>-31511.90000000001</v>
      </c>
      <c r="O256" s="78">
        <v>-0.2934502519133881</v>
      </c>
    </row>
    <row r="257" ht="15.75" customHeight="1">
      <c r="B257" s="75" t="s">
        <v>283</v>
      </c>
      <c r="C257" s="75" t="s">
        <v>52</v>
      </c>
      <c r="D257" s="75" t="s">
        <v>34</v>
      </c>
      <c r="E257" s="75" t="s">
        <v>46</v>
      </c>
      <c r="F257" s="75" t="s">
        <v>17</v>
      </c>
      <c r="G257" s="75" t="s">
        <v>18</v>
      </c>
      <c r="H257" s="76">
        <v>45177.0</v>
      </c>
      <c r="I257" s="75">
        <v>255.9029411764706</v>
      </c>
      <c r="J257" s="77">
        <v>298.8</v>
      </c>
      <c r="K257" s="77">
        <v>333.41</v>
      </c>
      <c r="L257" s="77">
        <v>76463.79882352942</v>
      </c>
      <c r="M257" s="77">
        <v>85320.59961764707</v>
      </c>
      <c r="N257" s="77">
        <v>-8856.800794117647</v>
      </c>
      <c r="O257" s="78">
        <v>-0.11582998661311913</v>
      </c>
    </row>
    <row r="258" ht="15.75" customHeight="1">
      <c r="B258" s="75" t="s">
        <v>284</v>
      </c>
      <c r="C258" s="75" t="s">
        <v>25</v>
      </c>
      <c r="D258" s="75" t="s">
        <v>21</v>
      </c>
      <c r="E258" s="75" t="s">
        <v>16</v>
      </c>
      <c r="F258" s="75" t="s">
        <v>27</v>
      </c>
      <c r="G258" s="75" t="s">
        <v>23</v>
      </c>
      <c r="H258" s="76">
        <v>45178.0</v>
      </c>
      <c r="I258" s="75">
        <v>24.0</v>
      </c>
      <c r="J258" s="77">
        <v>397.9</v>
      </c>
      <c r="K258" s="77">
        <v>6.39</v>
      </c>
      <c r="L258" s="77">
        <v>9549.599999999999</v>
      </c>
      <c r="M258" s="77">
        <v>153.35999999999999</v>
      </c>
      <c r="N258" s="77">
        <v>9396.239999999998</v>
      </c>
      <c r="O258" s="78">
        <v>0.9839406886152299</v>
      </c>
    </row>
    <row r="259" ht="15.75" customHeight="1">
      <c r="B259" s="75" t="s">
        <v>285</v>
      </c>
      <c r="C259" s="75" t="s">
        <v>20</v>
      </c>
      <c r="D259" s="75" t="s">
        <v>15</v>
      </c>
      <c r="E259" s="75" t="s">
        <v>39</v>
      </c>
      <c r="F259" s="75" t="s">
        <v>17</v>
      </c>
      <c r="G259" s="75" t="s">
        <v>18</v>
      </c>
      <c r="H259" s="76">
        <v>45179.0</v>
      </c>
      <c r="I259" s="75">
        <v>162.0</v>
      </c>
      <c r="J259" s="77">
        <v>325.07</v>
      </c>
      <c r="K259" s="77">
        <v>300.32</v>
      </c>
      <c r="L259" s="77">
        <v>52661.34</v>
      </c>
      <c r="M259" s="77">
        <v>48651.84</v>
      </c>
      <c r="N259" s="77">
        <v>4009.5</v>
      </c>
      <c r="O259" s="78">
        <v>0.07613744731903899</v>
      </c>
    </row>
    <row r="260" ht="15.75" customHeight="1">
      <c r="B260" s="75" t="s">
        <v>286</v>
      </c>
      <c r="C260" s="75" t="s">
        <v>25</v>
      </c>
      <c r="D260" s="75" t="s">
        <v>29</v>
      </c>
      <c r="E260" s="75" t="s">
        <v>46</v>
      </c>
      <c r="F260" s="75" t="s">
        <v>27</v>
      </c>
      <c r="G260" s="75" t="s">
        <v>31</v>
      </c>
      <c r="H260" s="76">
        <v>45180.0</v>
      </c>
      <c r="I260" s="75">
        <v>231.0</v>
      </c>
      <c r="J260" s="77">
        <v>91.51</v>
      </c>
      <c r="K260" s="77">
        <v>303.95</v>
      </c>
      <c r="L260" s="77">
        <v>21138.81</v>
      </c>
      <c r="M260" s="77">
        <v>70212.45</v>
      </c>
      <c r="N260" s="77">
        <v>-49073.64</v>
      </c>
      <c r="O260" s="78">
        <v>-2.321494918588132</v>
      </c>
    </row>
    <row r="261" ht="15.75" customHeight="1">
      <c r="B261" s="75" t="s">
        <v>287</v>
      </c>
      <c r="C261" s="75" t="s">
        <v>25</v>
      </c>
      <c r="D261" s="75" t="s">
        <v>54</v>
      </c>
      <c r="E261" s="75" t="s">
        <v>22</v>
      </c>
      <c r="F261" s="75" t="s">
        <v>27</v>
      </c>
      <c r="G261" s="75" t="s">
        <v>31</v>
      </c>
      <c r="H261" s="76">
        <v>45181.0</v>
      </c>
      <c r="I261" s="75">
        <v>215.0</v>
      </c>
      <c r="J261" s="77">
        <v>183.58</v>
      </c>
      <c r="K261" s="77">
        <v>271.99</v>
      </c>
      <c r="L261" s="77">
        <v>39469.700000000004</v>
      </c>
      <c r="M261" s="77">
        <v>58477.85</v>
      </c>
      <c r="N261" s="77">
        <v>-19008.149999999994</v>
      </c>
      <c r="O261" s="78">
        <v>-0.4815884083233466</v>
      </c>
    </row>
    <row r="262" ht="15.75" customHeight="1">
      <c r="B262" s="75" t="s">
        <v>288</v>
      </c>
      <c r="C262" s="75" t="s">
        <v>14</v>
      </c>
      <c r="D262" s="75" t="s">
        <v>29</v>
      </c>
      <c r="E262" s="75" t="s">
        <v>30</v>
      </c>
      <c r="F262" s="75" t="s">
        <v>27</v>
      </c>
      <c r="G262" s="75" t="s">
        <v>18</v>
      </c>
      <c r="H262" s="76">
        <v>45182.0</v>
      </c>
      <c r="I262" s="75">
        <v>464.0</v>
      </c>
      <c r="J262" s="77">
        <v>453.42</v>
      </c>
      <c r="K262" s="77">
        <v>302.99</v>
      </c>
      <c r="L262" s="77">
        <v>210386.88</v>
      </c>
      <c r="M262" s="77">
        <v>140587.36000000002</v>
      </c>
      <c r="N262" s="77">
        <v>69799.51999999999</v>
      </c>
      <c r="O262" s="78">
        <v>0.33176745622160464</v>
      </c>
    </row>
    <row r="263" ht="15.75" customHeight="1">
      <c r="B263" s="75" t="s">
        <v>289</v>
      </c>
      <c r="C263" s="75" t="s">
        <v>14</v>
      </c>
      <c r="D263" s="75" t="s">
        <v>54</v>
      </c>
      <c r="E263" s="75" t="s">
        <v>26</v>
      </c>
      <c r="F263" s="75" t="s">
        <v>17</v>
      </c>
      <c r="G263" s="75" t="s">
        <v>23</v>
      </c>
      <c r="H263" s="76">
        <v>45183.0</v>
      </c>
      <c r="I263" s="75">
        <v>282.0</v>
      </c>
      <c r="J263" s="77">
        <v>249.64520588235297</v>
      </c>
      <c r="K263" s="77">
        <v>337.1</v>
      </c>
      <c r="L263" s="77">
        <v>70399.94805882353</v>
      </c>
      <c r="M263" s="77">
        <v>95062.20000000001</v>
      </c>
      <c r="N263" s="77">
        <v>-24662.25194117648</v>
      </c>
      <c r="O263" s="78">
        <v>-0.35031633717356775</v>
      </c>
    </row>
    <row r="264" ht="15.75" customHeight="1">
      <c r="B264" s="75" t="s">
        <v>290</v>
      </c>
      <c r="C264" s="75" t="s">
        <v>52</v>
      </c>
      <c r="D264" s="75" t="s">
        <v>34</v>
      </c>
      <c r="E264" s="75" t="s">
        <v>46</v>
      </c>
      <c r="F264" s="75" t="s">
        <v>17</v>
      </c>
      <c r="G264" s="75" t="s">
        <v>23</v>
      </c>
      <c r="H264" s="76">
        <v>45184.0</v>
      </c>
      <c r="I264" s="75">
        <v>391.0</v>
      </c>
      <c r="J264" s="77">
        <v>280.54</v>
      </c>
      <c r="K264" s="77">
        <v>189.19</v>
      </c>
      <c r="L264" s="77">
        <v>109691.14000000001</v>
      </c>
      <c r="M264" s="77">
        <v>73973.29</v>
      </c>
      <c r="N264" s="77">
        <v>35717.85000000002</v>
      </c>
      <c r="O264" s="78">
        <v>0.3256220146859629</v>
      </c>
    </row>
    <row r="265" ht="15.75" customHeight="1">
      <c r="B265" s="75" t="s">
        <v>291</v>
      </c>
      <c r="C265" s="75" t="s">
        <v>20</v>
      </c>
      <c r="D265" s="75" t="s">
        <v>54</v>
      </c>
      <c r="E265" s="75" t="s">
        <v>16</v>
      </c>
      <c r="F265" s="75" t="s">
        <v>17</v>
      </c>
      <c r="G265" s="75" t="s">
        <v>18</v>
      </c>
      <c r="H265" s="76">
        <v>45185.0</v>
      </c>
      <c r="I265" s="75">
        <v>245.0</v>
      </c>
      <c r="J265" s="77">
        <v>131.54</v>
      </c>
      <c r="K265" s="77">
        <v>201.82</v>
      </c>
      <c r="L265" s="77">
        <v>32227.3</v>
      </c>
      <c r="M265" s="77">
        <v>49445.9</v>
      </c>
      <c r="N265" s="77">
        <v>-17218.600000000002</v>
      </c>
      <c r="O265" s="78">
        <v>-0.5342861487000153</v>
      </c>
    </row>
    <row r="266" ht="15.75" customHeight="1">
      <c r="B266" s="75" t="s">
        <v>292</v>
      </c>
      <c r="C266" s="75" t="s">
        <v>14</v>
      </c>
      <c r="D266" s="75" t="s">
        <v>15</v>
      </c>
      <c r="E266" s="75" t="s">
        <v>30</v>
      </c>
      <c r="F266" s="75" t="s">
        <v>17</v>
      </c>
      <c r="G266" s="75" t="s">
        <v>18</v>
      </c>
      <c r="H266" s="76">
        <v>45186.0</v>
      </c>
      <c r="I266" s="75">
        <v>349.0</v>
      </c>
      <c r="J266" s="77">
        <v>154.52</v>
      </c>
      <c r="K266" s="77">
        <v>51.64</v>
      </c>
      <c r="L266" s="77">
        <v>53927.48</v>
      </c>
      <c r="M266" s="77">
        <v>18022.36</v>
      </c>
      <c r="N266" s="77">
        <v>35905.12</v>
      </c>
      <c r="O266" s="78">
        <v>0.6658037794460264</v>
      </c>
    </row>
    <row r="267" ht="15.75" customHeight="1">
      <c r="B267" s="75" t="s">
        <v>293</v>
      </c>
      <c r="C267" s="75" t="s">
        <v>25</v>
      </c>
      <c r="D267" s="75" t="s">
        <v>21</v>
      </c>
      <c r="E267" s="75" t="s">
        <v>22</v>
      </c>
      <c r="F267" s="75" t="s">
        <v>27</v>
      </c>
      <c r="G267" s="75" t="s">
        <v>31</v>
      </c>
      <c r="H267" s="76">
        <v>45187.0</v>
      </c>
      <c r="I267" s="75">
        <v>237.0</v>
      </c>
      <c r="J267" s="77">
        <v>249.64520588235297</v>
      </c>
      <c r="K267" s="77">
        <v>155.38</v>
      </c>
      <c r="L267" s="77">
        <v>59165.91379411765</v>
      </c>
      <c r="M267" s="77">
        <v>36825.06</v>
      </c>
      <c r="N267" s="77">
        <v>22340.853794117655</v>
      </c>
      <c r="O267" s="78">
        <v>0.3775966998812551</v>
      </c>
    </row>
    <row r="268" ht="15.75" customHeight="1">
      <c r="B268" s="75" t="s">
        <v>294</v>
      </c>
      <c r="C268" s="75" t="s">
        <v>52</v>
      </c>
      <c r="D268" s="75" t="s">
        <v>54</v>
      </c>
      <c r="E268" s="75" t="s">
        <v>30</v>
      </c>
      <c r="F268" s="75" t="s">
        <v>27</v>
      </c>
      <c r="G268" s="75" t="s">
        <v>18</v>
      </c>
      <c r="H268" s="76">
        <v>45188.0</v>
      </c>
      <c r="I268" s="75">
        <v>18.0</v>
      </c>
      <c r="J268" s="77">
        <v>426.33</v>
      </c>
      <c r="K268" s="77">
        <v>258.06</v>
      </c>
      <c r="L268" s="77">
        <v>7673.94</v>
      </c>
      <c r="M268" s="77">
        <v>4645.08</v>
      </c>
      <c r="N268" s="77">
        <v>3028.8599999999997</v>
      </c>
      <c r="O268" s="78">
        <v>0.3946942509323763</v>
      </c>
    </row>
    <row r="269" ht="15.75" customHeight="1">
      <c r="B269" s="75" t="s">
        <v>295</v>
      </c>
      <c r="C269" s="75" t="s">
        <v>25</v>
      </c>
      <c r="D269" s="75" t="s">
        <v>54</v>
      </c>
      <c r="E269" s="75" t="s">
        <v>46</v>
      </c>
      <c r="F269" s="75" t="s">
        <v>27</v>
      </c>
      <c r="G269" s="75" t="s">
        <v>23</v>
      </c>
      <c r="H269" s="76">
        <v>45189.0</v>
      </c>
      <c r="I269" s="75">
        <v>175.0</v>
      </c>
      <c r="J269" s="77">
        <v>337.36</v>
      </c>
      <c r="K269" s="77">
        <v>312.6</v>
      </c>
      <c r="L269" s="77">
        <v>59038.0</v>
      </c>
      <c r="M269" s="77">
        <v>54705.00000000001</v>
      </c>
      <c r="N269" s="77">
        <v>4332.999999999993</v>
      </c>
      <c r="O269" s="78">
        <v>0.0733934076357599</v>
      </c>
    </row>
    <row r="270" ht="15.75" customHeight="1">
      <c r="B270" s="75" t="s">
        <v>296</v>
      </c>
      <c r="C270" s="75" t="s">
        <v>25</v>
      </c>
      <c r="D270" s="75" t="s">
        <v>21</v>
      </c>
      <c r="E270" s="75" t="s">
        <v>39</v>
      </c>
      <c r="F270" s="75" t="s">
        <v>17</v>
      </c>
      <c r="G270" s="75" t="s">
        <v>18</v>
      </c>
      <c r="H270" s="76">
        <v>45190.0</v>
      </c>
      <c r="I270" s="75">
        <v>441.0</v>
      </c>
      <c r="J270" s="77">
        <v>405.72</v>
      </c>
      <c r="K270" s="77">
        <v>88.45</v>
      </c>
      <c r="L270" s="77">
        <v>178922.52000000002</v>
      </c>
      <c r="M270" s="77">
        <v>39006.450000000004</v>
      </c>
      <c r="N270" s="77">
        <v>139916.07</v>
      </c>
      <c r="O270" s="78">
        <v>0.7819925071477866</v>
      </c>
    </row>
    <row r="271" ht="15.75" customHeight="1">
      <c r="B271" s="75" t="s">
        <v>297</v>
      </c>
      <c r="C271" s="75" t="s">
        <v>14</v>
      </c>
      <c r="D271" s="75" t="s">
        <v>15</v>
      </c>
      <c r="E271" s="75" t="s">
        <v>26</v>
      </c>
      <c r="F271" s="75" t="s">
        <v>27</v>
      </c>
      <c r="G271" s="75" t="s">
        <v>31</v>
      </c>
      <c r="H271" s="76">
        <v>45191.0</v>
      </c>
      <c r="I271" s="75">
        <v>453.0</v>
      </c>
      <c r="J271" s="77">
        <v>384.49</v>
      </c>
      <c r="K271" s="77">
        <v>56.85</v>
      </c>
      <c r="L271" s="77">
        <v>174173.97</v>
      </c>
      <c r="M271" s="77">
        <v>25753.05</v>
      </c>
      <c r="N271" s="77">
        <v>148420.92</v>
      </c>
      <c r="O271" s="78">
        <v>0.8521417982262218</v>
      </c>
    </row>
    <row r="272" ht="15.75" customHeight="1">
      <c r="B272" s="75" t="s">
        <v>298</v>
      </c>
      <c r="C272" s="75" t="s">
        <v>52</v>
      </c>
      <c r="D272" s="75" t="s">
        <v>29</v>
      </c>
      <c r="E272" s="75" t="s">
        <v>30</v>
      </c>
      <c r="F272" s="75" t="s">
        <v>17</v>
      </c>
      <c r="G272" s="75" t="s">
        <v>31</v>
      </c>
      <c r="H272" s="76">
        <v>45192.0</v>
      </c>
      <c r="I272" s="75">
        <v>328.0</v>
      </c>
      <c r="J272" s="77">
        <v>79.1</v>
      </c>
      <c r="K272" s="77">
        <v>265.89</v>
      </c>
      <c r="L272" s="77">
        <v>25944.8</v>
      </c>
      <c r="M272" s="77">
        <v>87211.92</v>
      </c>
      <c r="N272" s="77">
        <v>-61267.119999999995</v>
      </c>
      <c r="O272" s="78">
        <v>-2.361441213653603</v>
      </c>
    </row>
    <row r="273" ht="15.75" customHeight="1">
      <c r="B273" s="75" t="s">
        <v>299</v>
      </c>
      <c r="C273" s="75" t="s">
        <v>20</v>
      </c>
      <c r="D273" s="75" t="s">
        <v>54</v>
      </c>
      <c r="E273" s="75" t="s">
        <v>46</v>
      </c>
      <c r="F273" s="75" t="s">
        <v>27</v>
      </c>
      <c r="G273" s="75" t="s">
        <v>31</v>
      </c>
      <c r="H273" s="76">
        <v>45193.0</v>
      </c>
      <c r="I273" s="75">
        <v>223.0</v>
      </c>
      <c r="J273" s="77">
        <v>214.85</v>
      </c>
      <c r="K273" s="77">
        <v>2.75</v>
      </c>
      <c r="L273" s="77">
        <v>47911.549999999996</v>
      </c>
      <c r="M273" s="77">
        <v>613.25</v>
      </c>
      <c r="N273" s="77">
        <v>47298.299999999996</v>
      </c>
      <c r="O273" s="78">
        <v>0.9872003723528043</v>
      </c>
    </row>
    <row r="274" ht="15.75" customHeight="1">
      <c r="B274" s="75" t="s">
        <v>300</v>
      </c>
      <c r="C274" s="75" t="s">
        <v>20</v>
      </c>
      <c r="D274" s="75" t="s">
        <v>21</v>
      </c>
      <c r="E274" s="75" t="s">
        <v>16</v>
      </c>
      <c r="F274" s="75" t="s">
        <v>17</v>
      </c>
      <c r="G274" s="75" t="s">
        <v>31</v>
      </c>
      <c r="H274" s="76">
        <v>45194.0</v>
      </c>
      <c r="I274" s="75">
        <v>126.0</v>
      </c>
      <c r="J274" s="77">
        <v>80.73</v>
      </c>
      <c r="K274" s="77">
        <v>72.99</v>
      </c>
      <c r="L274" s="77">
        <v>10171.980000000001</v>
      </c>
      <c r="M274" s="77">
        <v>9196.74</v>
      </c>
      <c r="N274" s="77">
        <v>975.2400000000016</v>
      </c>
      <c r="O274" s="78">
        <v>0.09587513935340036</v>
      </c>
    </row>
    <row r="275" ht="15.75" customHeight="1">
      <c r="B275" s="75" t="s">
        <v>301</v>
      </c>
      <c r="C275" s="75" t="s">
        <v>14</v>
      </c>
      <c r="D275" s="75" t="s">
        <v>34</v>
      </c>
      <c r="E275" s="75" t="s">
        <v>22</v>
      </c>
      <c r="F275" s="75" t="s">
        <v>17</v>
      </c>
      <c r="G275" s="75" t="s">
        <v>31</v>
      </c>
      <c r="H275" s="76">
        <v>45195.0</v>
      </c>
      <c r="I275" s="75">
        <v>395.0</v>
      </c>
      <c r="J275" s="77">
        <v>121.44</v>
      </c>
      <c r="K275" s="77">
        <v>13.57</v>
      </c>
      <c r="L275" s="77">
        <v>47968.799999999996</v>
      </c>
      <c r="M275" s="77">
        <v>5360.150000000001</v>
      </c>
      <c r="N275" s="77">
        <v>42608.649999999994</v>
      </c>
      <c r="O275" s="78">
        <v>0.8882575757575757</v>
      </c>
    </row>
    <row r="276" ht="15.75" customHeight="1">
      <c r="B276" s="75" t="s">
        <v>302</v>
      </c>
      <c r="C276" s="75" t="s">
        <v>14</v>
      </c>
      <c r="D276" s="75" t="s">
        <v>21</v>
      </c>
      <c r="E276" s="75" t="s">
        <v>30</v>
      </c>
      <c r="F276" s="75" t="s">
        <v>27</v>
      </c>
      <c r="G276" s="75" t="s">
        <v>18</v>
      </c>
      <c r="H276" s="76">
        <v>45196.0</v>
      </c>
      <c r="I276" s="75">
        <v>353.0</v>
      </c>
      <c r="J276" s="77">
        <v>435.28</v>
      </c>
      <c r="K276" s="77">
        <v>68.42</v>
      </c>
      <c r="L276" s="77">
        <v>153653.84</v>
      </c>
      <c r="M276" s="77">
        <v>24152.260000000002</v>
      </c>
      <c r="N276" s="77">
        <v>129501.57999999999</v>
      </c>
      <c r="O276" s="78">
        <v>0.8428138209887888</v>
      </c>
    </row>
    <row r="277" ht="15.75" customHeight="1">
      <c r="B277" s="75" t="s">
        <v>303</v>
      </c>
      <c r="C277" s="75" t="s">
        <v>52</v>
      </c>
      <c r="D277" s="75" t="s">
        <v>34</v>
      </c>
      <c r="E277" s="75" t="s">
        <v>30</v>
      </c>
      <c r="F277" s="75" t="s">
        <v>27</v>
      </c>
      <c r="G277" s="75" t="s">
        <v>18</v>
      </c>
      <c r="H277" s="76">
        <v>45197.0</v>
      </c>
      <c r="I277" s="75">
        <v>81.0</v>
      </c>
      <c r="J277" s="77">
        <v>239.08</v>
      </c>
      <c r="K277" s="77">
        <v>74.17</v>
      </c>
      <c r="L277" s="77">
        <v>19365.48</v>
      </c>
      <c r="M277" s="77">
        <v>6007.77</v>
      </c>
      <c r="N277" s="77">
        <v>13357.71</v>
      </c>
      <c r="O277" s="78">
        <v>0.6897691149406057</v>
      </c>
    </row>
    <row r="278" ht="15.75" customHeight="1">
      <c r="B278" s="75" t="s">
        <v>304</v>
      </c>
      <c r="C278" s="75" t="s">
        <v>20</v>
      </c>
      <c r="D278" s="75" t="s">
        <v>15</v>
      </c>
      <c r="E278" s="75" t="s">
        <v>26</v>
      </c>
      <c r="F278" s="75" t="s">
        <v>27</v>
      </c>
      <c r="G278" s="75" t="s">
        <v>18</v>
      </c>
      <c r="H278" s="76">
        <v>45198.0</v>
      </c>
      <c r="I278" s="75">
        <v>404.0</v>
      </c>
      <c r="J278" s="77">
        <v>270.0</v>
      </c>
      <c r="K278" s="77">
        <v>156.29</v>
      </c>
      <c r="L278" s="77">
        <v>109080.0</v>
      </c>
      <c r="M278" s="77">
        <v>63141.159999999996</v>
      </c>
      <c r="N278" s="77">
        <v>45938.840000000004</v>
      </c>
      <c r="O278" s="78">
        <v>0.42114814814814816</v>
      </c>
    </row>
    <row r="279" ht="15.75" customHeight="1">
      <c r="B279" s="75" t="s">
        <v>305</v>
      </c>
      <c r="C279" s="75" t="s">
        <v>20</v>
      </c>
      <c r="D279" s="75" t="s">
        <v>29</v>
      </c>
      <c r="E279" s="75" t="s">
        <v>26</v>
      </c>
      <c r="F279" s="75" t="s">
        <v>27</v>
      </c>
      <c r="G279" s="75" t="s">
        <v>18</v>
      </c>
      <c r="H279" s="76">
        <v>45199.0</v>
      </c>
      <c r="I279" s="75">
        <v>73.0</v>
      </c>
      <c r="J279" s="77">
        <v>93.33</v>
      </c>
      <c r="K279" s="77">
        <v>162.13</v>
      </c>
      <c r="L279" s="77">
        <v>6813.09</v>
      </c>
      <c r="M279" s="77">
        <v>11835.49</v>
      </c>
      <c r="N279" s="77">
        <v>-5022.4</v>
      </c>
      <c r="O279" s="78">
        <v>-0.7371691846137362</v>
      </c>
    </row>
    <row r="280" ht="15.75" customHeight="1">
      <c r="B280" s="75" t="s">
        <v>306</v>
      </c>
      <c r="C280" s="75" t="s">
        <v>20</v>
      </c>
      <c r="D280" s="75" t="s">
        <v>21</v>
      </c>
      <c r="E280" s="75" t="s">
        <v>16</v>
      </c>
      <c r="F280" s="75" t="s">
        <v>17</v>
      </c>
      <c r="G280" s="75" t="s">
        <v>31</v>
      </c>
      <c r="H280" s="76">
        <v>45200.0</v>
      </c>
      <c r="I280" s="75">
        <v>214.0</v>
      </c>
      <c r="J280" s="77">
        <v>159.57</v>
      </c>
      <c r="K280" s="77">
        <v>349.96</v>
      </c>
      <c r="L280" s="77">
        <v>34147.979999999996</v>
      </c>
      <c r="M280" s="77">
        <v>74891.44</v>
      </c>
      <c r="N280" s="77">
        <v>-40743.46000000001</v>
      </c>
      <c r="O280" s="78">
        <v>-1.1931440747007587</v>
      </c>
    </row>
    <row r="281" ht="15.75" customHeight="1">
      <c r="B281" s="75" t="s">
        <v>307</v>
      </c>
      <c r="C281" s="75" t="s">
        <v>25</v>
      </c>
      <c r="D281" s="75" t="s">
        <v>54</v>
      </c>
      <c r="E281" s="75" t="s">
        <v>16</v>
      </c>
      <c r="F281" s="75" t="s">
        <v>27</v>
      </c>
      <c r="G281" s="75" t="s">
        <v>23</v>
      </c>
      <c r="H281" s="76">
        <v>45201.0</v>
      </c>
      <c r="I281" s="75">
        <v>218.0</v>
      </c>
      <c r="J281" s="77">
        <v>118.97</v>
      </c>
      <c r="K281" s="77">
        <v>205.02</v>
      </c>
      <c r="L281" s="77">
        <v>25935.46</v>
      </c>
      <c r="M281" s="77">
        <v>44694.36</v>
      </c>
      <c r="N281" s="77">
        <v>-18758.9</v>
      </c>
      <c r="O281" s="78">
        <v>-0.7232915861141465</v>
      </c>
    </row>
    <row r="282" ht="15.75" customHeight="1">
      <c r="B282" s="75" t="s">
        <v>308</v>
      </c>
      <c r="C282" s="75" t="s">
        <v>20</v>
      </c>
      <c r="D282" s="75" t="s">
        <v>15</v>
      </c>
      <c r="E282" s="75" t="s">
        <v>46</v>
      </c>
      <c r="F282" s="75" t="s">
        <v>27</v>
      </c>
      <c r="G282" s="75" t="s">
        <v>18</v>
      </c>
      <c r="H282" s="76">
        <v>45202.0</v>
      </c>
      <c r="I282" s="75">
        <v>81.0</v>
      </c>
      <c r="J282" s="77">
        <v>107.06</v>
      </c>
      <c r="K282" s="77">
        <v>289.92</v>
      </c>
      <c r="L282" s="77">
        <v>8671.86</v>
      </c>
      <c r="M282" s="77">
        <v>23483.52</v>
      </c>
      <c r="N282" s="77">
        <v>-14811.66</v>
      </c>
      <c r="O282" s="78">
        <v>-1.7080141976461796</v>
      </c>
    </row>
    <row r="283" ht="15.75" customHeight="1">
      <c r="B283" s="75" t="s">
        <v>309</v>
      </c>
      <c r="C283" s="75" t="s">
        <v>25</v>
      </c>
      <c r="D283" s="75" t="s">
        <v>21</v>
      </c>
      <c r="E283" s="75" t="s">
        <v>46</v>
      </c>
      <c r="F283" s="75" t="s">
        <v>27</v>
      </c>
      <c r="G283" s="75" t="s">
        <v>23</v>
      </c>
      <c r="H283" s="76">
        <v>45203.0</v>
      </c>
      <c r="I283" s="75">
        <v>286.0</v>
      </c>
      <c r="J283" s="77">
        <v>320.79</v>
      </c>
      <c r="K283" s="77">
        <v>43.45</v>
      </c>
      <c r="L283" s="77">
        <v>91745.94</v>
      </c>
      <c r="M283" s="77">
        <v>12426.7</v>
      </c>
      <c r="N283" s="77">
        <v>79319.24</v>
      </c>
      <c r="O283" s="78">
        <v>0.8645531344493282</v>
      </c>
    </row>
    <row r="284" ht="15.75" customHeight="1">
      <c r="B284" s="75" t="s">
        <v>310</v>
      </c>
      <c r="C284" s="75" t="s">
        <v>52</v>
      </c>
      <c r="D284" s="75" t="s">
        <v>54</v>
      </c>
      <c r="E284" s="75" t="s">
        <v>16</v>
      </c>
      <c r="F284" s="75" t="s">
        <v>17</v>
      </c>
      <c r="G284" s="75" t="s">
        <v>18</v>
      </c>
      <c r="H284" s="76">
        <v>45204.0</v>
      </c>
      <c r="I284" s="75">
        <v>283.0</v>
      </c>
      <c r="J284" s="77">
        <v>132.16</v>
      </c>
      <c r="K284" s="77">
        <v>91.72</v>
      </c>
      <c r="L284" s="77">
        <v>37401.28</v>
      </c>
      <c r="M284" s="77">
        <v>25956.76</v>
      </c>
      <c r="N284" s="77">
        <v>11444.52</v>
      </c>
      <c r="O284" s="78">
        <v>0.30599273607748184</v>
      </c>
    </row>
    <row r="285" ht="15.75" customHeight="1">
      <c r="B285" s="75" t="s">
        <v>311</v>
      </c>
      <c r="C285" s="75" t="s">
        <v>25</v>
      </c>
      <c r="D285" s="75" t="s">
        <v>21</v>
      </c>
      <c r="E285" s="75" t="s">
        <v>16</v>
      </c>
      <c r="F285" s="75" t="s">
        <v>17</v>
      </c>
      <c r="G285" s="75" t="s">
        <v>18</v>
      </c>
      <c r="H285" s="76">
        <v>45205.0</v>
      </c>
      <c r="I285" s="75">
        <v>487.0</v>
      </c>
      <c r="J285" s="77">
        <v>317.85</v>
      </c>
      <c r="K285" s="77">
        <v>281.77</v>
      </c>
      <c r="L285" s="77">
        <v>154792.95</v>
      </c>
      <c r="M285" s="77">
        <v>137221.99</v>
      </c>
      <c r="N285" s="77">
        <v>17570.96000000002</v>
      </c>
      <c r="O285" s="78">
        <v>0.11351266320591487</v>
      </c>
    </row>
    <row r="286" ht="15.75" customHeight="1">
      <c r="B286" s="75" t="s">
        <v>312</v>
      </c>
      <c r="C286" s="75" t="s">
        <v>52</v>
      </c>
      <c r="D286" s="75" t="s">
        <v>34</v>
      </c>
      <c r="E286" s="75" t="s">
        <v>22</v>
      </c>
      <c r="F286" s="75" t="s">
        <v>27</v>
      </c>
      <c r="G286" s="75" t="s">
        <v>23</v>
      </c>
      <c r="H286" s="76">
        <v>45206.0</v>
      </c>
      <c r="I286" s="75">
        <v>329.0</v>
      </c>
      <c r="J286" s="77">
        <v>33.94</v>
      </c>
      <c r="K286" s="77">
        <v>23.02</v>
      </c>
      <c r="L286" s="77">
        <v>11166.259999999998</v>
      </c>
      <c r="M286" s="77">
        <v>7573.58</v>
      </c>
      <c r="N286" s="77">
        <v>3592.6799999999985</v>
      </c>
      <c r="O286" s="78">
        <v>0.32174425456688266</v>
      </c>
    </row>
    <row r="287" ht="15.75" customHeight="1">
      <c r="B287" s="75" t="s">
        <v>313</v>
      </c>
      <c r="C287" s="75" t="s">
        <v>20</v>
      </c>
      <c r="D287" s="75" t="s">
        <v>21</v>
      </c>
      <c r="E287" s="75" t="s">
        <v>26</v>
      </c>
      <c r="F287" s="75" t="s">
        <v>17</v>
      </c>
      <c r="G287" s="75" t="s">
        <v>31</v>
      </c>
      <c r="H287" s="76">
        <v>45207.0</v>
      </c>
      <c r="I287" s="75">
        <v>347.0</v>
      </c>
      <c r="J287" s="77">
        <v>75.18</v>
      </c>
      <c r="K287" s="77">
        <v>195.67</v>
      </c>
      <c r="L287" s="77">
        <v>26087.460000000003</v>
      </c>
      <c r="M287" s="77">
        <v>67897.48999999999</v>
      </c>
      <c r="N287" s="77">
        <v>-41810.029999999984</v>
      </c>
      <c r="O287" s="78">
        <v>-1.602686884809789</v>
      </c>
    </row>
    <row r="288" ht="15.75" customHeight="1">
      <c r="B288" s="75" t="s">
        <v>314</v>
      </c>
      <c r="C288" s="75" t="s">
        <v>20</v>
      </c>
      <c r="D288" s="75" t="s">
        <v>21</v>
      </c>
      <c r="E288" s="75" t="s">
        <v>46</v>
      </c>
      <c r="F288" s="75" t="s">
        <v>27</v>
      </c>
      <c r="G288" s="75" t="s">
        <v>18</v>
      </c>
      <c r="H288" s="76">
        <v>45208.0</v>
      </c>
      <c r="I288" s="75">
        <v>375.0</v>
      </c>
      <c r="J288" s="77">
        <v>140.9</v>
      </c>
      <c r="K288" s="77">
        <v>240.55</v>
      </c>
      <c r="L288" s="77">
        <v>52837.5</v>
      </c>
      <c r="M288" s="77">
        <v>90206.25</v>
      </c>
      <c r="N288" s="77">
        <v>-37368.75</v>
      </c>
      <c r="O288" s="78">
        <v>-0.7072391767210788</v>
      </c>
    </row>
    <row r="289" ht="15.75" customHeight="1">
      <c r="B289" s="75" t="s">
        <v>315</v>
      </c>
      <c r="C289" s="75" t="s">
        <v>52</v>
      </c>
      <c r="D289" s="75" t="s">
        <v>21</v>
      </c>
      <c r="E289" s="75" t="s">
        <v>26</v>
      </c>
      <c r="F289" s="75" t="s">
        <v>17</v>
      </c>
      <c r="G289" s="75" t="s">
        <v>18</v>
      </c>
      <c r="H289" s="76">
        <v>45209.0</v>
      </c>
      <c r="I289" s="75">
        <v>104.0</v>
      </c>
      <c r="J289" s="77">
        <v>300.54</v>
      </c>
      <c r="K289" s="77">
        <v>241.65</v>
      </c>
      <c r="L289" s="77">
        <v>31256.160000000003</v>
      </c>
      <c r="M289" s="77">
        <v>25131.600000000002</v>
      </c>
      <c r="N289" s="77">
        <v>6124.560000000001</v>
      </c>
      <c r="O289" s="78">
        <v>0.1959472948692354</v>
      </c>
    </row>
    <row r="290" ht="15.75" customHeight="1">
      <c r="B290" s="75" t="s">
        <v>316</v>
      </c>
      <c r="C290" s="75" t="s">
        <v>14</v>
      </c>
      <c r="D290" s="75" t="s">
        <v>15</v>
      </c>
      <c r="E290" s="75" t="s">
        <v>39</v>
      </c>
      <c r="F290" s="75" t="s">
        <v>17</v>
      </c>
      <c r="G290" s="75" t="s">
        <v>18</v>
      </c>
      <c r="H290" s="76">
        <v>45210.0</v>
      </c>
      <c r="I290" s="75">
        <v>175.0</v>
      </c>
      <c r="J290" s="77">
        <v>339.54</v>
      </c>
      <c r="K290" s="77">
        <v>11.13</v>
      </c>
      <c r="L290" s="77">
        <v>59419.5</v>
      </c>
      <c r="M290" s="77">
        <v>1947.7500000000002</v>
      </c>
      <c r="N290" s="77">
        <v>57471.75</v>
      </c>
      <c r="O290" s="78">
        <v>0.9672203569535254</v>
      </c>
    </row>
    <row r="291" ht="15.75" customHeight="1">
      <c r="B291" s="75" t="s">
        <v>317</v>
      </c>
      <c r="C291" s="75" t="s">
        <v>52</v>
      </c>
      <c r="D291" s="75" t="s">
        <v>21</v>
      </c>
      <c r="E291" s="75" t="s">
        <v>16</v>
      </c>
      <c r="F291" s="75" t="s">
        <v>17</v>
      </c>
      <c r="G291" s="75" t="s">
        <v>23</v>
      </c>
      <c r="H291" s="76">
        <v>45211.0</v>
      </c>
      <c r="I291" s="75">
        <v>41.0</v>
      </c>
      <c r="J291" s="77">
        <v>224.14</v>
      </c>
      <c r="K291" s="77">
        <v>130.2</v>
      </c>
      <c r="L291" s="77">
        <v>9189.74</v>
      </c>
      <c r="M291" s="77">
        <v>5338.2</v>
      </c>
      <c r="N291" s="77">
        <v>3851.54</v>
      </c>
      <c r="O291" s="78">
        <v>0.41911305434103685</v>
      </c>
    </row>
    <row r="292" ht="15.75" customHeight="1">
      <c r="B292" s="75" t="s">
        <v>318</v>
      </c>
      <c r="C292" s="75" t="s">
        <v>14</v>
      </c>
      <c r="D292" s="75" t="s">
        <v>54</v>
      </c>
      <c r="E292" s="75" t="s">
        <v>22</v>
      </c>
      <c r="F292" s="75" t="s">
        <v>17</v>
      </c>
      <c r="G292" s="75" t="s">
        <v>31</v>
      </c>
      <c r="H292" s="76">
        <v>45212.0</v>
      </c>
      <c r="I292" s="75">
        <v>20.0</v>
      </c>
      <c r="J292" s="77">
        <v>225.67</v>
      </c>
      <c r="K292" s="77">
        <v>255.32</v>
      </c>
      <c r="L292" s="77">
        <v>4513.4</v>
      </c>
      <c r="M292" s="77">
        <v>5106.4</v>
      </c>
      <c r="N292" s="77">
        <v>-593.0</v>
      </c>
      <c r="O292" s="78">
        <v>-0.13138653786502416</v>
      </c>
    </row>
    <row r="293" ht="15.75" customHeight="1">
      <c r="B293" s="75" t="s">
        <v>319</v>
      </c>
      <c r="C293" s="75" t="s">
        <v>25</v>
      </c>
      <c r="D293" s="75" t="s">
        <v>34</v>
      </c>
      <c r="E293" s="75" t="s">
        <v>30</v>
      </c>
      <c r="F293" s="75" t="s">
        <v>27</v>
      </c>
      <c r="G293" s="75" t="s">
        <v>23</v>
      </c>
      <c r="H293" s="76">
        <v>45213.0</v>
      </c>
      <c r="I293" s="75">
        <v>310.0</v>
      </c>
      <c r="J293" s="77">
        <v>363.64</v>
      </c>
      <c r="K293" s="77">
        <v>61.3</v>
      </c>
      <c r="L293" s="77">
        <v>112728.4</v>
      </c>
      <c r="M293" s="77">
        <v>19003.0</v>
      </c>
      <c r="N293" s="77">
        <v>93725.4</v>
      </c>
      <c r="O293" s="78">
        <v>0.8314266857331427</v>
      </c>
    </row>
    <row r="294" ht="15.75" customHeight="1">
      <c r="B294" s="75" t="s">
        <v>320</v>
      </c>
      <c r="C294" s="75" t="s">
        <v>25</v>
      </c>
      <c r="D294" s="75" t="s">
        <v>34</v>
      </c>
      <c r="E294" s="75" t="s">
        <v>22</v>
      </c>
      <c r="F294" s="75" t="s">
        <v>27</v>
      </c>
      <c r="G294" s="75" t="s">
        <v>23</v>
      </c>
      <c r="H294" s="76">
        <v>45214.0</v>
      </c>
      <c r="I294" s="75">
        <v>226.0</v>
      </c>
      <c r="J294" s="77">
        <v>249.64520588235297</v>
      </c>
      <c r="K294" s="77">
        <v>278.78</v>
      </c>
      <c r="L294" s="77">
        <v>56419.81652941177</v>
      </c>
      <c r="M294" s="77">
        <v>63004.27999999999</v>
      </c>
      <c r="N294" s="77">
        <v>-6584.46347058822</v>
      </c>
      <c r="O294" s="78">
        <v>-0.11670480117842505</v>
      </c>
    </row>
    <row r="295" ht="15.75" customHeight="1">
      <c r="B295" s="75" t="s">
        <v>321</v>
      </c>
      <c r="C295" s="75" t="s">
        <v>25</v>
      </c>
      <c r="D295" s="75" t="s">
        <v>21</v>
      </c>
      <c r="E295" s="75" t="s">
        <v>22</v>
      </c>
      <c r="F295" s="75" t="s">
        <v>27</v>
      </c>
      <c r="G295" s="75" t="s">
        <v>31</v>
      </c>
      <c r="H295" s="76">
        <v>45215.0</v>
      </c>
      <c r="I295" s="75">
        <v>255.9029411764706</v>
      </c>
      <c r="J295" s="77">
        <v>173.84</v>
      </c>
      <c r="K295" s="77">
        <v>298.88</v>
      </c>
      <c r="L295" s="77">
        <v>44486.16729411765</v>
      </c>
      <c r="M295" s="77">
        <v>76484.27105882353</v>
      </c>
      <c r="N295" s="77">
        <v>-31998.103764705884</v>
      </c>
      <c r="O295" s="78">
        <v>-0.7192820984813622</v>
      </c>
    </row>
    <row r="296" ht="15.75" customHeight="1">
      <c r="B296" s="75" t="s">
        <v>322</v>
      </c>
      <c r="C296" s="75" t="s">
        <v>20</v>
      </c>
      <c r="D296" s="75" t="s">
        <v>15</v>
      </c>
      <c r="E296" s="75" t="s">
        <v>26</v>
      </c>
      <c r="F296" s="75" t="s">
        <v>17</v>
      </c>
      <c r="G296" s="75" t="s">
        <v>23</v>
      </c>
      <c r="H296" s="76">
        <v>45216.0</v>
      </c>
      <c r="I296" s="75">
        <v>111.0</v>
      </c>
      <c r="J296" s="77">
        <v>410.26</v>
      </c>
      <c r="K296" s="77">
        <v>392.82</v>
      </c>
      <c r="L296" s="77">
        <v>45538.86</v>
      </c>
      <c r="M296" s="77">
        <v>43603.02</v>
      </c>
      <c r="N296" s="77">
        <v>1935.8400000000038</v>
      </c>
      <c r="O296" s="78">
        <v>0.04250962804075473</v>
      </c>
    </row>
    <row r="297" ht="15.75" customHeight="1">
      <c r="B297" s="75" t="s">
        <v>323</v>
      </c>
      <c r="C297" s="75" t="s">
        <v>25</v>
      </c>
      <c r="D297" s="75" t="s">
        <v>15</v>
      </c>
      <c r="E297" s="75" t="s">
        <v>22</v>
      </c>
      <c r="F297" s="75" t="s">
        <v>27</v>
      </c>
      <c r="G297" s="75" t="s">
        <v>31</v>
      </c>
      <c r="H297" s="76">
        <v>45217.0</v>
      </c>
      <c r="I297" s="75">
        <v>434.0</v>
      </c>
      <c r="J297" s="77">
        <v>303.59</v>
      </c>
      <c r="K297" s="77">
        <v>85.52</v>
      </c>
      <c r="L297" s="77">
        <v>131758.06</v>
      </c>
      <c r="M297" s="77">
        <v>37115.68</v>
      </c>
      <c r="N297" s="77">
        <v>94642.38</v>
      </c>
      <c r="O297" s="78">
        <v>0.7183042919727264</v>
      </c>
    </row>
    <row r="298" ht="15.75" customHeight="1">
      <c r="B298" s="75" t="s">
        <v>324</v>
      </c>
      <c r="C298" s="75" t="s">
        <v>14</v>
      </c>
      <c r="D298" s="75" t="s">
        <v>54</v>
      </c>
      <c r="E298" s="75" t="s">
        <v>46</v>
      </c>
      <c r="F298" s="75" t="s">
        <v>27</v>
      </c>
      <c r="G298" s="75" t="s">
        <v>18</v>
      </c>
      <c r="H298" s="76">
        <v>45218.0</v>
      </c>
      <c r="I298" s="75">
        <v>401.0</v>
      </c>
      <c r="J298" s="77">
        <v>171.93</v>
      </c>
      <c r="K298" s="77">
        <v>330.4</v>
      </c>
      <c r="L298" s="77">
        <v>68943.93000000001</v>
      </c>
      <c r="M298" s="77">
        <v>132490.4</v>
      </c>
      <c r="N298" s="77">
        <v>-63546.46999999999</v>
      </c>
      <c r="O298" s="78">
        <v>-0.9217123247833418</v>
      </c>
    </row>
    <row r="299" ht="15.75" customHeight="1">
      <c r="B299" s="75" t="s">
        <v>325</v>
      </c>
      <c r="C299" s="75" t="s">
        <v>25</v>
      </c>
      <c r="D299" s="75" t="s">
        <v>21</v>
      </c>
      <c r="E299" s="75" t="s">
        <v>26</v>
      </c>
      <c r="F299" s="75" t="s">
        <v>27</v>
      </c>
      <c r="G299" s="75" t="s">
        <v>31</v>
      </c>
      <c r="H299" s="76">
        <v>45219.0</v>
      </c>
      <c r="I299" s="75">
        <v>276.0</v>
      </c>
      <c r="J299" s="77">
        <v>453.23</v>
      </c>
      <c r="K299" s="77">
        <v>209.08</v>
      </c>
      <c r="L299" s="77">
        <v>125091.48000000001</v>
      </c>
      <c r="M299" s="77">
        <v>57706.08</v>
      </c>
      <c r="N299" s="77">
        <v>67385.40000000001</v>
      </c>
      <c r="O299" s="78">
        <v>0.5386889658672197</v>
      </c>
    </row>
    <row r="300" ht="15.75" customHeight="1">
      <c r="B300" s="75" t="s">
        <v>326</v>
      </c>
      <c r="C300" s="75" t="s">
        <v>52</v>
      </c>
      <c r="D300" s="75" t="s">
        <v>34</v>
      </c>
      <c r="E300" s="75" t="s">
        <v>46</v>
      </c>
      <c r="F300" s="75" t="s">
        <v>17</v>
      </c>
      <c r="G300" s="75" t="s">
        <v>18</v>
      </c>
      <c r="H300" s="76">
        <v>45220.0</v>
      </c>
      <c r="I300" s="75">
        <v>255.9029411764706</v>
      </c>
      <c r="J300" s="77">
        <v>387.45</v>
      </c>
      <c r="K300" s="77">
        <v>150.64</v>
      </c>
      <c r="L300" s="77">
        <v>99149.59455882353</v>
      </c>
      <c r="M300" s="77">
        <v>38549.219058823524</v>
      </c>
      <c r="N300" s="77">
        <v>60600.37550000001</v>
      </c>
      <c r="O300" s="78">
        <v>0.6112014453477869</v>
      </c>
    </row>
    <row r="301" ht="15.75" customHeight="1">
      <c r="B301" s="75" t="s">
        <v>327</v>
      </c>
      <c r="C301" s="75" t="s">
        <v>52</v>
      </c>
      <c r="D301" s="75" t="s">
        <v>15</v>
      </c>
      <c r="E301" s="75" t="s">
        <v>30</v>
      </c>
      <c r="F301" s="75" t="s">
        <v>17</v>
      </c>
      <c r="G301" s="75" t="s">
        <v>23</v>
      </c>
      <c r="H301" s="76">
        <v>45221.0</v>
      </c>
      <c r="I301" s="75">
        <v>188.0</v>
      </c>
      <c r="J301" s="77">
        <v>136.12</v>
      </c>
      <c r="K301" s="77">
        <v>50.71</v>
      </c>
      <c r="L301" s="77">
        <v>25590.56</v>
      </c>
      <c r="M301" s="77">
        <v>9533.48</v>
      </c>
      <c r="N301" s="77">
        <v>16057.080000000002</v>
      </c>
      <c r="O301" s="78">
        <v>0.6274610637672642</v>
      </c>
    </row>
    <row r="302" ht="15.75" customHeight="1">
      <c r="B302" s="75" t="s">
        <v>328</v>
      </c>
      <c r="C302" s="75" t="s">
        <v>20</v>
      </c>
      <c r="D302" s="75" t="s">
        <v>21</v>
      </c>
      <c r="E302" s="75" t="s">
        <v>26</v>
      </c>
      <c r="F302" s="75" t="s">
        <v>17</v>
      </c>
      <c r="G302" s="75" t="s">
        <v>23</v>
      </c>
      <c r="H302" s="76">
        <v>45222.0</v>
      </c>
      <c r="I302" s="75">
        <v>97.0</v>
      </c>
      <c r="J302" s="77">
        <v>324.42</v>
      </c>
      <c r="K302" s="77">
        <v>294.73</v>
      </c>
      <c r="L302" s="77">
        <v>31468.74</v>
      </c>
      <c r="M302" s="77">
        <v>28588.81</v>
      </c>
      <c r="N302" s="77">
        <v>2879.9300000000003</v>
      </c>
      <c r="O302" s="78">
        <v>0.09151716910178165</v>
      </c>
    </row>
    <row r="303" ht="15.75" customHeight="1">
      <c r="B303" s="75" t="s">
        <v>329</v>
      </c>
      <c r="C303" s="75" t="s">
        <v>52</v>
      </c>
      <c r="D303" s="75" t="s">
        <v>15</v>
      </c>
      <c r="E303" s="75" t="s">
        <v>30</v>
      </c>
      <c r="F303" s="75" t="s">
        <v>27</v>
      </c>
      <c r="G303" s="75" t="s">
        <v>18</v>
      </c>
      <c r="H303" s="76">
        <v>45223.0</v>
      </c>
      <c r="I303" s="75">
        <v>50.0</v>
      </c>
      <c r="J303" s="77">
        <v>299.9</v>
      </c>
      <c r="K303" s="77">
        <v>95.87</v>
      </c>
      <c r="L303" s="77">
        <v>14994.999999999998</v>
      </c>
      <c r="M303" s="77">
        <v>4793.5</v>
      </c>
      <c r="N303" s="77">
        <v>10201.499999999998</v>
      </c>
      <c r="O303" s="78">
        <v>0.6803267755918639</v>
      </c>
    </row>
    <row r="304" ht="15.75" customHeight="1">
      <c r="B304" s="75" t="s">
        <v>330</v>
      </c>
      <c r="C304" s="75" t="s">
        <v>14</v>
      </c>
      <c r="D304" s="75" t="s">
        <v>15</v>
      </c>
      <c r="E304" s="75" t="s">
        <v>26</v>
      </c>
      <c r="F304" s="75" t="s">
        <v>27</v>
      </c>
      <c r="G304" s="75" t="s">
        <v>23</v>
      </c>
      <c r="H304" s="76">
        <v>45224.0</v>
      </c>
      <c r="I304" s="75">
        <v>410.0</v>
      </c>
      <c r="J304" s="77">
        <v>203.59</v>
      </c>
      <c r="K304" s="77">
        <v>149.83</v>
      </c>
      <c r="L304" s="77">
        <v>83471.9</v>
      </c>
      <c r="M304" s="77">
        <v>61430.3</v>
      </c>
      <c r="N304" s="77">
        <v>22041.59999999999</v>
      </c>
      <c r="O304" s="78">
        <v>0.264060120831082</v>
      </c>
    </row>
    <row r="305" ht="15.75" customHeight="1">
      <c r="B305" s="75" t="s">
        <v>331</v>
      </c>
      <c r="C305" s="75" t="s">
        <v>25</v>
      </c>
      <c r="D305" s="75" t="s">
        <v>34</v>
      </c>
      <c r="E305" s="75" t="s">
        <v>16</v>
      </c>
      <c r="F305" s="75" t="s">
        <v>27</v>
      </c>
      <c r="G305" s="75" t="s">
        <v>31</v>
      </c>
      <c r="H305" s="76">
        <v>45225.0</v>
      </c>
      <c r="I305" s="75">
        <v>85.0</v>
      </c>
      <c r="J305" s="77">
        <v>186.64</v>
      </c>
      <c r="K305" s="77">
        <v>26.89</v>
      </c>
      <c r="L305" s="77">
        <v>15864.4</v>
      </c>
      <c r="M305" s="77">
        <v>2285.65</v>
      </c>
      <c r="N305" s="77">
        <v>13578.75</v>
      </c>
      <c r="O305" s="78">
        <v>0.8559258465495071</v>
      </c>
    </row>
    <row r="306" ht="15.75" customHeight="1">
      <c r="B306" s="75" t="s">
        <v>332</v>
      </c>
      <c r="C306" s="75" t="s">
        <v>20</v>
      </c>
      <c r="D306" s="75" t="s">
        <v>29</v>
      </c>
      <c r="E306" s="75" t="s">
        <v>22</v>
      </c>
      <c r="F306" s="75" t="s">
        <v>17</v>
      </c>
      <c r="G306" s="75" t="s">
        <v>18</v>
      </c>
      <c r="H306" s="76">
        <v>45226.0</v>
      </c>
      <c r="I306" s="75">
        <v>386.0</v>
      </c>
      <c r="J306" s="77">
        <v>175.06</v>
      </c>
      <c r="K306" s="77">
        <v>320.94</v>
      </c>
      <c r="L306" s="77">
        <v>67573.16</v>
      </c>
      <c r="M306" s="77">
        <v>123882.84</v>
      </c>
      <c r="N306" s="77">
        <v>-56309.67999999999</v>
      </c>
      <c r="O306" s="78">
        <v>-0.8333142922426595</v>
      </c>
    </row>
    <row r="307" ht="15.75" customHeight="1">
      <c r="B307" s="75" t="s">
        <v>333</v>
      </c>
      <c r="C307" s="75" t="s">
        <v>25</v>
      </c>
      <c r="D307" s="75" t="s">
        <v>54</v>
      </c>
      <c r="E307" s="75" t="s">
        <v>16</v>
      </c>
      <c r="F307" s="75" t="s">
        <v>17</v>
      </c>
      <c r="G307" s="75" t="s">
        <v>23</v>
      </c>
      <c r="H307" s="76">
        <v>45227.0</v>
      </c>
      <c r="I307" s="75">
        <v>55.0</v>
      </c>
      <c r="J307" s="77">
        <v>310.49</v>
      </c>
      <c r="K307" s="77">
        <v>307.1</v>
      </c>
      <c r="L307" s="77">
        <v>17076.95</v>
      </c>
      <c r="M307" s="77">
        <v>16890.5</v>
      </c>
      <c r="N307" s="77">
        <v>186.45000000000073</v>
      </c>
      <c r="O307" s="78">
        <v>0.010918226029823869</v>
      </c>
    </row>
    <row r="308" ht="15.75" customHeight="1">
      <c r="B308" s="75" t="s">
        <v>334</v>
      </c>
      <c r="C308" s="75" t="s">
        <v>25</v>
      </c>
      <c r="D308" s="75" t="s">
        <v>54</v>
      </c>
      <c r="E308" s="75" t="s">
        <v>30</v>
      </c>
      <c r="F308" s="75" t="s">
        <v>27</v>
      </c>
      <c r="G308" s="75" t="s">
        <v>18</v>
      </c>
      <c r="H308" s="76">
        <v>45228.0</v>
      </c>
      <c r="I308" s="75">
        <v>169.0</v>
      </c>
      <c r="J308" s="77">
        <v>223.99</v>
      </c>
      <c r="K308" s="77">
        <v>293.98</v>
      </c>
      <c r="L308" s="77">
        <v>37854.310000000005</v>
      </c>
      <c r="M308" s="77">
        <v>49682.62</v>
      </c>
      <c r="N308" s="77">
        <v>-11828.309999999998</v>
      </c>
      <c r="O308" s="78">
        <v>-0.312469306665476</v>
      </c>
    </row>
    <row r="309" ht="15.75" customHeight="1">
      <c r="B309" s="75" t="s">
        <v>335</v>
      </c>
      <c r="C309" s="75" t="s">
        <v>14</v>
      </c>
      <c r="D309" s="75" t="s">
        <v>34</v>
      </c>
      <c r="E309" s="75" t="s">
        <v>22</v>
      </c>
      <c r="F309" s="75" t="s">
        <v>17</v>
      </c>
      <c r="G309" s="75" t="s">
        <v>31</v>
      </c>
      <c r="H309" s="76">
        <v>45229.0</v>
      </c>
      <c r="I309" s="75">
        <v>472.0</v>
      </c>
      <c r="J309" s="77">
        <v>416.77</v>
      </c>
      <c r="K309" s="77">
        <v>121.18</v>
      </c>
      <c r="L309" s="77">
        <v>196715.44</v>
      </c>
      <c r="M309" s="77">
        <v>57196.96000000001</v>
      </c>
      <c r="N309" s="77">
        <v>139518.47999999998</v>
      </c>
      <c r="O309" s="78">
        <v>0.7092401084531035</v>
      </c>
    </row>
    <row r="310" ht="15.75" customHeight="1">
      <c r="B310" s="75" t="s">
        <v>336</v>
      </c>
      <c r="C310" s="75" t="s">
        <v>52</v>
      </c>
      <c r="D310" s="75" t="s">
        <v>15</v>
      </c>
      <c r="E310" s="75" t="s">
        <v>26</v>
      </c>
      <c r="F310" s="75" t="s">
        <v>17</v>
      </c>
      <c r="G310" s="75" t="s">
        <v>31</v>
      </c>
      <c r="H310" s="76">
        <v>45230.0</v>
      </c>
      <c r="I310" s="75">
        <v>89.0</v>
      </c>
      <c r="J310" s="77">
        <v>336.45</v>
      </c>
      <c r="K310" s="77">
        <v>71.05</v>
      </c>
      <c r="L310" s="77">
        <v>29944.05</v>
      </c>
      <c r="M310" s="77">
        <v>6323.45</v>
      </c>
      <c r="N310" s="77">
        <v>23620.6</v>
      </c>
      <c r="O310" s="78">
        <v>0.7888244910090653</v>
      </c>
    </row>
    <row r="311" ht="15.75" customHeight="1">
      <c r="B311" s="75" t="s">
        <v>337</v>
      </c>
      <c r="C311" s="75" t="s">
        <v>52</v>
      </c>
      <c r="D311" s="75" t="s">
        <v>21</v>
      </c>
      <c r="E311" s="75" t="s">
        <v>22</v>
      </c>
      <c r="F311" s="75" t="s">
        <v>17</v>
      </c>
      <c r="G311" s="75" t="s">
        <v>23</v>
      </c>
      <c r="H311" s="76">
        <v>45231.0</v>
      </c>
      <c r="I311" s="75">
        <v>319.0</v>
      </c>
      <c r="J311" s="77">
        <v>39.62</v>
      </c>
      <c r="K311" s="77">
        <v>255.75</v>
      </c>
      <c r="L311" s="77">
        <v>12638.779999999999</v>
      </c>
      <c r="M311" s="77">
        <v>81584.25</v>
      </c>
      <c r="N311" s="77">
        <v>-68945.47</v>
      </c>
      <c r="O311" s="78">
        <v>-5.455073195355881</v>
      </c>
    </row>
    <row r="312" ht="15.75" customHeight="1">
      <c r="B312" s="75" t="s">
        <v>338</v>
      </c>
      <c r="C312" s="75" t="s">
        <v>25</v>
      </c>
      <c r="D312" s="75" t="s">
        <v>15</v>
      </c>
      <c r="E312" s="75" t="s">
        <v>39</v>
      </c>
      <c r="F312" s="75" t="s">
        <v>17</v>
      </c>
      <c r="G312" s="75" t="s">
        <v>31</v>
      </c>
      <c r="H312" s="76">
        <v>45232.0</v>
      </c>
      <c r="I312" s="75">
        <v>95.0</v>
      </c>
      <c r="J312" s="77">
        <v>321.88</v>
      </c>
      <c r="K312" s="77">
        <v>199.47</v>
      </c>
      <c r="L312" s="77">
        <v>30578.6</v>
      </c>
      <c r="M312" s="77">
        <v>18949.65</v>
      </c>
      <c r="N312" s="77">
        <v>11628.949999999997</v>
      </c>
      <c r="O312" s="78">
        <v>0.3802970050950664</v>
      </c>
    </row>
    <row r="313" ht="15.75" customHeight="1">
      <c r="B313" s="75" t="s">
        <v>339</v>
      </c>
      <c r="C313" s="75" t="s">
        <v>20</v>
      </c>
      <c r="D313" s="75" t="s">
        <v>34</v>
      </c>
      <c r="E313" s="75" t="s">
        <v>39</v>
      </c>
      <c r="F313" s="75" t="s">
        <v>27</v>
      </c>
      <c r="G313" s="75" t="s">
        <v>18</v>
      </c>
      <c r="H313" s="76">
        <v>45233.0</v>
      </c>
      <c r="I313" s="75">
        <v>101.0</v>
      </c>
      <c r="J313" s="77">
        <v>139.22</v>
      </c>
      <c r="K313" s="77">
        <v>72.94</v>
      </c>
      <c r="L313" s="77">
        <v>14061.22</v>
      </c>
      <c r="M313" s="77">
        <v>7366.94</v>
      </c>
      <c r="N313" s="77">
        <v>6694.28</v>
      </c>
      <c r="O313" s="78">
        <v>0.47608102284154574</v>
      </c>
    </row>
    <row r="314" ht="15.75" customHeight="1">
      <c r="B314" s="75" t="s">
        <v>340</v>
      </c>
      <c r="C314" s="75" t="s">
        <v>52</v>
      </c>
      <c r="D314" s="75" t="s">
        <v>54</v>
      </c>
      <c r="E314" s="75" t="s">
        <v>39</v>
      </c>
      <c r="F314" s="75" t="s">
        <v>17</v>
      </c>
      <c r="G314" s="75" t="s">
        <v>31</v>
      </c>
      <c r="H314" s="76">
        <v>45234.0</v>
      </c>
      <c r="I314" s="75">
        <v>157.0</v>
      </c>
      <c r="J314" s="77">
        <v>249.64520588235297</v>
      </c>
      <c r="K314" s="77">
        <v>274.99</v>
      </c>
      <c r="L314" s="77">
        <v>39194.29732352942</v>
      </c>
      <c r="M314" s="77">
        <v>43173.43</v>
      </c>
      <c r="N314" s="77">
        <v>-3979.132676470581</v>
      </c>
      <c r="O314" s="78">
        <v>-0.10152325588655975</v>
      </c>
    </row>
    <row r="315" ht="15.75" customHeight="1">
      <c r="B315" s="75" t="s">
        <v>341</v>
      </c>
      <c r="C315" s="75" t="s">
        <v>20</v>
      </c>
      <c r="D315" s="75" t="s">
        <v>15</v>
      </c>
      <c r="E315" s="75" t="s">
        <v>22</v>
      </c>
      <c r="F315" s="75" t="s">
        <v>17</v>
      </c>
      <c r="G315" s="75" t="s">
        <v>18</v>
      </c>
      <c r="H315" s="76">
        <v>45235.0</v>
      </c>
      <c r="I315" s="75">
        <v>170.0</v>
      </c>
      <c r="J315" s="77">
        <v>341.67</v>
      </c>
      <c r="K315" s="77">
        <v>396.47</v>
      </c>
      <c r="L315" s="77">
        <v>58083.9</v>
      </c>
      <c r="M315" s="77">
        <v>67399.90000000001</v>
      </c>
      <c r="N315" s="77">
        <v>-9316.000000000007</v>
      </c>
      <c r="O315" s="78">
        <v>-0.16038867913483784</v>
      </c>
    </row>
    <row r="316" ht="15.75" customHeight="1">
      <c r="B316" s="75" t="s">
        <v>342</v>
      </c>
      <c r="C316" s="75" t="s">
        <v>52</v>
      </c>
      <c r="D316" s="75" t="s">
        <v>54</v>
      </c>
      <c r="E316" s="75" t="s">
        <v>46</v>
      </c>
      <c r="F316" s="75" t="s">
        <v>17</v>
      </c>
      <c r="G316" s="75" t="s">
        <v>18</v>
      </c>
      <c r="H316" s="76">
        <v>45236.0</v>
      </c>
      <c r="I316" s="75">
        <v>211.0</v>
      </c>
      <c r="J316" s="77">
        <v>119.26</v>
      </c>
      <c r="K316" s="77">
        <v>299.39</v>
      </c>
      <c r="L316" s="77">
        <v>25163.86</v>
      </c>
      <c r="M316" s="77">
        <v>63171.28999999999</v>
      </c>
      <c r="N316" s="77">
        <v>-38007.42999999999</v>
      </c>
      <c r="O316" s="78">
        <v>-1.5103974509475093</v>
      </c>
    </row>
    <row r="317" ht="15.75" customHeight="1">
      <c r="B317" s="75" t="s">
        <v>343</v>
      </c>
      <c r="C317" s="75" t="s">
        <v>20</v>
      </c>
      <c r="D317" s="75" t="s">
        <v>21</v>
      </c>
      <c r="E317" s="75" t="s">
        <v>30</v>
      </c>
      <c r="F317" s="75" t="s">
        <v>17</v>
      </c>
      <c r="G317" s="75" t="s">
        <v>31</v>
      </c>
      <c r="H317" s="76">
        <v>45237.0</v>
      </c>
      <c r="I317" s="75">
        <v>433.0</v>
      </c>
      <c r="J317" s="77">
        <v>231.15</v>
      </c>
      <c r="K317" s="77">
        <v>296.51</v>
      </c>
      <c r="L317" s="77">
        <v>100087.95</v>
      </c>
      <c r="M317" s="77">
        <v>128388.83</v>
      </c>
      <c r="N317" s="77">
        <v>-28300.880000000005</v>
      </c>
      <c r="O317" s="78">
        <v>-0.28276011248107297</v>
      </c>
    </row>
    <row r="318" ht="15.75" customHeight="1">
      <c r="B318" s="75" t="s">
        <v>344</v>
      </c>
      <c r="C318" s="75" t="s">
        <v>14</v>
      </c>
      <c r="D318" s="75" t="s">
        <v>54</v>
      </c>
      <c r="E318" s="75" t="s">
        <v>16</v>
      </c>
      <c r="F318" s="75" t="s">
        <v>27</v>
      </c>
      <c r="G318" s="75" t="s">
        <v>23</v>
      </c>
      <c r="H318" s="76">
        <v>45238.0</v>
      </c>
      <c r="I318" s="75">
        <v>425.0</v>
      </c>
      <c r="J318" s="77">
        <v>99.21</v>
      </c>
      <c r="K318" s="77">
        <v>380.22</v>
      </c>
      <c r="L318" s="77">
        <v>42164.25</v>
      </c>
      <c r="M318" s="77">
        <v>161593.5</v>
      </c>
      <c r="N318" s="77">
        <v>-119429.25</v>
      </c>
      <c r="O318" s="78">
        <v>-2.832476564862413</v>
      </c>
    </row>
    <row r="319" ht="15.75" customHeight="1">
      <c r="B319" s="75" t="s">
        <v>345</v>
      </c>
      <c r="C319" s="75" t="s">
        <v>20</v>
      </c>
      <c r="D319" s="75" t="s">
        <v>54</v>
      </c>
      <c r="E319" s="75" t="s">
        <v>26</v>
      </c>
      <c r="F319" s="75" t="s">
        <v>27</v>
      </c>
      <c r="G319" s="75" t="s">
        <v>31</v>
      </c>
      <c r="H319" s="76">
        <v>45239.0</v>
      </c>
      <c r="I319" s="75">
        <v>251.0</v>
      </c>
      <c r="J319" s="77">
        <v>30.91</v>
      </c>
      <c r="K319" s="77">
        <v>82.77</v>
      </c>
      <c r="L319" s="77">
        <v>7758.41</v>
      </c>
      <c r="M319" s="77">
        <v>20775.27</v>
      </c>
      <c r="N319" s="77">
        <v>-13016.86</v>
      </c>
      <c r="O319" s="78">
        <v>-1.6777741831122615</v>
      </c>
    </row>
    <row r="320" ht="15.75" customHeight="1">
      <c r="B320" s="75" t="s">
        <v>346</v>
      </c>
      <c r="C320" s="75" t="s">
        <v>14</v>
      </c>
      <c r="D320" s="75" t="s">
        <v>29</v>
      </c>
      <c r="E320" s="75" t="s">
        <v>22</v>
      </c>
      <c r="F320" s="75" t="s">
        <v>17</v>
      </c>
      <c r="G320" s="75" t="s">
        <v>18</v>
      </c>
      <c r="H320" s="76">
        <v>45240.0</v>
      </c>
      <c r="I320" s="75">
        <v>255.9029411764706</v>
      </c>
      <c r="J320" s="77">
        <v>192.35</v>
      </c>
      <c r="K320" s="77">
        <v>227.09</v>
      </c>
      <c r="L320" s="77">
        <v>49222.93073529412</v>
      </c>
      <c r="M320" s="77">
        <v>58112.998911764706</v>
      </c>
      <c r="N320" s="77">
        <v>-8890.068176470588</v>
      </c>
      <c r="O320" s="78">
        <v>-0.18060826618144007</v>
      </c>
    </row>
    <row r="321" ht="15.75" customHeight="1">
      <c r="B321" s="75" t="s">
        <v>347</v>
      </c>
      <c r="C321" s="75" t="s">
        <v>14</v>
      </c>
      <c r="D321" s="75" t="s">
        <v>29</v>
      </c>
      <c r="E321" s="75" t="s">
        <v>16</v>
      </c>
      <c r="F321" s="75" t="s">
        <v>17</v>
      </c>
      <c r="G321" s="75" t="s">
        <v>18</v>
      </c>
      <c r="H321" s="76">
        <v>45241.0</v>
      </c>
      <c r="I321" s="75">
        <v>11.0</v>
      </c>
      <c r="J321" s="77">
        <v>184.66</v>
      </c>
      <c r="K321" s="77">
        <v>391.9</v>
      </c>
      <c r="L321" s="77">
        <v>2031.26</v>
      </c>
      <c r="M321" s="77">
        <v>4310.9</v>
      </c>
      <c r="N321" s="77">
        <v>-2279.6399999999994</v>
      </c>
      <c r="O321" s="78">
        <v>-1.1222787826275313</v>
      </c>
    </row>
    <row r="322" ht="15.75" customHeight="1">
      <c r="B322" s="75" t="s">
        <v>348</v>
      </c>
      <c r="C322" s="75" t="s">
        <v>20</v>
      </c>
      <c r="D322" s="75" t="s">
        <v>29</v>
      </c>
      <c r="E322" s="75" t="s">
        <v>26</v>
      </c>
      <c r="F322" s="75" t="s">
        <v>17</v>
      </c>
      <c r="G322" s="75" t="s">
        <v>31</v>
      </c>
      <c r="H322" s="76">
        <v>45242.0</v>
      </c>
      <c r="I322" s="75">
        <v>234.0</v>
      </c>
      <c r="J322" s="77">
        <v>497.76</v>
      </c>
      <c r="K322" s="77">
        <v>67.79</v>
      </c>
      <c r="L322" s="77">
        <v>116475.84</v>
      </c>
      <c r="M322" s="77">
        <v>15862.86</v>
      </c>
      <c r="N322" s="77">
        <v>100612.98</v>
      </c>
      <c r="O322" s="78">
        <v>0.863809868209579</v>
      </c>
    </row>
    <row r="323" ht="15.75" customHeight="1">
      <c r="B323" s="75" t="s">
        <v>349</v>
      </c>
      <c r="C323" s="75" t="s">
        <v>14</v>
      </c>
      <c r="D323" s="75" t="s">
        <v>54</v>
      </c>
      <c r="E323" s="75" t="s">
        <v>26</v>
      </c>
      <c r="F323" s="75" t="s">
        <v>17</v>
      </c>
      <c r="G323" s="75" t="s">
        <v>23</v>
      </c>
      <c r="H323" s="76">
        <v>45243.0</v>
      </c>
      <c r="I323" s="75">
        <v>255.9029411764706</v>
      </c>
      <c r="J323" s="77">
        <v>225.94</v>
      </c>
      <c r="K323" s="77">
        <v>280.7</v>
      </c>
      <c r="L323" s="77">
        <v>57818.710529411765</v>
      </c>
      <c r="M323" s="77">
        <v>71831.95558823529</v>
      </c>
      <c r="N323" s="77">
        <v>-14013.245058823522</v>
      </c>
      <c r="O323" s="78">
        <v>-0.24236522970700175</v>
      </c>
    </row>
    <row r="324" ht="15.75" customHeight="1">
      <c r="B324" s="75" t="s">
        <v>350</v>
      </c>
      <c r="C324" s="75" t="s">
        <v>25</v>
      </c>
      <c r="D324" s="75" t="s">
        <v>34</v>
      </c>
      <c r="E324" s="75" t="s">
        <v>46</v>
      </c>
      <c r="F324" s="75" t="s">
        <v>17</v>
      </c>
      <c r="G324" s="75" t="s">
        <v>23</v>
      </c>
      <c r="H324" s="76">
        <v>45244.0</v>
      </c>
      <c r="I324" s="75">
        <v>242.0</v>
      </c>
      <c r="J324" s="77">
        <v>170.12</v>
      </c>
      <c r="K324" s="77">
        <v>235.15</v>
      </c>
      <c r="L324" s="77">
        <v>41169.04</v>
      </c>
      <c r="M324" s="77">
        <v>56906.3</v>
      </c>
      <c r="N324" s="77">
        <v>-15737.260000000002</v>
      </c>
      <c r="O324" s="78">
        <v>-0.38225958147190225</v>
      </c>
    </row>
    <row r="325" ht="15.75" customHeight="1">
      <c r="B325" s="75" t="s">
        <v>351</v>
      </c>
      <c r="C325" s="75" t="s">
        <v>14</v>
      </c>
      <c r="D325" s="75" t="s">
        <v>54</v>
      </c>
      <c r="E325" s="75" t="s">
        <v>30</v>
      </c>
      <c r="F325" s="75" t="s">
        <v>17</v>
      </c>
      <c r="G325" s="75" t="s">
        <v>18</v>
      </c>
      <c r="H325" s="76">
        <v>45245.0</v>
      </c>
      <c r="I325" s="75">
        <v>470.0</v>
      </c>
      <c r="J325" s="77">
        <v>292.34</v>
      </c>
      <c r="K325" s="77">
        <v>235.42</v>
      </c>
      <c r="L325" s="77">
        <v>137399.8</v>
      </c>
      <c r="M325" s="77">
        <v>110647.4</v>
      </c>
      <c r="N325" s="77">
        <v>26752.399999999994</v>
      </c>
      <c r="O325" s="78">
        <v>0.1947047957857289</v>
      </c>
    </row>
    <row r="326" ht="15.75" customHeight="1">
      <c r="B326" s="75" t="s">
        <v>352</v>
      </c>
      <c r="C326" s="75" t="s">
        <v>52</v>
      </c>
      <c r="D326" s="75" t="s">
        <v>34</v>
      </c>
      <c r="E326" s="75" t="s">
        <v>30</v>
      </c>
      <c r="F326" s="75" t="s">
        <v>27</v>
      </c>
      <c r="G326" s="75" t="s">
        <v>18</v>
      </c>
      <c r="H326" s="76">
        <v>45246.0</v>
      </c>
      <c r="I326" s="75">
        <v>423.0</v>
      </c>
      <c r="J326" s="77">
        <v>48.94</v>
      </c>
      <c r="K326" s="77">
        <v>279.67</v>
      </c>
      <c r="L326" s="77">
        <v>20701.62</v>
      </c>
      <c r="M326" s="77">
        <v>118300.41</v>
      </c>
      <c r="N326" s="77">
        <v>-97598.79000000001</v>
      </c>
      <c r="O326" s="78">
        <v>-4.714548426644872</v>
      </c>
    </row>
    <row r="327" ht="15.75" customHeight="1">
      <c r="B327" s="75" t="s">
        <v>353</v>
      </c>
      <c r="C327" s="75" t="s">
        <v>20</v>
      </c>
      <c r="D327" s="75" t="s">
        <v>34</v>
      </c>
      <c r="E327" s="75" t="s">
        <v>16</v>
      </c>
      <c r="F327" s="75" t="s">
        <v>17</v>
      </c>
      <c r="G327" s="75" t="s">
        <v>23</v>
      </c>
      <c r="H327" s="76">
        <v>45247.0</v>
      </c>
      <c r="I327" s="75">
        <v>426.0</v>
      </c>
      <c r="J327" s="77">
        <v>481.02</v>
      </c>
      <c r="K327" s="77">
        <v>371.99</v>
      </c>
      <c r="L327" s="77">
        <v>204914.52</v>
      </c>
      <c r="M327" s="77">
        <v>158467.74</v>
      </c>
      <c r="N327" s="77">
        <v>46446.78</v>
      </c>
      <c r="O327" s="78">
        <v>0.22666417196790156</v>
      </c>
    </row>
    <row r="328" ht="15.75" customHeight="1">
      <c r="B328" s="75" t="s">
        <v>354</v>
      </c>
      <c r="C328" s="75" t="s">
        <v>25</v>
      </c>
      <c r="D328" s="75" t="s">
        <v>29</v>
      </c>
      <c r="E328" s="75" t="s">
        <v>30</v>
      </c>
      <c r="F328" s="75" t="s">
        <v>27</v>
      </c>
      <c r="G328" s="75" t="s">
        <v>31</v>
      </c>
      <c r="H328" s="76">
        <v>45248.0</v>
      </c>
      <c r="I328" s="75">
        <v>86.0</v>
      </c>
      <c r="J328" s="77">
        <v>319.31</v>
      </c>
      <c r="K328" s="77">
        <v>313.47</v>
      </c>
      <c r="L328" s="77">
        <v>27460.66</v>
      </c>
      <c r="M328" s="77">
        <v>26958.420000000002</v>
      </c>
      <c r="N328" s="77">
        <v>502.23999999999796</v>
      </c>
      <c r="O328" s="78">
        <v>0.01828943659766364</v>
      </c>
    </row>
    <row r="329" ht="15.75" customHeight="1">
      <c r="B329" s="75" t="s">
        <v>355</v>
      </c>
      <c r="C329" s="75" t="s">
        <v>20</v>
      </c>
      <c r="D329" s="75" t="s">
        <v>15</v>
      </c>
      <c r="E329" s="75" t="s">
        <v>22</v>
      </c>
      <c r="F329" s="75" t="s">
        <v>27</v>
      </c>
      <c r="G329" s="75" t="s">
        <v>18</v>
      </c>
      <c r="H329" s="76">
        <v>45249.0</v>
      </c>
      <c r="I329" s="75">
        <v>125.0</v>
      </c>
      <c r="J329" s="77">
        <v>378.64</v>
      </c>
      <c r="K329" s="77">
        <v>24.34</v>
      </c>
      <c r="L329" s="77">
        <v>47330.0</v>
      </c>
      <c r="M329" s="77">
        <v>3042.5</v>
      </c>
      <c r="N329" s="77">
        <v>44287.5</v>
      </c>
      <c r="O329" s="78">
        <v>0.9357173040354955</v>
      </c>
    </row>
    <row r="330" ht="15.75" customHeight="1">
      <c r="B330" s="75" t="s">
        <v>356</v>
      </c>
      <c r="C330" s="75" t="s">
        <v>52</v>
      </c>
      <c r="D330" s="75" t="s">
        <v>21</v>
      </c>
      <c r="E330" s="75" t="s">
        <v>39</v>
      </c>
      <c r="F330" s="75" t="s">
        <v>17</v>
      </c>
      <c r="G330" s="75" t="s">
        <v>18</v>
      </c>
      <c r="H330" s="76">
        <v>45250.0</v>
      </c>
      <c r="I330" s="75">
        <v>163.0</v>
      </c>
      <c r="J330" s="77">
        <v>89.39</v>
      </c>
      <c r="K330" s="77">
        <v>341.39</v>
      </c>
      <c r="L330" s="77">
        <v>14570.57</v>
      </c>
      <c r="M330" s="77">
        <v>55646.57</v>
      </c>
      <c r="N330" s="77">
        <v>-41076.0</v>
      </c>
      <c r="O330" s="78">
        <v>-2.8191072826938135</v>
      </c>
    </row>
    <row r="331" ht="15.75" customHeight="1">
      <c r="B331" s="75" t="s">
        <v>357</v>
      </c>
      <c r="C331" s="75" t="s">
        <v>52</v>
      </c>
      <c r="D331" s="75" t="s">
        <v>29</v>
      </c>
      <c r="E331" s="75" t="s">
        <v>16</v>
      </c>
      <c r="F331" s="75" t="s">
        <v>27</v>
      </c>
      <c r="G331" s="75" t="s">
        <v>23</v>
      </c>
      <c r="H331" s="76">
        <v>45251.0</v>
      </c>
      <c r="I331" s="75">
        <v>415.0</v>
      </c>
      <c r="J331" s="77">
        <v>207.69</v>
      </c>
      <c r="K331" s="77">
        <v>91.77</v>
      </c>
      <c r="L331" s="77">
        <v>86191.35</v>
      </c>
      <c r="M331" s="77">
        <v>38084.549999999996</v>
      </c>
      <c r="N331" s="77">
        <v>48106.80000000001</v>
      </c>
      <c r="O331" s="78">
        <v>0.558139534883721</v>
      </c>
    </row>
    <row r="332" ht="15.75" customHeight="1">
      <c r="B332" s="75" t="s">
        <v>358</v>
      </c>
      <c r="C332" s="75" t="s">
        <v>52</v>
      </c>
      <c r="D332" s="75" t="s">
        <v>29</v>
      </c>
      <c r="E332" s="75" t="s">
        <v>30</v>
      </c>
      <c r="F332" s="75" t="s">
        <v>27</v>
      </c>
      <c r="G332" s="75" t="s">
        <v>31</v>
      </c>
      <c r="H332" s="76">
        <v>45252.0</v>
      </c>
      <c r="I332" s="75">
        <v>112.0</v>
      </c>
      <c r="J332" s="77">
        <v>214.23</v>
      </c>
      <c r="K332" s="77">
        <v>152.01</v>
      </c>
      <c r="L332" s="77">
        <v>23993.76</v>
      </c>
      <c r="M332" s="77">
        <v>17025.12</v>
      </c>
      <c r="N332" s="77">
        <v>6968.639999999999</v>
      </c>
      <c r="O332" s="78">
        <v>0.2904355132334407</v>
      </c>
    </row>
    <row r="333" ht="15.75" customHeight="1">
      <c r="B333" s="75" t="s">
        <v>359</v>
      </c>
      <c r="C333" s="75" t="s">
        <v>14</v>
      </c>
      <c r="D333" s="75" t="s">
        <v>15</v>
      </c>
      <c r="E333" s="75" t="s">
        <v>22</v>
      </c>
      <c r="F333" s="75" t="s">
        <v>27</v>
      </c>
      <c r="G333" s="75" t="s">
        <v>23</v>
      </c>
      <c r="H333" s="76">
        <v>45253.0</v>
      </c>
      <c r="I333" s="75">
        <v>203.0</v>
      </c>
      <c r="J333" s="77">
        <v>411.79</v>
      </c>
      <c r="K333" s="77">
        <v>185.77</v>
      </c>
      <c r="L333" s="77">
        <v>83593.37000000001</v>
      </c>
      <c r="M333" s="77">
        <v>37711.310000000005</v>
      </c>
      <c r="N333" s="77">
        <v>45882.060000000005</v>
      </c>
      <c r="O333" s="78">
        <v>0.5488719978629885</v>
      </c>
    </row>
    <row r="334" ht="15.75" customHeight="1">
      <c r="B334" s="75" t="s">
        <v>360</v>
      </c>
      <c r="C334" s="75" t="s">
        <v>14</v>
      </c>
      <c r="D334" s="75" t="s">
        <v>21</v>
      </c>
      <c r="E334" s="75" t="s">
        <v>46</v>
      </c>
      <c r="F334" s="75" t="s">
        <v>27</v>
      </c>
      <c r="G334" s="75" t="s">
        <v>31</v>
      </c>
      <c r="H334" s="76">
        <v>45254.0</v>
      </c>
      <c r="I334" s="75">
        <v>255.9029411764706</v>
      </c>
      <c r="J334" s="77">
        <v>5.61</v>
      </c>
      <c r="K334" s="77">
        <v>193.4</v>
      </c>
      <c r="L334" s="77">
        <v>1435.6155</v>
      </c>
      <c r="M334" s="77">
        <v>49491.62882352941</v>
      </c>
      <c r="N334" s="77">
        <v>-48056.01332352941</v>
      </c>
      <c r="O334" s="78">
        <v>-33.474153297682705</v>
      </c>
    </row>
    <row r="335" ht="15.75" customHeight="1">
      <c r="B335" s="75" t="s">
        <v>361</v>
      </c>
      <c r="C335" s="75" t="s">
        <v>20</v>
      </c>
      <c r="D335" s="75" t="s">
        <v>54</v>
      </c>
      <c r="E335" s="75" t="s">
        <v>16</v>
      </c>
      <c r="F335" s="75" t="s">
        <v>27</v>
      </c>
      <c r="G335" s="75" t="s">
        <v>31</v>
      </c>
      <c r="H335" s="76">
        <v>45255.0</v>
      </c>
      <c r="I335" s="75">
        <v>368.0</v>
      </c>
      <c r="J335" s="77">
        <v>153.92</v>
      </c>
      <c r="K335" s="77">
        <v>175.2</v>
      </c>
      <c r="L335" s="77">
        <v>56642.56</v>
      </c>
      <c r="M335" s="77">
        <v>64473.6</v>
      </c>
      <c r="N335" s="77">
        <v>-7831.040000000001</v>
      </c>
      <c r="O335" s="78">
        <v>-0.13825363825363826</v>
      </c>
    </row>
    <row r="336" ht="15.75" customHeight="1">
      <c r="B336" s="75" t="s">
        <v>362</v>
      </c>
      <c r="C336" s="75" t="s">
        <v>20</v>
      </c>
      <c r="D336" s="75" t="s">
        <v>54</v>
      </c>
      <c r="E336" s="75" t="s">
        <v>46</v>
      </c>
      <c r="F336" s="75" t="s">
        <v>27</v>
      </c>
      <c r="G336" s="75" t="s">
        <v>31</v>
      </c>
      <c r="H336" s="76">
        <v>45256.0</v>
      </c>
      <c r="I336" s="75">
        <v>99.0</v>
      </c>
      <c r="J336" s="77">
        <v>490.71</v>
      </c>
      <c r="K336" s="77">
        <v>375.07</v>
      </c>
      <c r="L336" s="77">
        <v>48580.29</v>
      </c>
      <c r="M336" s="77">
        <v>37131.93</v>
      </c>
      <c r="N336" s="77">
        <v>11448.36</v>
      </c>
      <c r="O336" s="78">
        <v>0.2356585355912861</v>
      </c>
    </row>
    <row r="337" ht="15.75" customHeight="1">
      <c r="B337" s="75" t="s">
        <v>363</v>
      </c>
      <c r="C337" s="75" t="s">
        <v>25</v>
      </c>
      <c r="D337" s="75" t="s">
        <v>29</v>
      </c>
      <c r="E337" s="75" t="s">
        <v>46</v>
      </c>
      <c r="F337" s="75" t="s">
        <v>17</v>
      </c>
      <c r="G337" s="75" t="s">
        <v>18</v>
      </c>
      <c r="H337" s="76">
        <v>45257.0</v>
      </c>
      <c r="I337" s="75">
        <v>183.0</v>
      </c>
      <c r="J337" s="77">
        <v>240.07</v>
      </c>
      <c r="K337" s="77">
        <v>283.0</v>
      </c>
      <c r="L337" s="77">
        <v>43932.81</v>
      </c>
      <c r="M337" s="77">
        <v>51789.0</v>
      </c>
      <c r="N337" s="77">
        <v>-7856.190000000002</v>
      </c>
      <c r="O337" s="78">
        <v>-0.17882284333736</v>
      </c>
    </row>
    <row r="338" ht="15.75" customHeight="1">
      <c r="B338" s="75" t="s">
        <v>364</v>
      </c>
      <c r="C338" s="75" t="s">
        <v>39</v>
      </c>
      <c r="D338" s="75" t="s">
        <v>21</v>
      </c>
      <c r="E338" s="75" t="s">
        <v>46</v>
      </c>
      <c r="F338" s="75" t="s">
        <v>27</v>
      </c>
      <c r="G338" s="75" t="s">
        <v>23</v>
      </c>
      <c r="H338" s="76">
        <v>45258.0</v>
      </c>
      <c r="I338" s="75">
        <v>131.0</v>
      </c>
      <c r="J338" s="77">
        <v>194.35</v>
      </c>
      <c r="K338" s="77">
        <v>253.21</v>
      </c>
      <c r="L338" s="77">
        <v>25459.85</v>
      </c>
      <c r="M338" s="77">
        <v>33170.51</v>
      </c>
      <c r="N338" s="77">
        <v>-7710.6600000000035</v>
      </c>
      <c r="O338" s="78">
        <v>-0.3028556727553385</v>
      </c>
    </row>
    <row r="339" ht="15.75" customHeight="1">
      <c r="B339" s="75" t="s">
        <v>365</v>
      </c>
      <c r="C339" s="75" t="s">
        <v>20</v>
      </c>
      <c r="D339" s="75" t="s">
        <v>29</v>
      </c>
      <c r="E339" s="75" t="s">
        <v>26</v>
      </c>
      <c r="F339" s="75" t="s">
        <v>27</v>
      </c>
      <c r="G339" s="75" t="s">
        <v>23</v>
      </c>
      <c r="H339" s="76">
        <v>45259.0</v>
      </c>
      <c r="I339" s="75">
        <v>152.0</v>
      </c>
      <c r="J339" s="77">
        <v>64.32</v>
      </c>
      <c r="K339" s="77">
        <v>21.84</v>
      </c>
      <c r="L339" s="77">
        <v>9776.64</v>
      </c>
      <c r="M339" s="77">
        <v>3319.68</v>
      </c>
      <c r="N339" s="77">
        <v>6456.959999999999</v>
      </c>
      <c r="O339" s="78">
        <v>0.6604477611940298</v>
      </c>
    </row>
    <row r="340" ht="15.75" customHeight="1">
      <c r="B340" s="75" t="s">
        <v>366</v>
      </c>
      <c r="C340" s="75" t="s">
        <v>14</v>
      </c>
      <c r="D340" s="75" t="s">
        <v>34</v>
      </c>
      <c r="E340" s="75" t="s">
        <v>26</v>
      </c>
      <c r="F340" s="75" t="s">
        <v>27</v>
      </c>
      <c r="G340" s="75" t="s">
        <v>31</v>
      </c>
      <c r="H340" s="76">
        <v>45260.0</v>
      </c>
      <c r="I340" s="75">
        <v>491.0</v>
      </c>
      <c r="J340" s="77">
        <v>487.21</v>
      </c>
      <c r="K340" s="77">
        <v>361.76</v>
      </c>
      <c r="L340" s="77">
        <v>239220.11</v>
      </c>
      <c r="M340" s="77">
        <v>177624.16</v>
      </c>
      <c r="N340" s="77">
        <v>61595.94999999998</v>
      </c>
      <c r="O340" s="78">
        <v>0.2574865047925945</v>
      </c>
    </row>
    <row r="341" ht="15.75" customHeight="1">
      <c r="B341" s="75" t="s">
        <v>367</v>
      </c>
      <c r="C341" s="75" t="s">
        <v>52</v>
      </c>
      <c r="D341" s="75" t="s">
        <v>29</v>
      </c>
      <c r="E341" s="75" t="s">
        <v>46</v>
      </c>
      <c r="F341" s="75" t="s">
        <v>17</v>
      </c>
      <c r="G341" s="75" t="s">
        <v>18</v>
      </c>
      <c r="H341" s="76">
        <v>45261.0</v>
      </c>
      <c r="I341" s="75">
        <v>115.0</v>
      </c>
      <c r="J341" s="77">
        <v>14.91</v>
      </c>
      <c r="K341" s="77">
        <v>363.94</v>
      </c>
      <c r="L341" s="77">
        <v>1714.65</v>
      </c>
      <c r="M341" s="77">
        <v>41853.1</v>
      </c>
      <c r="N341" s="77">
        <v>-40138.45</v>
      </c>
      <c r="O341" s="78">
        <v>-23.409121395036884</v>
      </c>
    </row>
    <row r="342" ht="15.75" customHeight="1">
      <c r="B342" s="75" t="s">
        <v>368</v>
      </c>
      <c r="C342" s="75" t="s">
        <v>20</v>
      </c>
      <c r="D342" s="75" t="s">
        <v>29</v>
      </c>
      <c r="E342" s="75" t="s">
        <v>16</v>
      </c>
      <c r="F342" s="75" t="s">
        <v>27</v>
      </c>
      <c r="G342" s="75" t="s">
        <v>18</v>
      </c>
      <c r="H342" s="76">
        <v>45262.0</v>
      </c>
      <c r="I342" s="75">
        <v>384.0</v>
      </c>
      <c r="J342" s="77">
        <v>369.9</v>
      </c>
      <c r="K342" s="77">
        <v>312.52</v>
      </c>
      <c r="L342" s="77">
        <v>142041.59999999998</v>
      </c>
      <c r="M342" s="77">
        <v>120007.68</v>
      </c>
      <c r="N342" s="77">
        <v>22033.919999999984</v>
      </c>
      <c r="O342" s="78">
        <v>0.15512300621789665</v>
      </c>
    </row>
    <row r="343" ht="15.75" customHeight="1">
      <c r="B343" s="75" t="s">
        <v>369</v>
      </c>
      <c r="C343" s="75" t="s">
        <v>25</v>
      </c>
      <c r="D343" s="75" t="s">
        <v>54</v>
      </c>
      <c r="E343" s="75" t="s">
        <v>22</v>
      </c>
      <c r="F343" s="75" t="s">
        <v>17</v>
      </c>
      <c r="G343" s="75" t="s">
        <v>23</v>
      </c>
      <c r="H343" s="76">
        <v>45263.0</v>
      </c>
      <c r="I343" s="75">
        <v>437.0</v>
      </c>
      <c r="J343" s="77">
        <v>385.46</v>
      </c>
      <c r="K343" s="77">
        <v>4.8</v>
      </c>
      <c r="L343" s="77">
        <v>168446.02</v>
      </c>
      <c r="M343" s="77">
        <v>2097.6</v>
      </c>
      <c r="N343" s="77">
        <v>166348.41999999998</v>
      </c>
      <c r="O343" s="78">
        <v>0.9875473460281222</v>
      </c>
    </row>
    <row r="344" ht="15.75" customHeight="1">
      <c r="B344" s="75" t="s">
        <v>370</v>
      </c>
      <c r="C344" s="75" t="s">
        <v>14</v>
      </c>
      <c r="D344" s="75" t="s">
        <v>54</v>
      </c>
      <c r="E344" s="75" t="s">
        <v>22</v>
      </c>
      <c r="F344" s="75" t="s">
        <v>27</v>
      </c>
      <c r="G344" s="75" t="s">
        <v>18</v>
      </c>
      <c r="H344" s="76">
        <v>45264.0</v>
      </c>
      <c r="I344" s="75">
        <v>314.0</v>
      </c>
      <c r="J344" s="77">
        <v>125.61</v>
      </c>
      <c r="K344" s="77">
        <v>24.8</v>
      </c>
      <c r="L344" s="77">
        <v>39441.54</v>
      </c>
      <c r="M344" s="77">
        <v>7787.2</v>
      </c>
      <c r="N344" s="77">
        <v>31654.34</v>
      </c>
      <c r="O344" s="78">
        <v>0.8025634901679802</v>
      </c>
    </row>
    <row r="345" ht="15.75" customHeight="1">
      <c r="B345" s="75" t="s">
        <v>371</v>
      </c>
      <c r="C345" s="75" t="s">
        <v>20</v>
      </c>
      <c r="D345" s="75" t="s">
        <v>54</v>
      </c>
      <c r="E345" s="75" t="s">
        <v>30</v>
      </c>
      <c r="F345" s="75" t="s">
        <v>17</v>
      </c>
      <c r="G345" s="75" t="s">
        <v>18</v>
      </c>
      <c r="H345" s="76">
        <v>45265.0</v>
      </c>
      <c r="I345" s="75">
        <v>369.0</v>
      </c>
      <c r="J345" s="77">
        <v>337.42</v>
      </c>
      <c r="K345" s="77">
        <v>91.64</v>
      </c>
      <c r="L345" s="77">
        <v>124507.98000000001</v>
      </c>
      <c r="M345" s="77">
        <v>33815.16</v>
      </c>
      <c r="N345" s="77">
        <v>90692.82</v>
      </c>
      <c r="O345" s="78">
        <v>0.7284096971133899</v>
      </c>
    </row>
    <row r="346" ht="15.75" customHeight="1">
      <c r="B346" s="75" t="s">
        <v>372</v>
      </c>
      <c r="C346" s="75" t="s">
        <v>20</v>
      </c>
      <c r="D346" s="75" t="s">
        <v>34</v>
      </c>
      <c r="E346" s="75" t="s">
        <v>16</v>
      </c>
      <c r="F346" s="75" t="s">
        <v>17</v>
      </c>
      <c r="G346" s="75" t="s">
        <v>31</v>
      </c>
      <c r="H346" s="76">
        <v>45266.0</v>
      </c>
      <c r="I346" s="75">
        <v>468.0</v>
      </c>
      <c r="J346" s="77">
        <v>51.0</v>
      </c>
      <c r="K346" s="77">
        <v>54.28</v>
      </c>
      <c r="L346" s="77">
        <v>23868.0</v>
      </c>
      <c r="M346" s="77">
        <v>25403.04</v>
      </c>
      <c r="N346" s="77">
        <v>-1535.0400000000009</v>
      </c>
      <c r="O346" s="78">
        <v>-0.06431372549019612</v>
      </c>
    </row>
    <row r="347" ht="15.75" customHeight="1">
      <c r="B347" s="75" t="s">
        <v>373</v>
      </c>
      <c r="C347" s="75" t="s">
        <v>14</v>
      </c>
      <c r="D347" s="75" t="s">
        <v>54</v>
      </c>
      <c r="E347" s="75" t="s">
        <v>26</v>
      </c>
      <c r="F347" s="75" t="s">
        <v>27</v>
      </c>
      <c r="G347" s="75" t="s">
        <v>18</v>
      </c>
      <c r="H347" s="76">
        <v>45267.0</v>
      </c>
      <c r="I347" s="75">
        <v>326.0</v>
      </c>
      <c r="J347" s="77">
        <v>132.24</v>
      </c>
      <c r="K347" s="77">
        <v>160.74</v>
      </c>
      <c r="L347" s="77">
        <v>43110.240000000005</v>
      </c>
      <c r="M347" s="77">
        <v>52401.240000000005</v>
      </c>
      <c r="N347" s="77">
        <v>-9291.0</v>
      </c>
      <c r="O347" s="78">
        <v>-0.21551724137931033</v>
      </c>
    </row>
    <row r="348" ht="15.75" customHeight="1">
      <c r="B348" s="75" t="s">
        <v>374</v>
      </c>
      <c r="C348" s="75" t="s">
        <v>20</v>
      </c>
      <c r="D348" s="75" t="s">
        <v>21</v>
      </c>
      <c r="E348" s="75" t="s">
        <v>46</v>
      </c>
      <c r="F348" s="75" t="s">
        <v>27</v>
      </c>
      <c r="G348" s="75" t="s">
        <v>31</v>
      </c>
      <c r="H348" s="76">
        <v>45268.0</v>
      </c>
      <c r="I348" s="75">
        <v>460.0</v>
      </c>
      <c r="J348" s="77">
        <v>395.01</v>
      </c>
      <c r="K348" s="77">
        <v>369.2</v>
      </c>
      <c r="L348" s="77">
        <v>181704.6</v>
      </c>
      <c r="M348" s="77">
        <v>169832.0</v>
      </c>
      <c r="N348" s="77">
        <v>11872.600000000006</v>
      </c>
      <c r="O348" s="78">
        <v>0.06534011797169695</v>
      </c>
    </row>
    <row r="349" ht="15.75" customHeight="1">
      <c r="B349" s="75" t="s">
        <v>375</v>
      </c>
      <c r="C349" s="75" t="s">
        <v>14</v>
      </c>
      <c r="D349" s="75" t="s">
        <v>15</v>
      </c>
      <c r="E349" s="75" t="s">
        <v>30</v>
      </c>
      <c r="F349" s="75" t="s">
        <v>17</v>
      </c>
      <c r="G349" s="75" t="s">
        <v>23</v>
      </c>
      <c r="H349" s="76">
        <v>45269.0</v>
      </c>
      <c r="I349" s="75">
        <v>132.0</v>
      </c>
      <c r="J349" s="77">
        <v>433.02</v>
      </c>
      <c r="K349" s="77">
        <v>189.88</v>
      </c>
      <c r="L349" s="77">
        <v>57158.64</v>
      </c>
      <c r="M349" s="77">
        <v>25064.16</v>
      </c>
      <c r="N349" s="77">
        <v>32094.48</v>
      </c>
      <c r="O349" s="78">
        <v>0.5614983141656275</v>
      </c>
    </row>
    <row r="350" ht="15.75" customHeight="1">
      <c r="B350" s="75" t="s">
        <v>376</v>
      </c>
      <c r="C350" s="75" t="s">
        <v>52</v>
      </c>
      <c r="D350" s="75" t="s">
        <v>21</v>
      </c>
      <c r="E350" s="75" t="s">
        <v>22</v>
      </c>
      <c r="F350" s="75" t="s">
        <v>27</v>
      </c>
      <c r="G350" s="75" t="s">
        <v>18</v>
      </c>
      <c r="H350" s="76">
        <v>45270.0</v>
      </c>
      <c r="I350" s="75">
        <v>399.0</v>
      </c>
      <c r="J350" s="77">
        <v>306.2</v>
      </c>
      <c r="K350" s="77">
        <v>7.33</v>
      </c>
      <c r="L350" s="77">
        <v>122173.79999999999</v>
      </c>
      <c r="M350" s="77">
        <v>2924.67</v>
      </c>
      <c r="N350" s="77">
        <v>119249.12999999999</v>
      </c>
      <c r="O350" s="78">
        <v>0.9760613977792293</v>
      </c>
    </row>
    <row r="351" ht="15.75" customHeight="1">
      <c r="B351" s="75" t="s">
        <v>377</v>
      </c>
      <c r="C351" s="75" t="s">
        <v>14</v>
      </c>
      <c r="D351" s="75" t="s">
        <v>21</v>
      </c>
      <c r="E351" s="75" t="s">
        <v>26</v>
      </c>
      <c r="F351" s="75" t="s">
        <v>17</v>
      </c>
      <c r="G351" s="75" t="s">
        <v>23</v>
      </c>
      <c r="H351" s="76">
        <v>45271.0</v>
      </c>
      <c r="I351" s="75">
        <v>18.0</v>
      </c>
      <c r="J351" s="77">
        <v>255.89</v>
      </c>
      <c r="K351" s="77">
        <v>114.53</v>
      </c>
      <c r="L351" s="77">
        <v>4606.0199999999995</v>
      </c>
      <c r="M351" s="77">
        <v>2061.54</v>
      </c>
      <c r="N351" s="77">
        <v>2544.4799999999996</v>
      </c>
      <c r="O351" s="78">
        <v>0.5524248700613544</v>
      </c>
    </row>
    <row r="352" ht="15.75" customHeight="1">
      <c r="B352" s="75" t="s">
        <v>378</v>
      </c>
      <c r="C352" s="75" t="s">
        <v>14</v>
      </c>
      <c r="D352" s="75" t="s">
        <v>54</v>
      </c>
      <c r="E352" s="75" t="s">
        <v>26</v>
      </c>
      <c r="F352" s="75" t="s">
        <v>17</v>
      </c>
      <c r="G352" s="75" t="s">
        <v>23</v>
      </c>
      <c r="H352" s="76">
        <v>45272.0</v>
      </c>
      <c r="I352" s="75">
        <v>271.0</v>
      </c>
      <c r="J352" s="77">
        <v>83.86</v>
      </c>
      <c r="K352" s="77">
        <v>19.75</v>
      </c>
      <c r="L352" s="77">
        <v>22726.06</v>
      </c>
      <c r="M352" s="77">
        <v>5352.25</v>
      </c>
      <c r="N352" s="77">
        <v>17373.81</v>
      </c>
      <c r="O352" s="78">
        <v>0.7644884331027904</v>
      </c>
    </row>
    <row r="353" ht="15.75" customHeight="1">
      <c r="B353" s="75" t="s">
        <v>379</v>
      </c>
      <c r="C353" s="75" t="s">
        <v>39</v>
      </c>
      <c r="D353" s="75" t="s">
        <v>15</v>
      </c>
      <c r="E353" s="75" t="s">
        <v>46</v>
      </c>
      <c r="F353" s="75" t="s">
        <v>17</v>
      </c>
      <c r="G353" s="75" t="s">
        <v>18</v>
      </c>
      <c r="H353" s="76">
        <v>45273.0</v>
      </c>
      <c r="I353" s="75">
        <v>82.0</v>
      </c>
      <c r="J353" s="77">
        <v>36.24</v>
      </c>
      <c r="K353" s="77">
        <v>16.44</v>
      </c>
      <c r="L353" s="77">
        <v>2971.6800000000003</v>
      </c>
      <c r="M353" s="77">
        <v>1348.0800000000002</v>
      </c>
      <c r="N353" s="77">
        <v>1623.6000000000001</v>
      </c>
      <c r="O353" s="78">
        <v>0.5463576158940397</v>
      </c>
    </row>
    <row r="354" ht="15.75" customHeight="1">
      <c r="B354" s="75" t="s">
        <v>380</v>
      </c>
      <c r="C354" s="75" t="s">
        <v>20</v>
      </c>
      <c r="D354" s="75" t="s">
        <v>15</v>
      </c>
      <c r="E354" s="75" t="s">
        <v>22</v>
      </c>
      <c r="F354" s="75" t="s">
        <v>17</v>
      </c>
      <c r="G354" s="75" t="s">
        <v>18</v>
      </c>
      <c r="H354" s="76">
        <v>45274.0</v>
      </c>
      <c r="I354" s="75">
        <v>368.0</v>
      </c>
      <c r="J354" s="77">
        <v>63.24</v>
      </c>
      <c r="K354" s="77">
        <v>111.74</v>
      </c>
      <c r="L354" s="77">
        <v>23272.32</v>
      </c>
      <c r="M354" s="77">
        <v>41120.32</v>
      </c>
      <c r="N354" s="77">
        <v>-17848.0</v>
      </c>
      <c r="O354" s="78">
        <v>-0.7669196710942442</v>
      </c>
    </row>
    <row r="355" ht="15.75" customHeight="1">
      <c r="B355" s="75" t="s">
        <v>381</v>
      </c>
      <c r="C355" s="75" t="s">
        <v>20</v>
      </c>
      <c r="D355" s="75" t="s">
        <v>15</v>
      </c>
      <c r="E355" s="75" t="s">
        <v>16</v>
      </c>
      <c r="F355" s="75" t="s">
        <v>17</v>
      </c>
      <c r="G355" s="75" t="s">
        <v>23</v>
      </c>
      <c r="H355" s="76">
        <v>45275.0</v>
      </c>
      <c r="I355" s="75">
        <v>232.0</v>
      </c>
      <c r="J355" s="77">
        <v>117.54</v>
      </c>
      <c r="K355" s="77">
        <v>111.69</v>
      </c>
      <c r="L355" s="77">
        <v>27269.280000000002</v>
      </c>
      <c r="M355" s="77">
        <v>25912.079999999998</v>
      </c>
      <c r="N355" s="77">
        <v>1357.2000000000044</v>
      </c>
      <c r="O355" s="78">
        <v>0.049770290964778106</v>
      </c>
    </row>
    <row r="356" ht="15.75" customHeight="1">
      <c r="B356" s="75" t="s">
        <v>382</v>
      </c>
      <c r="C356" s="75" t="s">
        <v>14</v>
      </c>
      <c r="D356" s="75" t="s">
        <v>34</v>
      </c>
      <c r="E356" s="75" t="s">
        <v>26</v>
      </c>
      <c r="F356" s="75" t="s">
        <v>27</v>
      </c>
      <c r="G356" s="75" t="s">
        <v>18</v>
      </c>
      <c r="H356" s="76">
        <v>45276.0</v>
      </c>
      <c r="I356" s="75">
        <v>425.0</v>
      </c>
      <c r="J356" s="77">
        <v>174.13</v>
      </c>
      <c r="K356" s="77">
        <v>315.28</v>
      </c>
      <c r="L356" s="77">
        <v>74005.25</v>
      </c>
      <c r="M356" s="77">
        <v>133994.0</v>
      </c>
      <c r="N356" s="77">
        <v>-59988.75</v>
      </c>
      <c r="O356" s="78">
        <v>-0.8106012749095504</v>
      </c>
    </row>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E3"/>
  </mergeCell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12.63"/>
    <col customWidth="1" min="3" max="3" width="19.88"/>
    <col customWidth="1" min="4" max="4" width="18.13"/>
    <col customWidth="1" min="5" max="6" width="12.63"/>
  </cols>
  <sheetData>
    <row r="1"/>
    <row r="2"/>
    <row r="3"/>
    <row r="4"/>
    <row r="5"/>
    <row r="6"/>
    <row r="7"/>
    <row r="11"/>
    <row r="12"/>
    <row r="13"/>
    <row r="14"/>
    <row r="15"/>
    <row r="1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566A272E-788F-44AE-970B-37562BC269BF}" filter="1" showAutoFilter="1">
      <autoFilter ref="$A$1:$B$7"/>
    </customSheetView>
    <customSheetView guid="{D3AECAE0-D251-4DDB-A2B3-41625ECC4C5B}" filter="1" showAutoFilter="1">
      <autoFilter ref="$A$1:$B$7"/>
    </customSheetView>
    <customSheetView guid="{566A272E-788F-44AE-970B-37562BC269BF}" filter="1" showAutoFilter="1">
      <autoFilter ref="$A$11:$B$17"/>
    </customSheetView>
    <customSheetView guid="{D3AECAE0-D251-4DDB-A2B3-41625ECC4C5B}" filter="1" showAutoFilter="1">
      <autoFilter ref="$A$11:$B$17"/>
    </customSheetView>
  </customSheetViews>
  <drawing r:id="rId6"/>
  <tableParts count="2">
    <tablePart r:id="rId9"/>
    <tablePart r:id="rId10"/>
  </tableParts>
  <extLst>
    <ext uri="{3A4CF648-6AED-40f4-86FF-DC5316D8AED3}">
      <x14:slicerList>
        <x14:slicer r:id="rId11"/>
      </x14:slicerList>
    </ext>
  </extLst>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2">
      <c r="B2" s="24" t="s">
        <v>517</v>
      </c>
    </row>
    <row r="4">
      <c r="B4" s="72" t="s">
        <v>0</v>
      </c>
      <c r="C4" s="72" t="s">
        <v>1</v>
      </c>
      <c r="D4" s="72" t="s">
        <v>2</v>
      </c>
      <c r="E4" s="72" t="s">
        <v>3</v>
      </c>
      <c r="F4" s="72" t="s">
        <v>4</v>
      </c>
      <c r="G4" s="72" t="s">
        <v>5</v>
      </c>
      <c r="H4" s="72" t="s">
        <v>6</v>
      </c>
      <c r="I4" s="72" t="s">
        <v>7</v>
      </c>
      <c r="J4" s="73" t="s">
        <v>8</v>
      </c>
      <c r="K4" s="73" t="s">
        <v>9</v>
      </c>
      <c r="L4" s="73" t="s">
        <v>10</v>
      </c>
      <c r="M4" s="73" t="s">
        <v>11</v>
      </c>
      <c r="N4" s="73" t="s">
        <v>12</v>
      </c>
      <c r="O4" s="72" t="s">
        <v>383</v>
      </c>
    </row>
    <row r="5">
      <c r="B5" s="74" t="s">
        <v>13</v>
      </c>
      <c r="C5" s="75" t="s">
        <v>14</v>
      </c>
      <c r="D5" s="75" t="s">
        <v>15</v>
      </c>
      <c r="E5" s="75" t="s">
        <v>16</v>
      </c>
      <c r="F5" s="75" t="s">
        <v>17</v>
      </c>
      <c r="G5" s="75" t="s">
        <v>18</v>
      </c>
      <c r="H5" s="76">
        <v>44927.0</v>
      </c>
      <c r="I5" s="75">
        <v>235.0</v>
      </c>
      <c r="J5" s="77">
        <v>152.92</v>
      </c>
      <c r="K5" s="77">
        <v>153.6</v>
      </c>
      <c r="L5" s="77">
        <v>35936.2</v>
      </c>
      <c r="M5" s="77">
        <v>36096.0</v>
      </c>
      <c r="N5" s="77">
        <v>-159.8000000000029</v>
      </c>
      <c r="O5" s="78">
        <v>-0.00444676955270738</v>
      </c>
    </row>
    <row r="6">
      <c r="B6" s="75" t="s">
        <v>19</v>
      </c>
      <c r="C6" s="75" t="s">
        <v>20</v>
      </c>
      <c r="D6" s="75" t="s">
        <v>21</v>
      </c>
      <c r="E6" s="75" t="s">
        <v>22</v>
      </c>
      <c r="F6" s="75" t="s">
        <v>17</v>
      </c>
      <c r="G6" s="75" t="s">
        <v>23</v>
      </c>
      <c r="H6" s="76">
        <v>44928.0</v>
      </c>
      <c r="I6" s="75">
        <v>341.0</v>
      </c>
      <c r="J6" s="77">
        <v>467.92</v>
      </c>
      <c r="K6" s="77">
        <v>139.84</v>
      </c>
      <c r="L6" s="77">
        <v>159560.72</v>
      </c>
      <c r="M6" s="77">
        <v>47685.44</v>
      </c>
      <c r="N6" s="77">
        <v>111875.28</v>
      </c>
      <c r="O6" s="78">
        <v>0.7011454949564028</v>
      </c>
    </row>
    <row r="7">
      <c r="B7" s="75" t="s">
        <v>24</v>
      </c>
      <c r="C7" s="75" t="s">
        <v>25</v>
      </c>
      <c r="D7" s="75" t="s">
        <v>21</v>
      </c>
      <c r="E7" s="75" t="s">
        <v>26</v>
      </c>
      <c r="F7" s="75" t="s">
        <v>27</v>
      </c>
      <c r="G7" s="75" t="s">
        <v>18</v>
      </c>
      <c r="H7" s="76">
        <v>44929.0</v>
      </c>
      <c r="I7" s="75">
        <v>179.0</v>
      </c>
      <c r="J7" s="77">
        <v>473.94</v>
      </c>
      <c r="K7" s="77">
        <v>97.14</v>
      </c>
      <c r="L7" s="77">
        <v>84835.26</v>
      </c>
      <c r="M7" s="77">
        <v>17388.06</v>
      </c>
      <c r="N7" s="77">
        <v>67447.2</v>
      </c>
      <c r="O7" s="78">
        <v>0.7950373464995569</v>
      </c>
    </row>
    <row r="8">
      <c r="B8" s="75" t="s">
        <v>28</v>
      </c>
      <c r="C8" s="75" t="s">
        <v>14</v>
      </c>
      <c r="D8" s="75" t="s">
        <v>29</v>
      </c>
      <c r="E8" s="75" t="s">
        <v>30</v>
      </c>
      <c r="F8" s="75" t="s">
        <v>27</v>
      </c>
      <c r="G8" s="75" t="s">
        <v>31</v>
      </c>
      <c r="H8" s="76">
        <v>44930.0</v>
      </c>
      <c r="I8" s="75">
        <v>18.0</v>
      </c>
      <c r="J8" s="77">
        <v>314.53</v>
      </c>
      <c r="K8" s="77">
        <v>204.87</v>
      </c>
      <c r="L8" s="77">
        <v>5661.539999999999</v>
      </c>
      <c r="M8" s="77">
        <v>3687.66</v>
      </c>
      <c r="N8" s="77">
        <v>1973.8799999999992</v>
      </c>
      <c r="O8" s="78">
        <v>0.3486471878676119</v>
      </c>
    </row>
    <row r="9">
      <c r="B9" s="75" t="s">
        <v>32</v>
      </c>
      <c r="C9" s="75" t="s">
        <v>14</v>
      </c>
      <c r="D9" s="75" t="s">
        <v>21</v>
      </c>
      <c r="E9" s="75" t="s">
        <v>30</v>
      </c>
      <c r="F9" s="75" t="s">
        <v>27</v>
      </c>
      <c r="G9" s="75" t="s">
        <v>31</v>
      </c>
      <c r="H9" s="76">
        <v>44931.0</v>
      </c>
      <c r="I9" s="75">
        <v>472.0</v>
      </c>
      <c r="J9" s="77">
        <v>392.79</v>
      </c>
      <c r="K9" s="77">
        <v>330.46</v>
      </c>
      <c r="L9" s="77">
        <v>185396.88</v>
      </c>
      <c r="M9" s="77">
        <v>155977.12</v>
      </c>
      <c r="N9" s="77">
        <v>29419.76000000001</v>
      </c>
      <c r="O9" s="78">
        <v>0.15868530257898628</v>
      </c>
    </row>
    <row r="10">
      <c r="B10" s="75" t="s">
        <v>33</v>
      </c>
      <c r="C10" s="75" t="s">
        <v>20</v>
      </c>
      <c r="D10" s="75" t="s">
        <v>34</v>
      </c>
      <c r="E10" s="75" t="s">
        <v>26</v>
      </c>
      <c r="F10" s="75" t="s">
        <v>17</v>
      </c>
      <c r="G10" s="75" t="s">
        <v>18</v>
      </c>
      <c r="H10" s="76">
        <v>44932.0</v>
      </c>
      <c r="I10" s="75">
        <v>49.0</v>
      </c>
      <c r="J10" s="77">
        <v>308.07</v>
      </c>
      <c r="K10" s="77">
        <v>113.32</v>
      </c>
      <c r="L10" s="77">
        <v>15095.43</v>
      </c>
      <c r="M10" s="77">
        <v>5552.679999999999</v>
      </c>
      <c r="N10" s="77">
        <v>9542.75</v>
      </c>
      <c r="O10" s="78">
        <v>0.6321615217320739</v>
      </c>
    </row>
    <row r="11">
      <c r="B11" s="75" t="s">
        <v>35</v>
      </c>
      <c r="C11" s="75" t="s">
        <v>25</v>
      </c>
      <c r="D11" s="75" t="s">
        <v>15</v>
      </c>
      <c r="E11" s="75" t="s">
        <v>26</v>
      </c>
      <c r="F11" s="75" t="s">
        <v>17</v>
      </c>
      <c r="G11" s="75" t="s">
        <v>23</v>
      </c>
      <c r="H11" s="76">
        <v>44933.0</v>
      </c>
      <c r="I11" s="75">
        <v>34.0</v>
      </c>
      <c r="J11" s="77">
        <v>244.78</v>
      </c>
      <c r="K11" s="77">
        <v>377.07</v>
      </c>
      <c r="L11" s="77">
        <v>8322.52</v>
      </c>
      <c r="M11" s="77">
        <v>12820.38</v>
      </c>
      <c r="N11" s="77">
        <v>-4497.859999999999</v>
      </c>
      <c r="O11" s="78">
        <v>-0.5404444807582317</v>
      </c>
    </row>
    <row r="12">
      <c r="B12" s="75" t="s">
        <v>36</v>
      </c>
      <c r="C12" s="75" t="s">
        <v>25</v>
      </c>
      <c r="D12" s="75" t="s">
        <v>21</v>
      </c>
      <c r="E12" s="75" t="s">
        <v>16</v>
      </c>
      <c r="F12" s="75" t="s">
        <v>17</v>
      </c>
      <c r="G12" s="75" t="s">
        <v>18</v>
      </c>
      <c r="H12" s="76">
        <v>44934.0</v>
      </c>
      <c r="I12" s="75">
        <v>270.0</v>
      </c>
      <c r="J12" s="77">
        <v>332.11</v>
      </c>
      <c r="K12" s="77">
        <v>349.59</v>
      </c>
      <c r="L12" s="77">
        <v>89669.7</v>
      </c>
      <c r="M12" s="77">
        <v>94389.29999999999</v>
      </c>
      <c r="N12" s="77">
        <v>-4719.599999999991</v>
      </c>
      <c r="O12" s="78">
        <v>-0.05263316371081861</v>
      </c>
    </row>
    <row r="13">
      <c r="B13" s="75" t="s">
        <v>37</v>
      </c>
      <c r="C13" s="75" t="s">
        <v>14</v>
      </c>
      <c r="D13" s="75" t="s">
        <v>21</v>
      </c>
      <c r="E13" s="75" t="s">
        <v>16</v>
      </c>
      <c r="F13" s="75" t="s">
        <v>17</v>
      </c>
      <c r="G13" s="75" t="s">
        <v>23</v>
      </c>
      <c r="H13" s="76">
        <v>44935.0</v>
      </c>
      <c r="I13" s="75">
        <v>404.0</v>
      </c>
      <c r="J13" s="77">
        <v>278.74</v>
      </c>
      <c r="K13" s="77">
        <v>66.38</v>
      </c>
      <c r="L13" s="77">
        <v>112610.96</v>
      </c>
      <c r="M13" s="77">
        <v>26817.519999999997</v>
      </c>
      <c r="N13" s="77">
        <v>85793.44</v>
      </c>
      <c r="O13" s="78">
        <v>0.7618569276027839</v>
      </c>
    </row>
    <row r="14">
      <c r="B14" s="75" t="s">
        <v>38</v>
      </c>
      <c r="C14" s="75" t="s">
        <v>39</v>
      </c>
      <c r="D14" s="75" t="s">
        <v>29</v>
      </c>
      <c r="E14" s="75" t="s">
        <v>30</v>
      </c>
      <c r="F14" s="75" t="s">
        <v>17</v>
      </c>
      <c r="G14" s="75" t="s">
        <v>31</v>
      </c>
      <c r="H14" s="76">
        <v>44936.0</v>
      </c>
      <c r="I14" s="75">
        <v>452.0</v>
      </c>
      <c r="J14" s="77">
        <v>300.75</v>
      </c>
      <c r="K14" s="77">
        <v>314.94</v>
      </c>
      <c r="L14" s="77">
        <v>135939.0</v>
      </c>
      <c r="M14" s="77">
        <v>142352.88</v>
      </c>
      <c r="N14" s="77">
        <v>-6413.880000000005</v>
      </c>
      <c r="O14" s="78">
        <v>-0.047182044887780585</v>
      </c>
    </row>
    <row r="15">
      <c r="B15" s="75" t="s">
        <v>40</v>
      </c>
      <c r="C15" s="75" t="s">
        <v>14</v>
      </c>
      <c r="D15" s="75" t="s">
        <v>29</v>
      </c>
      <c r="E15" s="75" t="s">
        <v>22</v>
      </c>
      <c r="F15" s="75" t="s">
        <v>17</v>
      </c>
      <c r="G15" s="75" t="s">
        <v>23</v>
      </c>
      <c r="H15" s="76">
        <v>44937.0</v>
      </c>
      <c r="I15" s="75">
        <v>235.0</v>
      </c>
      <c r="J15" s="77">
        <v>393.0</v>
      </c>
      <c r="K15" s="77">
        <v>230.69</v>
      </c>
      <c r="L15" s="77">
        <v>92355.0</v>
      </c>
      <c r="M15" s="77">
        <v>54212.15</v>
      </c>
      <c r="N15" s="77">
        <v>38142.85</v>
      </c>
      <c r="O15" s="78">
        <v>0.41300254452926205</v>
      </c>
    </row>
    <row r="16">
      <c r="B16" s="75" t="s">
        <v>41</v>
      </c>
      <c r="C16" s="75" t="s">
        <v>14</v>
      </c>
      <c r="D16" s="75" t="s">
        <v>34</v>
      </c>
      <c r="E16" s="75" t="s">
        <v>30</v>
      </c>
      <c r="F16" s="75" t="s">
        <v>27</v>
      </c>
      <c r="G16" s="75" t="s">
        <v>31</v>
      </c>
      <c r="H16" s="76">
        <v>44938.0</v>
      </c>
      <c r="I16" s="75">
        <v>481.0</v>
      </c>
      <c r="J16" s="77">
        <v>243.05</v>
      </c>
      <c r="K16" s="77">
        <v>227.5</v>
      </c>
      <c r="L16" s="77">
        <v>116907.05</v>
      </c>
      <c r="M16" s="77">
        <v>109427.5</v>
      </c>
      <c r="N16" s="77">
        <v>7479.550000000003</v>
      </c>
      <c r="O16" s="78">
        <v>0.06397860522526232</v>
      </c>
    </row>
    <row r="17">
      <c r="B17" s="75" t="s">
        <v>42</v>
      </c>
      <c r="C17" s="75" t="s">
        <v>14</v>
      </c>
      <c r="D17" s="75" t="s">
        <v>15</v>
      </c>
      <c r="E17" s="75" t="s">
        <v>22</v>
      </c>
      <c r="F17" s="75" t="s">
        <v>27</v>
      </c>
      <c r="G17" s="75" t="s">
        <v>23</v>
      </c>
      <c r="H17" s="76">
        <v>44939.0</v>
      </c>
      <c r="I17" s="75">
        <v>133.0</v>
      </c>
      <c r="J17" s="77">
        <v>25.17</v>
      </c>
      <c r="K17" s="77">
        <v>157.64</v>
      </c>
      <c r="L17" s="77">
        <v>3347.61</v>
      </c>
      <c r="M17" s="77">
        <v>20966.12</v>
      </c>
      <c r="N17" s="77">
        <v>-17618.51</v>
      </c>
      <c r="O17" s="78">
        <v>-5.263011521652761</v>
      </c>
    </row>
    <row r="18">
      <c r="B18" s="75" t="s">
        <v>43</v>
      </c>
      <c r="C18" s="75" t="s">
        <v>14</v>
      </c>
      <c r="D18" s="75" t="s">
        <v>29</v>
      </c>
      <c r="E18" s="75" t="s">
        <v>22</v>
      </c>
      <c r="F18" s="75" t="s">
        <v>27</v>
      </c>
      <c r="G18" s="75" t="s">
        <v>23</v>
      </c>
      <c r="H18" s="76">
        <v>44940.0</v>
      </c>
      <c r="I18" s="75">
        <v>472.0</v>
      </c>
      <c r="J18" s="77">
        <v>86.18</v>
      </c>
      <c r="K18" s="77">
        <v>201.46</v>
      </c>
      <c r="L18" s="77">
        <v>40676.96000000001</v>
      </c>
      <c r="M18" s="77">
        <v>95089.12000000001</v>
      </c>
      <c r="N18" s="77">
        <v>-54412.16</v>
      </c>
      <c r="O18" s="78">
        <v>-1.337665351589696</v>
      </c>
    </row>
    <row r="19">
      <c r="B19" s="75" t="s">
        <v>44</v>
      </c>
      <c r="C19" s="75" t="s">
        <v>20</v>
      </c>
      <c r="D19" s="75" t="s">
        <v>21</v>
      </c>
      <c r="E19" s="75" t="s">
        <v>16</v>
      </c>
      <c r="F19" s="75" t="s">
        <v>27</v>
      </c>
      <c r="G19" s="75" t="s">
        <v>23</v>
      </c>
      <c r="H19" s="76">
        <v>44941.0</v>
      </c>
      <c r="I19" s="75">
        <v>47.0</v>
      </c>
      <c r="J19" s="77">
        <v>222.11</v>
      </c>
      <c r="K19" s="77">
        <v>160.08</v>
      </c>
      <c r="L19" s="77">
        <v>10439.17</v>
      </c>
      <c r="M19" s="77">
        <v>7523.76</v>
      </c>
      <c r="N19" s="77">
        <v>2915.41</v>
      </c>
      <c r="O19" s="78">
        <v>0.27927603439737064</v>
      </c>
    </row>
    <row r="20">
      <c r="B20" s="75" t="s">
        <v>45</v>
      </c>
      <c r="C20" s="75" t="s">
        <v>25</v>
      </c>
      <c r="D20" s="75" t="s">
        <v>15</v>
      </c>
      <c r="E20" s="75" t="s">
        <v>46</v>
      </c>
      <c r="F20" s="75" t="s">
        <v>17</v>
      </c>
      <c r="G20" s="75" t="s">
        <v>18</v>
      </c>
      <c r="H20" s="76">
        <v>44942.0</v>
      </c>
      <c r="I20" s="75">
        <v>337.0</v>
      </c>
      <c r="J20" s="77">
        <v>363.79</v>
      </c>
      <c r="K20" s="77">
        <v>216.81</v>
      </c>
      <c r="L20" s="77">
        <v>122597.23000000001</v>
      </c>
      <c r="M20" s="77">
        <v>73064.97</v>
      </c>
      <c r="N20" s="77">
        <v>49532.26000000001</v>
      </c>
      <c r="O20" s="78">
        <v>0.4040242997333627</v>
      </c>
    </row>
    <row r="21" ht="15.75" customHeight="1">
      <c r="B21" s="75" t="s">
        <v>47</v>
      </c>
      <c r="C21" s="75" t="s">
        <v>20</v>
      </c>
      <c r="D21" s="75" t="s">
        <v>15</v>
      </c>
      <c r="E21" s="75" t="s">
        <v>46</v>
      </c>
      <c r="F21" s="75" t="s">
        <v>17</v>
      </c>
      <c r="G21" s="75" t="s">
        <v>18</v>
      </c>
      <c r="H21" s="76">
        <v>44943.0</v>
      </c>
      <c r="I21" s="75">
        <v>260.0</v>
      </c>
      <c r="J21" s="77">
        <v>298.67</v>
      </c>
      <c r="K21" s="77">
        <v>251.92</v>
      </c>
      <c r="L21" s="77">
        <v>77654.2</v>
      </c>
      <c r="M21" s="77">
        <v>65499.2</v>
      </c>
      <c r="N21" s="77">
        <v>12155.0</v>
      </c>
      <c r="O21" s="78">
        <v>0.15652727090099441</v>
      </c>
    </row>
    <row r="22" ht="15.75" customHeight="1">
      <c r="B22" s="75" t="s">
        <v>48</v>
      </c>
      <c r="C22" s="75" t="s">
        <v>39</v>
      </c>
      <c r="D22" s="75" t="s">
        <v>21</v>
      </c>
      <c r="E22" s="75" t="s">
        <v>26</v>
      </c>
      <c r="F22" s="75" t="s">
        <v>27</v>
      </c>
      <c r="G22" s="75" t="s">
        <v>31</v>
      </c>
      <c r="H22" s="76">
        <v>44944.0</v>
      </c>
      <c r="I22" s="75">
        <v>398.0</v>
      </c>
      <c r="J22" s="77">
        <v>326.9</v>
      </c>
      <c r="K22" s="77">
        <v>270.37</v>
      </c>
      <c r="L22" s="77">
        <v>130106.2</v>
      </c>
      <c r="M22" s="77">
        <v>107607.26</v>
      </c>
      <c r="N22" s="77">
        <v>22498.940000000002</v>
      </c>
      <c r="O22" s="78">
        <v>0.17292750076475988</v>
      </c>
    </row>
    <row r="23" ht="15.75" customHeight="1">
      <c r="B23" s="75" t="s">
        <v>49</v>
      </c>
      <c r="C23" s="75" t="s">
        <v>20</v>
      </c>
      <c r="D23" s="75" t="s">
        <v>29</v>
      </c>
      <c r="E23" s="75" t="s">
        <v>16</v>
      </c>
      <c r="F23" s="75" t="s">
        <v>17</v>
      </c>
      <c r="G23" s="75" t="s">
        <v>31</v>
      </c>
      <c r="H23" s="76">
        <v>44945.0</v>
      </c>
      <c r="I23" s="75">
        <v>185.0</v>
      </c>
      <c r="J23" s="77">
        <v>242.24</v>
      </c>
      <c r="K23" s="77">
        <v>213.93</v>
      </c>
      <c r="L23" s="77">
        <v>44814.4</v>
      </c>
      <c r="M23" s="77">
        <v>39577.05</v>
      </c>
      <c r="N23" s="77">
        <v>5237.3499999999985</v>
      </c>
      <c r="O23" s="78">
        <v>0.11686756935270802</v>
      </c>
    </row>
    <row r="24" ht="15.75" customHeight="1">
      <c r="B24" s="75" t="s">
        <v>50</v>
      </c>
      <c r="C24" s="75" t="s">
        <v>14</v>
      </c>
      <c r="D24" s="75" t="s">
        <v>21</v>
      </c>
      <c r="E24" s="75" t="s">
        <v>22</v>
      </c>
      <c r="F24" s="75" t="s">
        <v>27</v>
      </c>
      <c r="G24" s="75" t="s">
        <v>18</v>
      </c>
      <c r="H24" s="76">
        <v>44946.0</v>
      </c>
      <c r="I24" s="75">
        <v>99.0</v>
      </c>
      <c r="J24" s="77">
        <v>309.79</v>
      </c>
      <c r="K24" s="77">
        <v>289.13</v>
      </c>
      <c r="L24" s="77">
        <v>30669.210000000003</v>
      </c>
      <c r="M24" s="77">
        <v>28623.87</v>
      </c>
      <c r="N24" s="77">
        <v>2045.3400000000038</v>
      </c>
      <c r="O24" s="78">
        <v>0.06669033861648226</v>
      </c>
    </row>
    <row r="25" ht="15.75" customHeight="1">
      <c r="B25" s="75" t="s">
        <v>51</v>
      </c>
      <c r="C25" s="75" t="s">
        <v>52</v>
      </c>
      <c r="D25" s="75" t="s">
        <v>15</v>
      </c>
      <c r="E25" s="75" t="s">
        <v>46</v>
      </c>
      <c r="F25" s="75" t="s">
        <v>27</v>
      </c>
      <c r="G25" s="75" t="s">
        <v>31</v>
      </c>
      <c r="H25" s="76">
        <v>44947.0</v>
      </c>
      <c r="I25" s="75">
        <v>411.0</v>
      </c>
      <c r="J25" s="77">
        <v>167.86</v>
      </c>
      <c r="K25" s="77">
        <v>58.23</v>
      </c>
      <c r="L25" s="77">
        <v>68990.46</v>
      </c>
      <c r="M25" s="77">
        <v>23932.53</v>
      </c>
      <c r="N25" s="77">
        <v>45057.93000000001</v>
      </c>
      <c r="O25" s="78">
        <v>0.6531037769569881</v>
      </c>
    </row>
    <row r="26" ht="15.75" customHeight="1">
      <c r="B26" s="75" t="s">
        <v>53</v>
      </c>
      <c r="C26" s="75" t="s">
        <v>25</v>
      </c>
      <c r="D26" s="75" t="s">
        <v>54</v>
      </c>
      <c r="E26" s="75" t="s">
        <v>22</v>
      </c>
      <c r="F26" s="75" t="s">
        <v>27</v>
      </c>
      <c r="G26" s="75" t="s">
        <v>18</v>
      </c>
      <c r="H26" s="76">
        <v>44948.0</v>
      </c>
      <c r="I26" s="75">
        <v>463.0</v>
      </c>
      <c r="J26" s="77">
        <v>237.74</v>
      </c>
      <c r="K26" s="77">
        <v>86.37</v>
      </c>
      <c r="L26" s="77">
        <v>110073.62000000001</v>
      </c>
      <c r="M26" s="77">
        <v>39989.310000000005</v>
      </c>
      <c r="N26" s="77">
        <v>70084.31</v>
      </c>
      <c r="O26" s="78">
        <v>0.6367039623117691</v>
      </c>
    </row>
    <row r="27" ht="15.75" customHeight="1">
      <c r="B27" s="75" t="s">
        <v>55</v>
      </c>
      <c r="C27" s="75" t="s">
        <v>52</v>
      </c>
      <c r="D27" s="75" t="s">
        <v>54</v>
      </c>
      <c r="E27" s="75" t="s">
        <v>46</v>
      </c>
      <c r="F27" s="75" t="s">
        <v>17</v>
      </c>
      <c r="G27" s="75" t="s">
        <v>23</v>
      </c>
      <c r="H27" s="76">
        <v>44949.0</v>
      </c>
      <c r="I27" s="75">
        <v>46.0</v>
      </c>
      <c r="J27" s="77">
        <v>373.42</v>
      </c>
      <c r="K27" s="77">
        <v>327.86</v>
      </c>
      <c r="L27" s="77">
        <v>17177.32</v>
      </c>
      <c r="M27" s="77">
        <v>15081.560000000001</v>
      </c>
      <c r="N27" s="77">
        <v>2095.7599999999984</v>
      </c>
      <c r="O27" s="78">
        <v>0.1220073911413421</v>
      </c>
    </row>
    <row r="28" ht="15.75" customHeight="1">
      <c r="B28" s="75" t="s">
        <v>56</v>
      </c>
      <c r="C28" s="75" t="s">
        <v>20</v>
      </c>
      <c r="D28" s="75" t="s">
        <v>34</v>
      </c>
      <c r="E28" s="75" t="s">
        <v>46</v>
      </c>
      <c r="F28" s="75" t="s">
        <v>27</v>
      </c>
      <c r="G28" s="75" t="s">
        <v>31</v>
      </c>
      <c r="H28" s="76">
        <v>44950.0</v>
      </c>
      <c r="I28" s="75">
        <v>325.0</v>
      </c>
      <c r="J28" s="77">
        <v>436.56</v>
      </c>
      <c r="K28" s="77">
        <v>130.37</v>
      </c>
      <c r="L28" s="77">
        <v>141882.0</v>
      </c>
      <c r="M28" s="77">
        <v>42370.25</v>
      </c>
      <c r="N28" s="77">
        <v>99511.75</v>
      </c>
      <c r="O28" s="78">
        <v>0.7013698002565513</v>
      </c>
    </row>
    <row r="29" ht="15.75" customHeight="1">
      <c r="B29" s="75" t="s">
        <v>57</v>
      </c>
      <c r="C29" s="75" t="s">
        <v>20</v>
      </c>
      <c r="D29" s="75" t="s">
        <v>21</v>
      </c>
      <c r="E29" s="75" t="s">
        <v>39</v>
      </c>
      <c r="F29" s="75" t="s">
        <v>27</v>
      </c>
      <c r="G29" s="75" t="s">
        <v>31</v>
      </c>
      <c r="H29" s="76">
        <v>44951.0</v>
      </c>
      <c r="I29" s="75">
        <v>185.0</v>
      </c>
      <c r="J29" s="77">
        <v>219.66</v>
      </c>
      <c r="K29" s="77">
        <v>11.11</v>
      </c>
      <c r="L29" s="77">
        <v>40637.1</v>
      </c>
      <c r="M29" s="77">
        <v>2055.35</v>
      </c>
      <c r="N29" s="77">
        <v>38581.75</v>
      </c>
      <c r="O29" s="78">
        <v>0.9494218337430574</v>
      </c>
    </row>
    <row r="30" ht="15.75" customHeight="1">
      <c r="B30" s="75" t="s">
        <v>58</v>
      </c>
      <c r="C30" s="75" t="s">
        <v>52</v>
      </c>
      <c r="D30" s="75" t="s">
        <v>21</v>
      </c>
      <c r="E30" s="75" t="s">
        <v>16</v>
      </c>
      <c r="F30" s="75" t="s">
        <v>27</v>
      </c>
      <c r="G30" s="75" t="s">
        <v>18</v>
      </c>
      <c r="H30" s="76">
        <v>44952.0</v>
      </c>
      <c r="I30" s="75">
        <v>470.0</v>
      </c>
      <c r="J30" s="77">
        <v>26.61</v>
      </c>
      <c r="K30" s="77">
        <v>63.21</v>
      </c>
      <c r="L30" s="77">
        <v>12506.699999999999</v>
      </c>
      <c r="M30" s="77">
        <v>29708.7</v>
      </c>
      <c r="N30" s="77">
        <v>-17202.0</v>
      </c>
      <c r="O30" s="78">
        <v>-1.3754227733934612</v>
      </c>
    </row>
    <row r="31" ht="15.75" customHeight="1">
      <c r="B31" s="75" t="s">
        <v>59</v>
      </c>
      <c r="C31" s="75" t="s">
        <v>52</v>
      </c>
      <c r="D31" s="75" t="s">
        <v>34</v>
      </c>
      <c r="E31" s="75" t="s">
        <v>30</v>
      </c>
      <c r="F31" s="75" t="s">
        <v>17</v>
      </c>
      <c r="G31" s="75" t="s">
        <v>31</v>
      </c>
      <c r="H31" s="76">
        <v>44953.0</v>
      </c>
      <c r="I31" s="75">
        <v>293.0</v>
      </c>
      <c r="J31" s="77">
        <v>85.03</v>
      </c>
      <c r="K31" s="77">
        <v>91.0</v>
      </c>
      <c r="L31" s="77">
        <v>24913.79</v>
      </c>
      <c r="M31" s="77">
        <v>26663.0</v>
      </c>
      <c r="N31" s="77">
        <v>-1749.2099999999991</v>
      </c>
      <c r="O31" s="78">
        <v>-0.07021051393625775</v>
      </c>
    </row>
    <row r="32" ht="15.75" customHeight="1">
      <c r="B32" s="75" t="s">
        <v>60</v>
      </c>
      <c r="C32" s="75" t="s">
        <v>52</v>
      </c>
      <c r="D32" s="75" t="s">
        <v>34</v>
      </c>
      <c r="E32" s="75" t="s">
        <v>22</v>
      </c>
      <c r="F32" s="75" t="s">
        <v>17</v>
      </c>
      <c r="G32" s="75" t="s">
        <v>31</v>
      </c>
      <c r="H32" s="76">
        <v>44954.0</v>
      </c>
      <c r="I32" s="75">
        <v>462.0</v>
      </c>
      <c r="J32" s="77">
        <v>249.64520588235297</v>
      </c>
      <c r="K32" s="77">
        <v>383.01</v>
      </c>
      <c r="L32" s="77">
        <v>115336.08511764708</v>
      </c>
      <c r="M32" s="77">
        <v>176950.62</v>
      </c>
      <c r="N32" s="77">
        <v>-61614.53488235292</v>
      </c>
      <c r="O32" s="78">
        <v>-0.5342173251285911</v>
      </c>
    </row>
    <row r="33" ht="15.75" customHeight="1">
      <c r="B33" s="75" t="s">
        <v>61</v>
      </c>
      <c r="C33" s="75" t="s">
        <v>20</v>
      </c>
      <c r="D33" s="75" t="s">
        <v>34</v>
      </c>
      <c r="E33" s="75" t="s">
        <v>16</v>
      </c>
      <c r="F33" s="75" t="s">
        <v>27</v>
      </c>
      <c r="G33" s="75" t="s">
        <v>23</v>
      </c>
      <c r="H33" s="76">
        <v>44955.0</v>
      </c>
      <c r="I33" s="75">
        <v>470.0</v>
      </c>
      <c r="J33" s="77">
        <v>328.37</v>
      </c>
      <c r="K33" s="77">
        <v>230.07</v>
      </c>
      <c r="L33" s="77">
        <v>154333.9</v>
      </c>
      <c r="M33" s="77">
        <v>108132.9</v>
      </c>
      <c r="N33" s="77">
        <v>46201.0</v>
      </c>
      <c r="O33" s="78">
        <v>0.29935743216493593</v>
      </c>
    </row>
    <row r="34" ht="15.75" customHeight="1">
      <c r="B34" s="75" t="s">
        <v>62</v>
      </c>
      <c r="C34" s="75" t="s">
        <v>20</v>
      </c>
      <c r="D34" s="75" t="s">
        <v>15</v>
      </c>
      <c r="E34" s="75" t="s">
        <v>16</v>
      </c>
      <c r="F34" s="75" t="s">
        <v>17</v>
      </c>
      <c r="G34" s="75" t="s">
        <v>31</v>
      </c>
      <c r="H34" s="76">
        <v>44956.0</v>
      </c>
      <c r="I34" s="75">
        <v>90.0</v>
      </c>
      <c r="J34" s="77">
        <v>169.5</v>
      </c>
      <c r="K34" s="77">
        <v>373.23</v>
      </c>
      <c r="L34" s="77">
        <v>15255.0</v>
      </c>
      <c r="M34" s="77">
        <v>33590.700000000004</v>
      </c>
      <c r="N34" s="77">
        <v>-18335.700000000004</v>
      </c>
      <c r="O34" s="78">
        <v>-1.2019469026548675</v>
      </c>
    </row>
    <row r="35" ht="15.75" customHeight="1">
      <c r="B35" s="75" t="s">
        <v>63</v>
      </c>
      <c r="C35" s="75" t="s">
        <v>39</v>
      </c>
      <c r="D35" s="75" t="s">
        <v>21</v>
      </c>
      <c r="E35" s="75" t="s">
        <v>16</v>
      </c>
      <c r="F35" s="75" t="s">
        <v>17</v>
      </c>
      <c r="G35" s="75" t="s">
        <v>23</v>
      </c>
      <c r="H35" s="76">
        <v>44957.0</v>
      </c>
      <c r="I35" s="75">
        <v>123.0</v>
      </c>
      <c r="J35" s="77">
        <v>273.53</v>
      </c>
      <c r="K35" s="77">
        <v>230.92</v>
      </c>
      <c r="L35" s="77">
        <v>33644.189999999995</v>
      </c>
      <c r="M35" s="77">
        <v>28403.16</v>
      </c>
      <c r="N35" s="77">
        <v>5241.029999999995</v>
      </c>
      <c r="O35" s="78">
        <v>0.15577815961686092</v>
      </c>
    </row>
    <row r="36" ht="15.75" customHeight="1">
      <c r="B36" s="75" t="s">
        <v>64</v>
      </c>
      <c r="C36" s="75" t="s">
        <v>25</v>
      </c>
      <c r="D36" s="75" t="s">
        <v>15</v>
      </c>
      <c r="E36" s="75" t="s">
        <v>16</v>
      </c>
      <c r="F36" s="75" t="s">
        <v>17</v>
      </c>
      <c r="G36" s="75" t="s">
        <v>18</v>
      </c>
      <c r="H36" s="76">
        <v>44958.0</v>
      </c>
      <c r="I36" s="75">
        <v>49.0</v>
      </c>
      <c r="J36" s="77">
        <v>249.17</v>
      </c>
      <c r="K36" s="77">
        <v>192.78</v>
      </c>
      <c r="L36" s="77">
        <v>12209.33</v>
      </c>
      <c r="M36" s="77">
        <v>9446.22</v>
      </c>
      <c r="N36" s="77">
        <v>2763.1100000000006</v>
      </c>
      <c r="O36" s="78">
        <v>0.226311353694265</v>
      </c>
    </row>
    <row r="37" ht="15.75" customHeight="1">
      <c r="B37" s="75" t="s">
        <v>65</v>
      </c>
      <c r="C37" s="75" t="s">
        <v>20</v>
      </c>
      <c r="D37" s="75" t="s">
        <v>34</v>
      </c>
      <c r="E37" s="75" t="s">
        <v>16</v>
      </c>
      <c r="F37" s="75" t="s">
        <v>17</v>
      </c>
      <c r="G37" s="75" t="s">
        <v>31</v>
      </c>
      <c r="H37" s="76">
        <v>44959.0</v>
      </c>
      <c r="I37" s="75">
        <v>310.0</v>
      </c>
      <c r="J37" s="77">
        <v>45.36</v>
      </c>
      <c r="K37" s="77">
        <v>126.86</v>
      </c>
      <c r="L37" s="77">
        <v>14061.6</v>
      </c>
      <c r="M37" s="77">
        <v>39326.6</v>
      </c>
      <c r="N37" s="77">
        <v>-25265.0</v>
      </c>
      <c r="O37" s="78">
        <v>-1.79673721340388</v>
      </c>
    </row>
    <row r="38" ht="15.75" customHeight="1">
      <c r="B38" s="75" t="s">
        <v>66</v>
      </c>
      <c r="C38" s="75" t="s">
        <v>52</v>
      </c>
      <c r="D38" s="75" t="s">
        <v>21</v>
      </c>
      <c r="E38" s="75" t="s">
        <v>26</v>
      </c>
      <c r="F38" s="75" t="s">
        <v>17</v>
      </c>
      <c r="G38" s="75" t="s">
        <v>23</v>
      </c>
      <c r="H38" s="76">
        <v>44960.0</v>
      </c>
      <c r="I38" s="75">
        <v>233.0</v>
      </c>
      <c r="J38" s="77">
        <v>204.61</v>
      </c>
      <c r="K38" s="77">
        <v>243.34</v>
      </c>
      <c r="L38" s="77">
        <v>47674.130000000005</v>
      </c>
      <c r="M38" s="77">
        <v>56698.22</v>
      </c>
      <c r="N38" s="77">
        <v>-9024.089999999997</v>
      </c>
      <c r="O38" s="78">
        <v>-0.18928693612237907</v>
      </c>
    </row>
    <row r="39" ht="15.75" customHeight="1">
      <c r="B39" s="75" t="s">
        <v>67</v>
      </c>
      <c r="C39" s="75" t="s">
        <v>52</v>
      </c>
      <c r="D39" s="75" t="s">
        <v>15</v>
      </c>
      <c r="E39" s="75" t="s">
        <v>22</v>
      </c>
      <c r="F39" s="75" t="s">
        <v>17</v>
      </c>
      <c r="G39" s="75" t="s">
        <v>18</v>
      </c>
      <c r="H39" s="76">
        <v>44961.0</v>
      </c>
      <c r="I39" s="75">
        <v>327.0</v>
      </c>
      <c r="J39" s="77">
        <v>114.18</v>
      </c>
      <c r="K39" s="77">
        <v>57.4</v>
      </c>
      <c r="L39" s="77">
        <v>37336.86</v>
      </c>
      <c r="M39" s="77">
        <v>18769.8</v>
      </c>
      <c r="N39" s="77">
        <v>18567.06</v>
      </c>
      <c r="O39" s="78">
        <v>0.4972849886144684</v>
      </c>
    </row>
    <row r="40" ht="15.75" customHeight="1">
      <c r="B40" s="75" t="s">
        <v>68</v>
      </c>
      <c r="C40" s="75" t="s">
        <v>25</v>
      </c>
      <c r="D40" s="75" t="s">
        <v>15</v>
      </c>
      <c r="E40" s="75" t="s">
        <v>16</v>
      </c>
      <c r="F40" s="75" t="s">
        <v>17</v>
      </c>
      <c r="G40" s="75" t="s">
        <v>31</v>
      </c>
      <c r="H40" s="76">
        <v>44962.0</v>
      </c>
      <c r="I40" s="75">
        <v>358.0</v>
      </c>
      <c r="J40" s="77">
        <v>212.11</v>
      </c>
      <c r="K40" s="77">
        <v>359.51</v>
      </c>
      <c r="L40" s="77">
        <v>75935.38</v>
      </c>
      <c r="M40" s="77">
        <v>128704.58</v>
      </c>
      <c r="N40" s="77">
        <v>-52769.2</v>
      </c>
      <c r="O40" s="78">
        <v>-0.6949224459007118</v>
      </c>
    </row>
    <row r="41" ht="15.75" customHeight="1">
      <c r="B41" s="75" t="s">
        <v>69</v>
      </c>
      <c r="C41" s="75" t="s">
        <v>20</v>
      </c>
      <c r="D41" s="75" t="s">
        <v>34</v>
      </c>
      <c r="E41" s="75" t="s">
        <v>22</v>
      </c>
      <c r="F41" s="75" t="s">
        <v>17</v>
      </c>
      <c r="G41" s="75" t="s">
        <v>18</v>
      </c>
      <c r="H41" s="76">
        <v>44963.0</v>
      </c>
      <c r="I41" s="75">
        <v>124.0</v>
      </c>
      <c r="J41" s="77">
        <v>249.64520588235297</v>
      </c>
      <c r="K41" s="77">
        <v>332.07</v>
      </c>
      <c r="L41" s="77">
        <v>30956.005529411766</v>
      </c>
      <c r="M41" s="77">
        <v>41176.68</v>
      </c>
      <c r="N41" s="77">
        <v>-10220.674470588234</v>
      </c>
      <c r="O41" s="78">
        <v>-0.3301677427624639</v>
      </c>
    </row>
    <row r="42" ht="15.75" customHeight="1">
      <c r="B42" s="75" t="s">
        <v>70</v>
      </c>
      <c r="C42" s="75" t="s">
        <v>25</v>
      </c>
      <c r="D42" s="75" t="s">
        <v>21</v>
      </c>
      <c r="E42" s="75" t="s">
        <v>26</v>
      </c>
      <c r="F42" s="75" t="s">
        <v>17</v>
      </c>
      <c r="G42" s="75" t="s">
        <v>31</v>
      </c>
      <c r="H42" s="76">
        <v>44964.0</v>
      </c>
      <c r="I42" s="75">
        <v>195.0</v>
      </c>
      <c r="J42" s="77">
        <v>421.02</v>
      </c>
      <c r="K42" s="77">
        <v>128.38</v>
      </c>
      <c r="L42" s="77">
        <v>82098.9</v>
      </c>
      <c r="M42" s="77">
        <v>25034.1</v>
      </c>
      <c r="N42" s="77">
        <v>57064.799999999996</v>
      </c>
      <c r="O42" s="78">
        <v>0.6950738682247875</v>
      </c>
    </row>
    <row r="43" ht="15.75" customHeight="1">
      <c r="B43" s="75" t="s">
        <v>71</v>
      </c>
      <c r="C43" s="75" t="s">
        <v>25</v>
      </c>
      <c r="D43" s="75" t="s">
        <v>34</v>
      </c>
      <c r="E43" s="75" t="s">
        <v>26</v>
      </c>
      <c r="F43" s="75" t="s">
        <v>17</v>
      </c>
      <c r="G43" s="75" t="s">
        <v>18</v>
      </c>
      <c r="H43" s="76">
        <v>44965.0</v>
      </c>
      <c r="I43" s="79">
        <v>255.9029411764706</v>
      </c>
      <c r="J43" s="77">
        <v>91.23</v>
      </c>
      <c r="K43" s="77">
        <v>381.21</v>
      </c>
      <c r="L43" s="77">
        <v>23346.02532352941</v>
      </c>
      <c r="M43" s="77">
        <v>97552.76020588235</v>
      </c>
      <c r="N43" s="77">
        <v>-74206.73488235295</v>
      </c>
      <c r="O43" s="78">
        <v>-3.1785596843143704</v>
      </c>
    </row>
    <row r="44" ht="15.75" customHeight="1">
      <c r="B44" s="75" t="s">
        <v>72</v>
      </c>
      <c r="C44" s="75" t="s">
        <v>14</v>
      </c>
      <c r="D44" s="75" t="s">
        <v>21</v>
      </c>
      <c r="E44" s="75" t="s">
        <v>22</v>
      </c>
      <c r="F44" s="75" t="s">
        <v>27</v>
      </c>
      <c r="G44" s="75" t="s">
        <v>18</v>
      </c>
      <c r="H44" s="76">
        <v>44966.0</v>
      </c>
      <c r="I44" s="75">
        <v>65.0</v>
      </c>
      <c r="J44" s="77">
        <v>480.59</v>
      </c>
      <c r="K44" s="77">
        <v>330.43</v>
      </c>
      <c r="L44" s="77">
        <v>31238.35</v>
      </c>
      <c r="M44" s="77">
        <v>21477.95</v>
      </c>
      <c r="N44" s="77">
        <v>9760.399999999998</v>
      </c>
      <c r="O44" s="78">
        <v>0.31244928109199105</v>
      </c>
    </row>
    <row r="45" ht="15.75" customHeight="1">
      <c r="B45" s="75" t="s">
        <v>73</v>
      </c>
      <c r="C45" s="75" t="s">
        <v>14</v>
      </c>
      <c r="D45" s="75" t="s">
        <v>54</v>
      </c>
      <c r="E45" s="75" t="s">
        <v>46</v>
      </c>
      <c r="F45" s="75" t="s">
        <v>27</v>
      </c>
      <c r="G45" s="75" t="s">
        <v>23</v>
      </c>
      <c r="H45" s="76">
        <v>44967.0</v>
      </c>
      <c r="I45" s="75">
        <v>49.0</v>
      </c>
      <c r="J45" s="77">
        <v>210.87</v>
      </c>
      <c r="K45" s="77">
        <v>267.19</v>
      </c>
      <c r="L45" s="77">
        <v>10332.630000000001</v>
      </c>
      <c r="M45" s="77">
        <v>13092.31</v>
      </c>
      <c r="N45" s="77">
        <v>-2759.6799999999985</v>
      </c>
      <c r="O45" s="78">
        <v>-0.26708398539384437</v>
      </c>
    </row>
    <row r="46" ht="15.75" customHeight="1">
      <c r="B46" s="75" t="s">
        <v>74</v>
      </c>
      <c r="C46" s="75" t="s">
        <v>14</v>
      </c>
      <c r="D46" s="75" t="s">
        <v>29</v>
      </c>
      <c r="E46" s="75" t="s">
        <v>30</v>
      </c>
      <c r="F46" s="75" t="s">
        <v>17</v>
      </c>
      <c r="G46" s="75" t="s">
        <v>18</v>
      </c>
      <c r="H46" s="76">
        <v>44968.0</v>
      </c>
      <c r="I46" s="75">
        <v>363.0</v>
      </c>
      <c r="J46" s="77">
        <v>423.89</v>
      </c>
      <c r="K46" s="77">
        <v>50.46</v>
      </c>
      <c r="L46" s="77">
        <v>153872.07</v>
      </c>
      <c r="M46" s="77">
        <v>18316.98</v>
      </c>
      <c r="N46" s="77">
        <v>135555.09</v>
      </c>
      <c r="O46" s="78">
        <v>0.8809596829366109</v>
      </c>
    </row>
    <row r="47" ht="15.75" customHeight="1">
      <c r="B47" s="75" t="s">
        <v>75</v>
      </c>
      <c r="C47" s="75" t="s">
        <v>52</v>
      </c>
      <c r="D47" s="75" t="s">
        <v>29</v>
      </c>
      <c r="E47" s="75" t="s">
        <v>46</v>
      </c>
      <c r="F47" s="75" t="s">
        <v>27</v>
      </c>
      <c r="G47" s="75" t="s">
        <v>31</v>
      </c>
      <c r="H47" s="76">
        <v>44969.0</v>
      </c>
      <c r="I47" s="75">
        <v>49.0</v>
      </c>
      <c r="J47" s="77">
        <v>316.24</v>
      </c>
      <c r="K47" s="77">
        <v>192.34</v>
      </c>
      <c r="L47" s="77">
        <v>15495.76</v>
      </c>
      <c r="M47" s="77">
        <v>9424.66</v>
      </c>
      <c r="N47" s="77">
        <v>6071.1</v>
      </c>
      <c r="O47" s="78">
        <v>0.3917910447761194</v>
      </c>
    </row>
    <row r="48" ht="15.75" customHeight="1">
      <c r="B48" s="75" t="s">
        <v>76</v>
      </c>
      <c r="C48" s="75" t="s">
        <v>20</v>
      </c>
      <c r="D48" s="75" t="s">
        <v>29</v>
      </c>
      <c r="E48" s="75" t="s">
        <v>46</v>
      </c>
      <c r="F48" s="75" t="s">
        <v>27</v>
      </c>
      <c r="G48" s="75" t="s">
        <v>31</v>
      </c>
      <c r="H48" s="76">
        <v>44970.0</v>
      </c>
      <c r="I48" s="75">
        <v>356.0</v>
      </c>
      <c r="J48" s="77">
        <v>369.0</v>
      </c>
      <c r="K48" s="77">
        <v>203.43</v>
      </c>
      <c r="L48" s="77">
        <v>131364.0</v>
      </c>
      <c r="M48" s="77">
        <v>72421.08</v>
      </c>
      <c r="N48" s="77">
        <v>58942.92</v>
      </c>
      <c r="O48" s="78">
        <v>0.4486991869918699</v>
      </c>
    </row>
    <row r="49" ht="15.75" customHeight="1">
      <c r="B49" s="75" t="s">
        <v>77</v>
      </c>
      <c r="C49" s="75" t="s">
        <v>20</v>
      </c>
      <c r="D49" s="75" t="s">
        <v>34</v>
      </c>
      <c r="E49" s="75" t="s">
        <v>46</v>
      </c>
      <c r="F49" s="75" t="s">
        <v>17</v>
      </c>
      <c r="G49" s="75" t="s">
        <v>23</v>
      </c>
      <c r="H49" s="76">
        <v>44971.0</v>
      </c>
      <c r="I49" s="75">
        <v>470.0</v>
      </c>
      <c r="J49" s="77">
        <v>249.64520588235297</v>
      </c>
      <c r="K49" s="77">
        <v>94.56</v>
      </c>
      <c r="L49" s="77">
        <v>117333.2467647059</v>
      </c>
      <c r="M49" s="77">
        <v>44443.200000000004</v>
      </c>
      <c r="N49" s="77">
        <v>72890.04676470588</v>
      </c>
      <c r="O49" s="78">
        <v>0.6212224478103454</v>
      </c>
    </row>
    <row r="50" ht="15.75" customHeight="1">
      <c r="B50" s="75" t="s">
        <v>78</v>
      </c>
      <c r="C50" s="75" t="s">
        <v>20</v>
      </c>
      <c r="D50" s="75" t="s">
        <v>54</v>
      </c>
      <c r="E50" s="75" t="s">
        <v>16</v>
      </c>
      <c r="F50" s="75" t="s">
        <v>17</v>
      </c>
      <c r="G50" s="75" t="s">
        <v>31</v>
      </c>
      <c r="H50" s="76">
        <v>44972.0</v>
      </c>
      <c r="I50" s="75">
        <v>246.0</v>
      </c>
      <c r="J50" s="77">
        <v>254.9</v>
      </c>
      <c r="K50" s="77">
        <v>33.83</v>
      </c>
      <c r="L50" s="77">
        <v>62705.4</v>
      </c>
      <c r="M50" s="77">
        <v>8322.18</v>
      </c>
      <c r="N50" s="77">
        <v>54383.22</v>
      </c>
      <c r="O50" s="78">
        <v>0.8672812867791291</v>
      </c>
    </row>
    <row r="51" ht="15.75" customHeight="1">
      <c r="B51" s="75" t="s">
        <v>79</v>
      </c>
      <c r="C51" s="75" t="s">
        <v>20</v>
      </c>
      <c r="D51" s="75" t="s">
        <v>21</v>
      </c>
      <c r="E51" s="75" t="s">
        <v>26</v>
      </c>
      <c r="F51" s="75" t="s">
        <v>17</v>
      </c>
      <c r="G51" s="75" t="s">
        <v>31</v>
      </c>
      <c r="H51" s="76">
        <v>44973.0</v>
      </c>
      <c r="I51" s="75">
        <v>298.0</v>
      </c>
      <c r="J51" s="77">
        <v>273.93</v>
      </c>
      <c r="K51" s="77">
        <v>311.14</v>
      </c>
      <c r="L51" s="77">
        <v>81631.14</v>
      </c>
      <c r="M51" s="77">
        <v>92719.72</v>
      </c>
      <c r="N51" s="77">
        <v>-11088.580000000002</v>
      </c>
      <c r="O51" s="78">
        <v>-0.1358376227503377</v>
      </c>
    </row>
    <row r="52" ht="15.75" customHeight="1">
      <c r="B52" s="75" t="s">
        <v>80</v>
      </c>
      <c r="C52" s="75" t="s">
        <v>14</v>
      </c>
      <c r="D52" s="75" t="s">
        <v>15</v>
      </c>
      <c r="E52" s="75" t="s">
        <v>46</v>
      </c>
      <c r="F52" s="75" t="s">
        <v>27</v>
      </c>
      <c r="G52" s="75" t="s">
        <v>31</v>
      </c>
      <c r="H52" s="76">
        <v>44974.0</v>
      </c>
      <c r="I52" s="75">
        <v>271.0</v>
      </c>
      <c r="J52" s="77">
        <v>259.43</v>
      </c>
      <c r="K52" s="77">
        <v>50.57</v>
      </c>
      <c r="L52" s="77">
        <v>70305.53</v>
      </c>
      <c r="M52" s="77">
        <v>13704.47</v>
      </c>
      <c r="N52" s="77">
        <v>56601.06</v>
      </c>
      <c r="O52" s="78">
        <v>0.8050726592915237</v>
      </c>
    </row>
    <row r="53" ht="15.75" customHeight="1">
      <c r="B53" s="75" t="s">
        <v>81</v>
      </c>
      <c r="C53" s="75" t="s">
        <v>52</v>
      </c>
      <c r="D53" s="75" t="s">
        <v>21</v>
      </c>
      <c r="E53" s="75" t="s">
        <v>26</v>
      </c>
      <c r="F53" s="75" t="s">
        <v>27</v>
      </c>
      <c r="G53" s="75" t="s">
        <v>18</v>
      </c>
      <c r="H53" s="76">
        <v>44975.0</v>
      </c>
      <c r="I53" s="75">
        <v>225.0</v>
      </c>
      <c r="J53" s="77">
        <v>296.09</v>
      </c>
      <c r="K53" s="77">
        <v>238.53</v>
      </c>
      <c r="L53" s="77">
        <v>66620.25</v>
      </c>
      <c r="M53" s="77">
        <v>53669.25</v>
      </c>
      <c r="N53" s="77">
        <v>12951.0</v>
      </c>
      <c r="O53" s="78">
        <v>0.19440035124455401</v>
      </c>
    </row>
    <row r="54" ht="15.75" customHeight="1">
      <c r="B54" s="75" t="s">
        <v>82</v>
      </c>
      <c r="C54" s="75" t="s">
        <v>39</v>
      </c>
      <c r="D54" s="75" t="s">
        <v>15</v>
      </c>
      <c r="E54" s="75" t="s">
        <v>22</v>
      </c>
      <c r="F54" s="75" t="s">
        <v>17</v>
      </c>
      <c r="G54" s="75" t="s">
        <v>18</v>
      </c>
      <c r="H54" s="76">
        <v>44976.0</v>
      </c>
      <c r="I54" s="75">
        <v>156.0</v>
      </c>
      <c r="J54" s="77">
        <v>19.55</v>
      </c>
      <c r="K54" s="77">
        <v>374.71</v>
      </c>
      <c r="L54" s="77">
        <v>3049.8</v>
      </c>
      <c r="M54" s="77">
        <v>58454.759999999995</v>
      </c>
      <c r="N54" s="77">
        <v>-55404.95999999999</v>
      </c>
      <c r="O54" s="78">
        <v>-18.166751918158564</v>
      </c>
    </row>
    <row r="55" ht="15.75" customHeight="1">
      <c r="B55" s="75" t="s">
        <v>83</v>
      </c>
      <c r="C55" s="75" t="s">
        <v>14</v>
      </c>
      <c r="D55" s="75" t="s">
        <v>21</v>
      </c>
      <c r="E55" s="75" t="s">
        <v>30</v>
      </c>
      <c r="F55" s="75" t="s">
        <v>17</v>
      </c>
      <c r="G55" s="75" t="s">
        <v>31</v>
      </c>
      <c r="H55" s="76">
        <v>44977.0</v>
      </c>
      <c r="I55" s="75">
        <v>345.0</v>
      </c>
      <c r="J55" s="77">
        <v>200.78</v>
      </c>
      <c r="K55" s="77">
        <v>350.69</v>
      </c>
      <c r="L55" s="77">
        <v>69269.1</v>
      </c>
      <c r="M55" s="77">
        <v>120988.05</v>
      </c>
      <c r="N55" s="77">
        <v>-51718.95</v>
      </c>
      <c r="O55" s="78">
        <v>-0.7466381113656738</v>
      </c>
    </row>
    <row r="56" ht="15.75" customHeight="1">
      <c r="B56" s="75" t="s">
        <v>84</v>
      </c>
      <c r="C56" s="75" t="s">
        <v>52</v>
      </c>
      <c r="D56" s="75" t="s">
        <v>54</v>
      </c>
      <c r="E56" s="75" t="s">
        <v>22</v>
      </c>
      <c r="F56" s="75" t="s">
        <v>17</v>
      </c>
      <c r="G56" s="75" t="s">
        <v>23</v>
      </c>
      <c r="H56" s="76">
        <v>44978.0</v>
      </c>
      <c r="I56" s="75">
        <v>177.0</v>
      </c>
      <c r="J56" s="77">
        <v>305.06</v>
      </c>
      <c r="K56" s="77">
        <v>112.55</v>
      </c>
      <c r="L56" s="77">
        <v>53995.62</v>
      </c>
      <c r="M56" s="77">
        <v>19921.35</v>
      </c>
      <c r="N56" s="77">
        <v>34074.270000000004</v>
      </c>
      <c r="O56" s="78">
        <v>0.6310561856683932</v>
      </c>
    </row>
    <row r="57" ht="15.75" customHeight="1">
      <c r="B57" s="75" t="s">
        <v>85</v>
      </c>
      <c r="C57" s="75" t="s">
        <v>14</v>
      </c>
      <c r="D57" s="75" t="s">
        <v>15</v>
      </c>
      <c r="E57" s="75" t="s">
        <v>22</v>
      </c>
      <c r="F57" s="75" t="s">
        <v>27</v>
      </c>
      <c r="G57" s="75" t="s">
        <v>18</v>
      </c>
      <c r="H57" s="76">
        <v>44979.0</v>
      </c>
      <c r="I57" s="75">
        <v>101.0</v>
      </c>
      <c r="J57" s="77">
        <v>300.87</v>
      </c>
      <c r="K57" s="77">
        <v>340.88</v>
      </c>
      <c r="L57" s="77">
        <v>30387.87</v>
      </c>
      <c r="M57" s="77">
        <v>34428.88</v>
      </c>
      <c r="N57" s="77">
        <v>-4041.0099999999984</v>
      </c>
      <c r="O57" s="78">
        <v>-0.1329810217037258</v>
      </c>
    </row>
    <row r="58" ht="15.75" customHeight="1">
      <c r="B58" s="75" t="s">
        <v>86</v>
      </c>
      <c r="C58" s="75" t="s">
        <v>20</v>
      </c>
      <c r="D58" s="75" t="s">
        <v>34</v>
      </c>
      <c r="E58" s="75" t="s">
        <v>16</v>
      </c>
      <c r="F58" s="75" t="s">
        <v>27</v>
      </c>
      <c r="G58" s="75" t="s">
        <v>23</v>
      </c>
      <c r="H58" s="76">
        <v>44980.0</v>
      </c>
      <c r="I58" s="75">
        <v>362.0</v>
      </c>
      <c r="J58" s="77">
        <v>397.51</v>
      </c>
      <c r="K58" s="77">
        <v>2.13</v>
      </c>
      <c r="L58" s="77">
        <v>143898.62</v>
      </c>
      <c r="M58" s="77">
        <v>771.06</v>
      </c>
      <c r="N58" s="77">
        <v>143127.56</v>
      </c>
      <c r="O58" s="78">
        <v>0.9946416442353652</v>
      </c>
    </row>
    <row r="59" ht="15.75" customHeight="1">
      <c r="B59" s="75" t="s">
        <v>87</v>
      </c>
      <c r="C59" s="75" t="s">
        <v>14</v>
      </c>
      <c r="D59" s="75" t="s">
        <v>21</v>
      </c>
      <c r="E59" s="75" t="s">
        <v>30</v>
      </c>
      <c r="F59" s="75" t="s">
        <v>27</v>
      </c>
      <c r="G59" s="75" t="s">
        <v>31</v>
      </c>
      <c r="H59" s="76">
        <v>44981.0</v>
      </c>
      <c r="I59" s="75">
        <v>68.0</v>
      </c>
      <c r="J59" s="77">
        <v>329.23</v>
      </c>
      <c r="K59" s="77">
        <v>9.04</v>
      </c>
      <c r="L59" s="77">
        <v>22387.64</v>
      </c>
      <c r="M59" s="77">
        <v>614.7199999999999</v>
      </c>
      <c r="N59" s="77">
        <v>21772.92</v>
      </c>
      <c r="O59" s="78">
        <v>0.9725419919205418</v>
      </c>
    </row>
    <row r="60" ht="15.75" customHeight="1">
      <c r="B60" s="75" t="s">
        <v>88</v>
      </c>
      <c r="C60" s="75" t="s">
        <v>20</v>
      </c>
      <c r="D60" s="75" t="s">
        <v>21</v>
      </c>
      <c r="E60" s="75" t="s">
        <v>22</v>
      </c>
      <c r="F60" s="75" t="s">
        <v>27</v>
      </c>
      <c r="G60" s="75" t="s">
        <v>31</v>
      </c>
      <c r="H60" s="76">
        <v>44982.0</v>
      </c>
      <c r="I60" s="75">
        <v>68.0</v>
      </c>
      <c r="J60" s="77">
        <v>496.11</v>
      </c>
      <c r="K60" s="77">
        <v>241.82</v>
      </c>
      <c r="L60" s="77">
        <v>33735.48</v>
      </c>
      <c r="M60" s="77">
        <v>16443.76</v>
      </c>
      <c r="N60" s="77">
        <v>17291.720000000005</v>
      </c>
      <c r="O60" s="78">
        <v>0.5125677773074521</v>
      </c>
    </row>
    <row r="61" ht="15.75" customHeight="1">
      <c r="B61" s="75" t="s">
        <v>89</v>
      </c>
      <c r="C61" s="75" t="s">
        <v>20</v>
      </c>
      <c r="D61" s="75" t="s">
        <v>15</v>
      </c>
      <c r="E61" s="75" t="s">
        <v>22</v>
      </c>
      <c r="F61" s="75" t="s">
        <v>17</v>
      </c>
      <c r="G61" s="75" t="s">
        <v>18</v>
      </c>
      <c r="H61" s="76">
        <v>44983.0</v>
      </c>
      <c r="I61" s="75">
        <v>313.0</v>
      </c>
      <c r="J61" s="77">
        <v>145.51</v>
      </c>
      <c r="K61" s="77">
        <v>147.19</v>
      </c>
      <c r="L61" s="77">
        <v>45544.63</v>
      </c>
      <c r="M61" s="77">
        <v>46070.47</v>
      </c>
      <c r="N61" s="77">
        <v>-525.8400000000038</v>
      </c>
      <c r="O61" s="78">
        <v>-0.011545598240670828</v>
      </c>
    </row>
    <row r="62" ht="15.75" customHeight="1">
      <c r="B62" s="75" t="s">
        <v>90</v>
      </c>
      <c r="C62" s="75" t="s">
        <v>25</v>
      </c>
      <c r="D62" s="75" t="s">
        <v>34</v>
      </c>
      <c r="E62" s="75" t="s">
        <v>30</v>
      </c>
      <c r="F62" s="75" t="s">
        <v>17</v>
      </c>
      <c r="G62" s="75" t="s">
        <v>31</v>
      </c>
      <c r="H62" s="76">
        <v>44984.0</v>
      </c>
      <c r="I62" s="75">
        <v>178.0</v>
      </c>
      <c r="J62" s="77">
        <v>182.78</v>
      </c>
      <c r="K62" s="77">
        <v>155.81</v>
      </c>
      <c r="L62" s="77">
        <v>32534.84</v>
      </c>
      <c r="M62" s="77">
        <v>27734.18</v>
      </c>
      <c r="N62" s="77">
        <v>4800.66</v>
      </c>
      <c r="O62" s="78">
        <v>0.14755443702812124</v>
      </c>
    </row>
    <row r="63" ht="15.75" customHeight="1">
      <c r="B63" s="75" t="s">
        <v>91</v>
      </c>
      <c r="C63" s="75" t="s">
        <v>14</v>
      </c>
      <c r="D63" s="75" t="s">
        <v>34</v>
      </c>
      <c r="E63" s="75" t="s">
        <v>30</v>
      </c>
      <c r="F63" s="75" t="s">
        <v>17</v>
      </c>
      <c r="G63" s="75" t="s">
        <v>18</v>
      </c>
      <c r="H63" s="76">
        <v>44985.0</v>
      </c>
      <c r="I63" s="75">
        <v>278.0</v>
      </c>
      <c r="J63" s="77">
        <v>195.0</v>
      </c>
      <c r="K63" s="77">
        <v>226.65</v>
      </c>
      <c r="L63" s="77">
        <v>54210.0</v>
      </c>
      <c r="M63" s="77">
        <v>63008.700000000004</v>
      </c>
      <c r="N63" s="77">
        <v>-8798.700000000004</v>
      </c>
      <c r="O63" s="78">
        <v>-0.16230769230769237</v>
      </c>
    </row>
    <row r="64" ht="15.75" customHeight="1">
      <c r="B64" s="75" t="s">
        <v>92</v>
      </c>
      <c r="C64" s="75" t="s">
        <v>25</v>
      </c>
      <c r="D64" s="75" t="s">
        <v>54</v>
      </c>
      <c r="E64" s="75" t="s">
        <v>22</v>
      </c>
      <c r="F64" s="75" t="s">
        <v>17</v>
      </c>
      <c r="G64" s="75" t="s">
        <v>31</v>
      </c>
      <c r="H64" s="76">
        <v>44986.0</v>
      </c>
      <c r="I64" s="75">
        <v>372.0</v>
      </c>
      <c r="J64" s="77">
        <v>235.58</v>
      </c>
      <c r="K64" s="77">
        <v>78.33</v>
      </c>
      <c r="L64" s="77">
        <v>87635.76000000001</v>
      </c>
      <c r="M64" s="77">
        <v>29138.76</v>
      </c>
      <c r="N64" s="77">
        <v>58497.000000000015</v>
      </c>
      <c r="O64" s="78">
        <v>0.6675014856948808</v>
      </c>
    </row>
    <row r="65" ht="15.75" customHeight="1">
      <c r="B65" s="75" t="s">
        <v>93</v>
      </c>
      <c r="C65" s="75" t="s">
        <v>14</v>
      </c>
      <c r="D65" s="75" t="s">
        <v>34</v>
      </c>
      <c r="E65" s="75" t="s">
        <v>30</v>
      </c>
      <c r="F65" s="75" t="s">
        <v>27</v>
      </c>
      <c r="G65" s="75" t="s">
        <v>31</v>
      </c>
      <c r="H65" s="76">
        <v>44987.0</v>
      </c>
      <c r="I65" s="75">
        <v>54.0</v>
      </c>
      <c r="J65" s="77">
        <v>418.82</v>
      </c>
      <c r="K65" s="77">
        <v>86.28</v>
      </c>
      <c r="L65" s="77">
        <v>22616.28</v>
      </c>
      <c r="M65" s="77">
        <v>4659.12</v>
      </c>
      <c r="N65" s="77">
        <v>17957.16</v>
      </c>
      <c r="O65" s="78">
        <v>0.793992646005444</v>
      </c>
    </row>
    <row r="66" ht="15.75" customHeight="1">
      <c r="B66" s="75" t="s">
        <v>94</v>
      </c>
      <c r="C66" s="75" t="s">
        <v>14</v>
      </c>
      <c r="D66" s="75" t="s">
        <v>34</v>
      </c>
      <c r="E66" s="75" t="s">
        <v>22</v>
      </c>
      <c r="F66" s="75" t="s">
        <v>27</v>
      </c>
      <c r="G66" s="75" t="s">
        <v>18</v>
      </c>
      <c r="H66" s="76">
        <v>44988.0</v>
      </c>
      <c r="I66" s="75">
        <v>354.0</v>
      </c>
      <c r="J66" s="77">
        <v>121.72</v>
      </c>
      <c r="K66" s="77">
        <v>194.87</v>
      </c>
      <c r="L66" s="77">
        <v>43088.88</v>
      </c>
      <c r="M66" s="77">
        <v>68983.98</v>
      </c>
      <c r="N66" s="77">
        <v>-25895.1</v>
      </c>
      <c r="O66" s="78">
        <v>-0.6009694380545514</v>
      </c>
    </row>
    <row r="67" ht="15.75" customHeight="1">
      <c r="B67" s="75" t="s">
        <v>95</v>
      </c>
      <c r="C67" s="75" t="s">
        <v>25</v>
      </c>
      <c r="D67" s="75" t="s">
        <v>34</v>
      </c>
      <c r="E67" s="75" t="s">
        <v>22</v>
      </c>
      <c r="F67" s="75" t="s">
        <v>17</v>
      </c>
      <c r="G67" s="75" t="s">
        <v>18</v>
      </c>
      <c r="H67" s="76">
        <v>44989.0</v>
      </c>
      <c r="I67" s="75">
        <v>190.0</v>
      </c>
      <c r="J67" s="77">
        <v>389.12</v>
      </c>
      <c r="K67" s="77">
        <v>302.19</v>
      </c>
      <c r="L67" s="77">
        <v>73932.8</v>
      </c>
      <c r="M67" s="77">
        <v>57416.1</v>
      </c>
      <c r="N67" s="77">
        <v>16516.700000000004</v>
      </c>
      <c r="O67" s="78">
        <v>0.223401521381579</v>
      </c>
    </row>
    <row r="68" ht="15.75" customHeight="1">
      <c r="B68" s="75" t="s">
        <v>96</v>
      </c>
      <c r="C68" s="75" t="s">
        <v>39</v>
      </c>
      <c r="D68" s="75" t="s">
        <v>29</v>
      </c>
      <c r="E68" s="75" t="s">
        <v>16</v>
      </c>
      <c r="F68" s="75" t="s">
        <v>17</v>
      </c>
      <c r="G68" s="75" t="s">
        <v>18</v>
      </c>
      <c r="H68" s="76">
        <v>44990.0</v>
      </c>
      <c r="I68" s="75">
        <v>179.0</v>
      </c>
      <c r="J68" s="77">
        <v>205.63</v>
      </c>
      <c r="K68" s="77">
        <v>248.56</v>
      </c>
      <c r="L68" s="77">
        <v>36807.77</v>
      </c>
      <c r="M68" s="77">
        <v>44492.24</v>
      </c>
      <c r="N68" s="77">
        <v>-7684.470000000001</v>
      </c>
      <c r="O68" s="78">
        <v>-0.20877303895346014</v>
      </c>
    </row>
    <row r="69" ht="15.75" customHeight="1">
      <c r="B69" s="75" t="s">
        <v>97</v>
      </c>
      <c r="C69" s="75" t="s">
        <v>14</v>
      </c>
      <c r="D69" s="75" t="s">
        <v>54</v>
      </c>
      <c r="E69" s="75" t="s">
        <v>46</v>
      </c>
      <c r="F69" s="75" t="s">
        <v>27</v>
      </c>
      <c r="G69" s="75" t="s">
        <v>31</v>
      </c>
      <c r="H69" s="76">
        <v>44991.0</v>
      </c>
      <c r="I69" s="75">
        <v>365.0</v>
      </c>
      <c r="J69" s="77">
        <v>302.92</v>
      </c>
      <c r="K69" s="77">
        <v>120.35</v>
      </c>
      <c r="L69" s="77">
        <v>110565.8</v>
      </c>
      <c r="M69" s="77">
        <v>43927.75</v>
      </c>
      <c r="N69" s="77">
        <v>66638.05</v>
      </c>
      <c r="O69" s="78">
        <v>0.60270038293939</v>
      </c>
    </row>
    <row r="70" ht="15.75" customHeight="1">
      <c r="B70" s="75" t="s">
        <v>98</v>
      </c>
      <c r="C70" s="75" t="s">
        <v>52</v>
      </c>
      <c r="D70" s="75" t="s">
        <v>21</v>
      </c>
      <c r="E70" s="75" t="s">
        <v>22</v>
      </c>
      <c r="F70" s="75" t="s">
        <v>17</v>
      </c>
      <c r="G70" s="75" t="s">
        <v>31</v>
      </c>
      <c r="H70" s="76">
        <v>44992.0</v>
      </c>
      <c r="I70" s="75">
        <v>200.0</v>
      </c>
      <c r="J70" s="77">
        <v>318.11</v>
      </c>
      <c r="K70" s="77">
        <v>173.27</v>
      </c>
      <c r="L70" s="77">
        <v>63622.0</v>
      </c>
      <c r="M70" s="77">
        <v>34654.0</v>
      </c>
      <c r="N70" s="77">
        <v>28968.0</v>
      </c>
      <c r="O70" s="78">
        <v>0.4553141994907422</v>
      </c>
    </row>
    <row r="71" ht="15.75" customHeight="1">
      <c r="B71" s="75" t="s">
        <v>99</v>
      </c>
      <c r="C71" s="75" t="s">
        <v>20</v>
      </c>
      <c r="D71" s="75" t="s">
        <v>15</v>
      </c>
      <c r="E71" s="75" t="s">
        <v>26</v>
      </c>
      <c r="F71" s="75" t="s">
        <v>27</v>
      </c>
      <c r="G71" s="75" t="s">
        <v>23</v>
      </c>
      <c r="H71" s="76">
        <v>44993.0</v>
      </c>
      <c r="I71" s="75">
        <v>164.0</v>
      </c>
      <c r="J71" s="77">
        <v>189.56</v>
      </c>
      <c r="K71" s="77">
        <v>69.92</v>
      </c>
      <c r="L71" s="77">
        <v>31087.84</v>
      </c>
      <c r="M71" s="77">
        <v>11466.880000000001</v>
      </c>
      <c r="N71" s="77">
        <v>19620.96</v>
      </c>
      <c r="O71" s="78">
        <v>0.6311458113526061</v>
      </c>
    </row>
    <row r="72" ht="15.75" customHeight="1">
      <c r="B72" s="75" t="s">
        <v>100</v>
      </c>
      <c r="C72" s="75" t="s">
        <v>25</v>
      </c>
      <c r="D72" s="75" t="s">
        <v>21</v>
      </c>
      <c r="E72" s="75" t="s">
        <v>46</v>
      </c>
      <c r="F72" s="75" t="s">
        <v>17</v>
      </c>
      <c r="G72" s="75" t="s">
        <v>18</v>
      </c>
      <c r="H72" s="76">
        <v>44994.0</v>
      </c>
      <c r="I72" s="75">
        <v>431.0</v>
      </c>
      <c r="J72" s="77">
        <v>258.74</v>
      </c>
      <c r="K72" s="77">
        <v>31.7</v>
      </c>
      <c r="L72" s="77">
        <v>111516.94</v>
      </c>
      <c r="M72" s="77">
        <v>13662.699999999999</v>
      </c>
      <c r="N72" s="77">
        <v>97854.24</v>
      </c>
      <c r="O72" s="78">
        <v>0.8774831877560486</v>
      </c>
    </row>
    <row r="73" ht="15.75" customHeight="1">
      <c r="B73" s="75" t="s">
        <v>101</v>
      </c>
      <c r="C73" s="75" t="s">
        <v>20</v>
      </c>
      <c r="D73" s="75" t="s">
        <v>54</v>
      </c>
      <c r="E73" s="75" t="s">
        <v>46</v>
      </c>
      <c r="F73" s="75" t="s">
        <v>17</v>
      </c>
      <c r="G73" s="75" t="s">
        <v>31</v>
      </c>
      <c r="H73" s="76">
        <v>44995.0</v>
      </c>
      <c r="I73" s="75">
        <v>197.0</v>
      </c>
      <c r="J73" s="77">
        <v>209.45</v>
      </c>
      <c r="K73" s="77">
        <v>313.51</v>
      </c>
      <c r="L73" s="77">
        <v>41261.649999999994</v>
      </c>
      <c r="M73" s="77">
        <v>61761.47</v>
      </c>
      <c r="N73" s="77">
        <v>-20499.820000000007</v>
      </c>
      <c r="O73" s="78">
        <v>-0.4968250179040346</v>
      </c>
    </row>
    <row r="74" ht="15.75" customHeight="1">
      <c r="B74" s="75" t="s">
        <v>102</v>
      </c>
      <c r="C74" s="75" t="s">
        <v>52</v>
      </c>
      <c r="D74" s="75" t="s">
        <v>15</v>
      </c>
      <c r="E74" s="75" t="s">
        <v>46</v>
      </c>
      <c r="F74" s="75" t="s">
        <v>17</v>
      </c>
      <c r="G74" s="75" t="s">
        <v>31</v>
      </c>
      <c r="H74" s="76">
        <v>44996.0</v>
      </c>
      <c r="I74" s="75">
        <v>16.0</v>
      </c>
      <c r="J74" s="77">
        <v>39.22</v>
      </c>
      <c r="K74" s="77">
        <v>107.62</v>
      </c>
      <c r="L74" s="77">
        <v>627.52</v>
      </c>
      <c r="M74" s="77">
        <v>1721.92</v>
      </c>
      <c r="N74" s="77">
        <v>-1094.4</v>
      </c>
      <c r="O74" s="78">
        <v>-1.744008159102499</v>
      </c>
    </row>
    <row r="75" ht="15.75" customHeight="1">
      <c r="B75" s="75" t="s">
        <v>103</v>
      </c>
      <c r="C75" s="75" t="s">
        <v>52</v>
      </c>
      <c r="D75" s="75" t="s">
        <v>54</v>
      </c>
      <c r="E75" s="75" t="s">
        <v>16</v>
      </c>
      <c r="F75" s="75" t="s">
        <v>17</v>
      </c>
      <c r="G75" s="75" t="s">
        <v>18</v>
      </c>
      <c r="H75" s="76">
        <v>44997.0</v>
      </c>
      <c r="I75" s="75">
        <v>142.0</v>
      </c>
      <c r="J75" s="77">
        <v>221.4</v>
      </c>
      <c r="K75" s="77">
        <v>72.75</v>
      </c>
      <c r="L75" s="77">
        <v>31438.8</v>
      </c>
      <c r="M75" s="77">
        <v>10330.5</v>
      </c>
      <c r="N75" s="77">
        <v>21108.3</v>
      </c>
      <c r="O75" s="78">
        <v>0.6714092140921409</v>
      </c>
    </row>
    <row r="76" ht="15.75" customHeight="1">
      <c r="B76" s="75" t="s">
        <v>104</v>
      </c>
      <c r="C76" s="75" t="s">
        <v>52</v>
      </c>
      <c r="D76" s="75" t="s">
        <v>34</v>
      </c>
      <c r="E76" s="75" t="s">
        <v>22</v>
      </c>
      <c r="F76" s="75" t="s">
        <v>17</v>
      </c>
      <c r="G76" s="75" t="s">
        <v>23</v>
      </c>
      <c r="H76" s="76">
        <v>44998.0</v>
      </c>
      <c r="I76" s="75">
        <v>244.0</v>
      </c>
      <c r="J76" s="77">
        <v>53.21</v>
      </c>
      <c r="K76" s="77">
        <v>277.26</v>
      </c>
      <c r="L76" s="77">
        <v>12983.24</v>
      </c>
      <c r="M76" s="77">
        <v>67651.44</v>
      </c>
      <c r="N76" s="77">
        <v>-54668.200000000004</v>
      </c>
      <c r="O76" s="78">
        <v>-4.210674685209548</v>
      </c>
    </row>
    <row r="77" ht="15.75" customHeight="1">
      <c r="B77" s="75" t="s">
        <v>105</v>
      </c>
      <c r="C77" s="75" t="s">
        <v>25</v>
      </c>
      <c r="D77" s="75" t="s">
        <v>15</v>
      </c>
      <c r="E77" s="75" t="s">
        <v>16</v>
      </c>
      <c r="F77" s="75" t="s">
        <v>17</v>
      </c>
      <c r="G77" s="75" t="s">
        <v>18</v>
      </c>
      <c r="H77" s="76">
        <v>44999.0</v>
      </c>
      <c r="I77" s="75">
        <v>54.0</v>
      </c>
      <c r="J77" s="77">
        <v>205.49</v>
      </c>
      <c r="K77" s="77">
        <v>247.98</v>
      </c>
      <c r="L77" s="77">
        <v>11096.460000000001</v>
      </c>
      <c r="M77" s="77">
        <v>13390.92</v>
      </c>
      <c r="N77" s="77">
        <v>-2294.459999999999</v>
      </c>
      <c r="O77" s="78">
        <v>-0.20677405226531695</v>
      </c>
    </row>
    <row r="78" ht="15.75" customHeight="1">
      <c r="B78" s="75" t="s">
        <v>106</v>
      </c>
      <c r="C78" s="75" t="s">
        <v>52</v>
      </c>
      <c r="D78" s="75" t="s">
        <v>34</v>
      </c>
      <c r="E78" s="75" t="s">
        <v>22</v>
      </c>
      <c r="F78" s="75" t="s">
        <v>17</v>
      </c>
      <c r="G78" s="75" t="s">
        <v>23</v>
      </c>
      <c r="H78" s="76">
        <v>45000.0</v>
      </c>
      <c r="I78" s="75">
        <v>323.0</v>
      </c>
      <c r="J78" s="77">
        <v>298.49</v>
      </c>
      <c r="K78" s="77">
        <v>254.01</v>
      </c>
      <c r="L78" s="77">
        <v>96412.27</v>
      </c>
      <c r="M78" s="77">
        <v>82045.23</v>
      </c>
      <c r="N78" s="77">
        <v>14367.040000000008</v>
      </c>
      <c r="O78" s="78">
        <v>0.14901671747797254</v>
      </c>
    </row>
    <row r="79" ht="15.75" customHeight="1">
      <c r="B79" s="75" t="s">
        <v>107</v>
      </c>
      <c r="C79" s="75" t="s">
        <v>25</v>
      </c>
      <c r="D79" s="75" t="s">
        <v>21</v>
      </c>
      <c r="E79" s="75" t="s">
        <v>16</v>
      </c>
      <c r="F79" s="75" t="s">
        <v>27</v>
      </c>
      <c r="G79" s="75" t="s">
        <v>31</v>
      </c>
      <c r="H79" s="76">
        <v>45001.0</v>
      </c>
      <c r="I79" s="75">
        <v>258.0</v>
      </c>
      <c r="J79" s="77">
        <v>291.81</v>
      </c>
      <c r="K79" s="77">
        <v>93.1</v>
      </c>
      <c r="L79" s="77">
        <v>75286.98</v>
      </c>
      <c r="M79" s="77">
        <v>24019.8</v>
      </c>
      <c r="N79" s="77">
        <v>51267.17999999999</v>
      </c>
      <c r="O79" s="78">
        <v>0.6809567869504128</v>
      </c>
    </row>
    <row r="80" ht="15.75" customHeight="1">
      <c r="B80" s="75" t="s">
        <v>108</v>
      </c>
      <c r="C80" s="75" t="s">
        <v>52</v>
      </c>
      <c r="D80" s="75" t="s">
        <v>21</v>
      </c>
      <c r="E80" s="75" t="s">
        <v>16</v>
      </c>
      <c r="F80" s="75" t="s">
        <v>27</v>
      </c>
      <c r="G80" s="75" t="s">
        <v>23</v>
      </c>
      <c r="H80" s="76">
        <v>45002.0</v>
      </c>
      <c r="I80" s="75">
        <v>40.0</v>
      </c>
      <c r="J80" s="77">
        <v>333.0</v>
      </c>
      <c r="K80" s="77">
        <v>94.59</v>
      </c>
      <c r="L80" s="77">
        <v>13320.0</v>
      </c>
      <c r="M80" s="77">
        <v>3783.6000000000004</v>
      </c>
      <c r="N80" s="77">
        <v>9536.4</v>
      </c>
      <c r="O80" s="78">
        <v>0.715945945945946</v>
      </c>
    </row>
    <row r="81" ht="15.75" customHeight="1">
      <c r="B81" s="75" t="s">
        <v>109</v>
      </c>
      <c r="C81" s="75" t="s">
        <v>20</v>
      </c>
      <c r="D81" s="75" t="s">
        <v>15</v>
      </c>
      <c r="E81" s="75" t="s">
        <v>26</v>
      </c>
      <c r="F81" s="75" t="s">
        <v>27</v>
      </c>
      <c r="G81" s="75" t="s">
        <v>31</v>
      </c>
      <c r="H81" s="76">
        <v>45003.0</v>
      </c>
      <c r="I81" s="75">
        <v>32.0</v>
      </c>
      <c r="J81" s="77">
        <v>52.15</v>
      </c>
      <c r="K81" s="77">
        <v>89.88</v>
      </c>
      <c r="L81" s="77">
        <v>1668.8</v>
      </c>
      <c r="M81" s="77">
        <v>2876.16</v>
      </c>
      <c r="N81" s="77">
        <v>-1207.36</v>
      </c>
      <c r="O81" s="78">
        <v>-0.723489932885906</v>
      </c>
    </row>
    <row r="82" ht="15.75" customHeight="1">
      <c r="B82" s="75" t="s">
        <v>110</v>
      </c>
      <c r="C82" s="75" t="s">
        <v>20</v>
      </c>
      <c r="D82" s="75" t="s">
        <v>15</v>
      </c>
      <c r="E82" s="75" t="s">
        <v>16</v>
      </c>
      <c r="F82" s="75" t="s">
        <v>27</v>
      </c>
      <c r="G82" s="75" t="s">
        <v>18</v>
      </c>
      <c r="H82" s="76">
        <v>45004.0</v>
      </c>
      <c r="I82" s="75">
        <v>435.0</v>
      </c>
      <c r="J82" s="77">
        <v>327.8</v>
      </c>
      <c r="K82" s="77">
        <v>71.15</v>
      </c>
      <c r="L82" s="77">
        <v>142593.0</v>
      </c>
      <c r="M82" s="77">
        <v>30950.250000000004</v>
      </c>
      <c r="N82" s="77">
        <v>111642.75</v>
      </c>
      <c r="O82" s="78">
        <v>0.7829469188529591</v>
      </c>
    </row>
    <row r="83" ht="15.75" customHeight="1">
      <c r="B83" s="75" t="s">
        <v>111</v>
      </c>
      <c r="C83" s="75" t="s">
        <v>14</v>
      </c>
      <c r="D83" s="75" t="s">
        <v>54</v>
      </c>
      <c r="E83" s="75" t="s">
        <v>30</v>
      </c>
      <c r="F83" s="75" t="s">
        <v>27</v>
      </c>
      <c r="G83" s="75" t="s">
        <v>18</v>
      </c>
      <c r="H83" s="76">
        <v>45005.0</v>
      </c>
      <c r="I83" s="75">
        <v>403.0</v>
      </c>
      <c r="J83" s="77">
        <v>159.51</v>
      </c>
      <c r="K83" s="77">
        <v>262.98</v>
      </c>
      <c r="L83" s="77">
        <v>64282.53</v>
      </c>
      <c r="M83" s="77">
        <v>105980.94</v>
      </c>
      <c r="N83" s="77">
        <v>-41698.41</v>
      </c>
      <c r="O83" s="78">
        <v>-0.6486740643219862</v>
      </c>
    </row>
    <row r="84" ht="15.75" customHeight="1">
      <c r="B84" s="75" t="s">
        <v>112</v>
      </c>
      <c r="C84" s="75" t="s">
        <v>20</v>
      </c>
      <c r="D84" s="75" t="s">
        <v>54</v>
      </c>
      <c r="E84" s="75" t="s">
        <v>26</v>
      </c>
      <c r="F84" s="75" t="s">
        <v>17</v>
      </c>
      <c r="G84" s="75" t="s">
        <v>18</v>
      </c>
      <c r="H84" s="76">
        <v>45006.0</v>
      </c>
      <c r="I84" s="75">
        <v>169.0</v>
      </c>
      <c r="J84" s="77">
        <v>249.64520588235297</v>
      </c>
      <c r="K84" s="77">
        <v>339.51</v>
      </c>
      <c r="L84" s="77">
        <v>42190.03979411765</v>
      </c>
      <c r="M84" s="77">
        <v>57377.189999999995</v>
      </c>
      <c r="N84" s="77">
        <v>-15187.150205882346</v>
      </c>
      <c r="O84" s="78">
        <v>-0.35997003747789347</v>
      </c>
    </row>
    <row r="85" ht="15.75" customHeight="1">
      <c r="B85" s="75" t="s">
        <v>113</v>
      </c>
      <c r="C85" s="75" t="s">
        <v>14</v>
      </c>
      <c r="D85" s="75" t="s">
        <v>34</v>
      </c>
      <c r="E85" s="75" t="s">
        <v>16</v>
      </c>
      <c r="F85" s="75" t="s">
        <v>17</v>
      </c>
      <c r="G85" s="75" t="s">
        <v>23</v>
      </c>
      <c r="H85" s="76">
        <v>45007.0</v>
      </c>
      <c r="I85" s="75">
        <v>372.0</v>
      </c>
      <c r="J85" s="77">
        <v>429.7</v>
      </c>
      <c r="K85" s="77">
        <v>290.28</v>
      </c>
      <c r="L85" s="77">
        <v>159848.4</v>
      </c>
      <c r="M85" s="77">
        <v>107984.15999999999</v>
      </c>
      <c r="N85" s="77">
        <v>51864.240000000005</v>
      </c>
      <c r="O85" s="78">
        <v>0.3244589248312777</v>
      </c>
    </row>
    <row r="86" ht="15.75" customHeight="1">
      <c r="B86" s="75" t="s">
        <v>114</v>
      </c>
      <c r="C86" s="75" t="s">
        <v>20</v>
      </c>
      <c r="D86" s="75" t="s">
        <v>15</v>
      </c>
      <c r="E86" s="75" t="s">
        <v>46</v>
      </c>
      <c r="F86" s="75" t="s">
        <v>27</v>
      </c>
      <c r="G86" s="75" t="s">
        <v>31</v>
      </c>
      <c r="H86" s="76">
        <v>45008.0</v>
      </c>
      <c r="I86" s="75">
        <v>446.0</v>
      </c>
      <c r="J86" s="77">
        <v>9.47</v>
      </c>
      <c r="K86" s="77">
        <v>317.25</v>
      </c>
      <c r="L86" s="77">
        <v>4223.62</v>
      </c>
      <c r="M86" s="77">
        <v>141493.5</v>
      </c>
      <c r="N86" s="77">
        <v>-137269.88</v>
      </c>
      <c r="O86" s="78">
        <v>-32.50052798310454</v>
      </c>
    </row>
    <row r="87" ht="15.75" customHeight="1">
      <c r="B87" s="75" t="s">
        <v>115</v>
      </c>
      <c r="C87" s="75" t="s">
        <v>25</v>
      </c>
      <c r="D87" s="75" t="s">
        <v>21</v>
      </c>
      <c r="E87" s="75" t="s">
        <v>30</v>
      </c>
      <c r="F87" s="75" t="s">
        <v>17</v>
      </c>
      <c r="G87" s="75" t="s">
        <v>18</v>
      </c>
      <c r="H87" s="76">
        <v>45009.0</v>
      </c>
      <c r="I87" s="75">
        <v>167.0</v>
      </c>
      <c r="J87" s="77">
        <v>296.26</v>
      </c>
      <c r="K87" s="77">
        <v>163.11</v>
      </c>
      <c r="L87" s="77">
        <v>49475.42</v>
      </c>
      <c r="M87" s="77">
        <v>27239.370000000003</v>
      </c>
      <c r="N87" s="77">
        <v>22236.049999999996</v>
      </c>
      <c r="O87" s="78">
        <v>0.4494363059474785</v>
      </c>
    </row>
    <row r="88" ht="15.75" customHeight="1">
      <c r="B88" s="75" t="s">
        <v>116</v>
      </c>
      <c r="C88" s="75" t="s">
        <v>20</v>
      </c>
      <c r="D88" s="75" t="s">
        <v>54</v>
      </c>
      <c r="E88" s="75" t="s">
        <v>30</v>
      </c>
      <c r="F88" s="75" t="s">
        <v>27</v>
      </c>
      <c r="G88" s="75" t="s">
        <v>18</v>
      </c>
      <c r="H88" s="76">
        <v>45010.0</v>
      </c>
      <c r="I88" s="75">
        <v>48.0</v>
      </c>
      <c r="J88" s="77">
        <v>301.36</v>
      </c>
      <c r="K88" s="77">
        <v>262.32</v>
      </c>
      <c r="L88" s="77">
        <v>14465.28</v>
      </c>
      <c r="M88" s="77">
        <v>12591.36</v>
      </c>
      <c r="N88" s="77">
        <v>1873.92</v>
      </c>
      <c r="O88" s="78">
        <v>0.12954605787098486</v>
      </c>
    </row>
    <row r="89" ht="15.75" customHeight="1">
      <c r="B89" s="75" t="s">
        <v>117</v>
      </c>
      <c r="C89" s="75" t="s">
        <v>14</v>
      </c>
      <c r="D89" s="75" t="s">
        <v>54</v>
      </c>
      <c r="E89" s="75" t="s">
        <v>30</v>
      </c>
      <c r="F89" s="75" t="s">
        <v>27</v>
      </c>
      <c r="G89" s="75" t="s">
        <v>31</v>
      </c>
      <c r="H89" s="76">
        <v>45011.0</v>
      </c>
      <c r="I89" s="75">
        <v>424.0</v>
      </c>
      <c r="J89" s="77">
        <v>201.35</v>
      </c>
      <c r="K89" s="77">
        <v>142.99</v>
      </c>
      <c r="L89" s="77">
        <v>85372.4</v>
      </c>
      <c r="M89" s="77">
        <v>60627.76</v>
      </c>
      <c r="N89" s="77">
        <v>24744.639999999992</v>
      </c>
      <c r="O89" s="78">
        <v>0.28984355599702005</v>
      </c>
    </row>
    <row r="90" ht="15.75" customHeight="1">
      <c r="B90" s="75" t="s">
        <v>118</v>
      </c>
      <c r="C90" s="75" t="s">
        <v>14</v>
      </c>
      <c r="D90" s="75" t="s">
        <v>21</v>
      </c>
      <c r="E90" s="75" t="s">
        <v>26</v>
      </c>
      <c r="F90" s="75" t="s">
        <v>17</v>
      </c>
      <c r="G90" s="75" t="s">
        <v>18</v>
      </c>
      <c r="H90" s="76">
        <v>45012.0</v>
      </c>
      <c r="I90" s="75">
        <v>91.0</v>
      </c>
      <c r="J90" s="77">
        <v>122.33</v>
      </c>
      <c r="K90" s="77">
        <v>211.15</v>
      </c>
      <c r="L90" s="77">
        <v>11132.03</v>
      </c>
      <c r="M90" s="77">
        <v>19214.65</v>
      </c>
      <c r="N90" s="77">
        <v>-8082.620000000001</v>
      </c>
      <c r="O90" s="78">
        <v>-0.7260688302133573</v>
      </c>
    </row>
    <row r="91" ht="15.75" customHeight="1">
      <c r="B91" s="75" t="s">
        <v>119</v>
      </c>
      <c r="C91" s="75" t="s">
        <v>52</v>
      </c>
      <c r="D91" s="75" t="s">
        <v>54</v>
      </c>
      <c r="E91" s="75" t="s">
        <v>16</v>
      </c>
      <c r="F91" s="75" t="s">
        <v>17</v>
      </c>
      <c r="G91" s="75" t="s">
        <v>31</v>
      </c>
      <c r="H91" s="76">
        <v>45013.0</v>
      </c>
      <c r="I91" s="75">
        <v>365.0</v>
      </c>
      <c r="J91" s="77">
        <v>121.16</v>
      </c>
      <c r="K91" s="77">
        <v>193.69</v>
      </c>
      <c r="L91" s="77">
        <v>44223.4</v>
      </c>
      <c r="M91" s="77">
        <v>70696.85</v>
      </c>
      <c r="N91" s="77">
        <v>-26473.450000000004</v>
      </c>
      <c r="O91" s="78">
        <v>-0.5986299108616706</v>
      </c>
    </row>
    <row r="92" ht="15.75" customHeight="1">
      <c r="B92" s="75" t="s">
        <v>120</v>
      </c>
      <c r="C92" s="75" t="s">
        <v>25</v>
      </c>
      <c r="D92" s="75" t="s">
        <v>34</v>
      </c>
      <c r="E92" s="75" t="s">
        <v>16</v>
      </c>
      <c r="F92" s="75" t="s">
        <v>17</v>
      </c>
      <c r="G92" s="75" t="s">
        <v>31</v>
      </c>
      <c r="H92" s="76">
        <v>45014.0</v>
      </c>
      <c r="I92" s="75">
        <v>267.0</v>
      </c>
      <c r="J92" s="77">
        <v>442.44</v>
      </c>
      <c r="K92" s="77">
        <v>72.4</v>
      </c>
      <c r="L92" s="77">
        <v>118131.48</v>
      </c>
      <c r="M92" s="77">
        <v>19330.800000000003</v>
      </c>
      <c r="N92" s="77">
        <v>98800.68</v>
      </c>
      <c r="O92" s="78">
        <v>0.8363619925865654</v>
      </c>
    </row>
    <row r="93" ht="15.75" customHeight="1">
      <c r="B93" s="75" t="s">
        <v>121</v>
      </c>
      <c r="C93" s="75" t="s">
        <v>20</v>
      </c>
      <c r="D93" s="75" t="s">
        <v>15</v>
      </c>
      <c r="E93" s="75" t="s">
        <v>46</v>
      </c>
      <c r="F93" s="75" t="s">
        <v>27</v>
      </c>
      <c r="G93" s="75" t="s">
        <v>31</v>
      </c>
      <c r="H93" s="76">
        <v>45015.0</v>
      </c>
      <c r="I93" s="75">
        <v>215.0</v>
      </c>
      <c r="J93" s="77">
        <v>223.8</v>
      </c>
      <c r="K93" s="77">
        <v>156.06</v>
      </c>
      <c r="L93" s="77">
        <v>48117.0</v>
      </c>
      <c r="M93" s="77">
        <v>33552.9</v>
      </c>
      <c r="N93" s="77">
        <v>14564.099999999999</v>
      </c>
      <c r="O93" s="78">
        <v>0.3026809651474531</v>
      </c>
    </row>
    <row r="94" ht="15.75" customHeight="1">
      <c r="B94" s="75" t="s">
        <v>122</v>
      </c>
      <c r="C94" s="75" t="s">
        <v>52</v>
      </c>
      <c r="D94" s="75" t="s">
        <v>21</v>
      </c>
      <c r="E94" s="75" t="s">
        <v>46</v>
      </c>
      <c r="F94" s="75" t="s">
        <v>17</v>
      </c>
      <c r="G94" s="75" t="s">
        <v>31</v>
      </c>
      <c r="H94" s="76">
        <v>45016.0</v>
      </c>
      <c r="I94" s="75">
        <v>86.0</v>
      </c>
      <c r="J94" s="77">
        <v>168.79</v>
      </c>
      <c r="K94" s="77">
        <v>385.6</v>
      </c>
      <c r="L94" s="77">
        <v>14515.939999999999</v>
      </c>
      <c r="M94" s="77">
        <v>33161.6</v>
      </c>
      <c r="N94" s="77">
        <v>-18645.66</v>
      </c>
      <c r="O94" s="78">
        <v>-1.284495526986196</v>
      </c>
    </row>
    <row r="95" ht="15.75" customHeight="1">
      <c r="B95" s="75" t="s">
        <v>123</v>
      </c>
      <c r="C95" s="75" t="s">
        <v>20</v>
      </c>
      <c r="D95" s="75" t="s">
        <v>15</v>
      </c>
      <c r="E95" s="75" t="s">
        <v>30</v>
      </c>
      <c r="F95" s="75" t="s">
        <v>27</v>
      </c>
      <c r="G95" s="75" t="s">
        <v>31</v>
      </c>
      <c r="H95" s="76">
        <v>45017.0</v>
      </c>
      <c r="I95" s="75">
        <v>486.0</v>
      </c>
      <c r="J95" s="77">
        <v>227.14</v>
      </c>
      <c r="K95" s="77">
        <v>100.93</v>
      </c>
      <c r="L95" s="77">
        <v>110390.04</v>
      </c>
      <c r="M95" s="77">
        <v>49051.98</v>
      </c>
      <c r="N95" s="77">
        <v>61338.05999999999</v>
      </c>
      <c r="O95" s="78">
        <v>0.5556484987232543</v>
      </c>
    </row>
    <row r="96" ht="15.75" customHeight="1">
      <c r="B96" s="75" t="s">
        <v>124</v>
      </c>
      <c r="C96" s="75" t="s">
        <v>20</v>
      </c>
      <c r="D96" s="75" t="s">
        <v>54</v>
      </c>
      <c r="E96" s="75" t="s">
        <v>46</v>
      </c>
      <c r="F96" s="75" t="s">
        <v>27</v>
      </c>
      <c r="G96" s="75" t="s">
        <v>23</v>
      </c>
      <c r="H96" s="76">
        <v>45018.0</v>
      </c>
      <c r="I96" s="75">
        <v>21.0</v>
      </c>
      <c r="J96" s="77">
        <v>249.64520588235297</v>
      </c>
      <c r="K96" s="77">
        <v>55.25</v>
      </c>
      <c r="L96" s="77">
        <v>5242.5493235294125</v>
      </c>
      <c r="M96" s="77">
        <v>1160.25</v>
      </c>
      <c r="N96" s="77">
        <v>4082.2993235294125</v>
      </c>
      <c r="O96" s="78">
        <v>0.778685916259746</v>
      </c>
    </row>
    <row r="97" ht="15.75" customHeight="1">
      <c r="B97" s="75" t="s">
        <v>125</v>
      </c>
      <c r="C97" s="75" t="s">
        <v>52</v>
      </c>
      <c r="D97" s="75" t="s">
        <v>54</v>
      </c>
      <c r="E97" s="75" t="s">
        <v>26</v>
      </c>
      <c r="F97" s="75" t="s">
        <v>27</v>
      </c>
      <c r="G97" s="75" t="s">
        <v>18</v>
      </c>
      <c r="H97" s="76">
        <v>45019.0</v>
      </c>
      <c r="I97" s="75">
        <v>304.0</v>
      </c>
      <c r="J97" s="77">
        <v>77.15</v>
      </c>
      <c r="K97" s="77">
        <v>168.6</v>
      </c>
      <c r="L97" s="77">
        <v>23453.600000000002</v>
      </c>
      <c r="M97" s="77">
        <v>51254.4</v>
      </c>
      <c r="N97" s="77">
        <v>-27800.8</v>
      </c>
      <c r="O97" s="78">
        <v>-1.1853532080362927</v>
      </c>
    </row>
    <row r="98" ht="15.75" customHeight="1">
      <c r="B98" s="75" t="s">
        <v>126</v>
      </c>
      <c r="C98" s="75" t="s">
        <v>52</v>
      </c>
      <c r="D98" s="75" t="s">
        <v>21</v>
      </c>
      <c r="E98" s="75" t="s">
        <v>16</v>
      </c>
      <c r="F98" s="75" t="s">
        <v>17</v>
      </c>
      <c r="G98" s="75" t="s">
        <v>23</v>
      </c>
      <c r="H98" s="76">
        <v>45020.0</v>
      </c>
      <c r="I98" s="75">
        <v>459.0</v>
      </c>
      <c r="J98" s="77">
        <v>227.47</v>
      </c>
      <c r="K98" s="77">
        <v>316.55</v>
      </c>
      <c r="L98" s="77">
        <v>104408.73</v>
      </c>
      <c r="M98" s="77">
        <v>145296.45</v>
      </c>
      <c r="N98" s="77">
        <v>-40887.720000000016</v>
      </c>
      <c r="O98" s="78">
        <v>-0.3916120807139405</v>
      </c>
    </row>
    <row r="99" ht="15.75" customHeight="1">
      <c r="B99" s="75" t="s">
        <v>127</v>
      </c>
      <c r="C99" s="75" t="s">
        <v>52</v>
      </c>
      <c r="D99" s="75" t="s">
        <v>34</v>
      </c>
      <c r="E99" s="75" t="s">
        <v>30</v>
      </c>
      <c r="F99" s="75" t="s">
        <v>17</v>
      </c>
      <c r="G99" s="75" t="s">
        <v>18</v>
      </c>
      <c r="H99" s="76">
        <v>45021.0</v>
      </c>
      <c r="I99" s="75">
        <v>233.0</v>
      </c>
      <c r="J99" s="77">
        <v>296.0</v>
      </c>
      <c r="K99" s="77">
        <v>233.69</v>
      </c>
      <c r="L99" s="77">
        <v>68968.0</v>
      </c>
      <c r="M99" s="77">
        <v>54449.77</v>
      </c>
      <c r="N99" s="77">
        <v>14518.230000000003</v>
      </c>
      <c r="O99" s="78">
        <v>0.2105067567567568</v>
      </c>
    </row>
    <row r="100" ht="15.75" customHeight="1">
      <c r="B100" s="75" t="s">
        <v>128</v>
      </c>
      <c r="C100" s="75" t="s">
        <v>52</v>
      </c>
      <c r="D100" s="75" t="s">
        <v>29</v>
      </c>
      <c r="E100" s="75" t="s">
        <v>46</v>
      </c>
      <c r="F100" s="75" t="s">
        <v>27</v>
      </c>
      <c r="G100" s="75" t="s">
        <v>23</v>
      </c>
      <c r="H100" s="76">
        <v>45022.0</v>
      </c>
      <c r="I100" s="75">
        <v>22.0</v>
      </c>
      <c r="J100" s="77">
        <v>474.55</v>
      </c>
      <c r="K100" s="77">
        <v>273.03</v>
      </c>
      <c r="L100" s="77">
        <v>10440.1</v>
      </c>
      <c r="M100" s="77">
        <v>6006.66</v>
      </c>
      <c r="N100" s="77">
        <v>4433.4400000000005</v>
      </c>
      <c r="O100" s="78">
        <v>0.4246549362553999</v>
      </c>
    </row>
    <row r="101" ht="15.75" customHeight="1">
      <c r="B101" s="75" t="s">
        <v>129</v>
      </c>
      <c r="C101" s="75" t="s">
        <v>52</v>
      </c>
      <c r="D101" s="75" t="s">
        <v>21</v>
      </c>
      <c r="E101" s="75" t="s">
        <v>26</v>
      </c>
      <c r="F101" s="75" t="s">
        <v>17</v>
      </c>
      <c r="G101" s="75" t="s">
        <v>31</v>
      </c>
      <c r="H101" s="76">
        <v>45023.0</v>
      </c>
      <c r="I101" s="75">
        <v>55.0</v>
      </c>
      <c r="J101" s="77">
        <v>130.0</v>
      </c>
      <c r="K101" s="77">
        <v>77.5</v>
      </c>
      <c r="L101" s="77">
        <v>7150.0</v>
      </c>
      <c r="M101" s="77">
        <v>4262.5</v>
      </c>
      <c r="N101" s="77">
        <v>2887.5</v>
      </c>
      <c r="O101" s="78">
        <v>0.40384615384615385</v>
      </c>
    </row>
    <row r="102" ht="15.75" customHeight="1">
      <c r="B102" s="75" t="s">
        <v>130</v>
      </c>
      <c r="C102" s="75" t="s">
        <v>20</v>
      </c>
      <c r="D102" s="75" t="s">
        <v>29</v>
      </c>
      <c r="E102" s="75" t="s">
        <v>26</v>
      </c>
      <c r="F102" s="75" t="s">
        <v>17</v>
      </c>
      <c r="G102" s="75" t="s">
        <v>18</v>
      </c>
      <c r="H102" s="76">
        <v>45024.0</v>
      </c>
      <c r="I102" s="75">
        <v>164.0</v>
      </c>
      <c r="J102" s="77">
        <v>182.83</v>
      </c>
      <c r="K102" s="77">
        <v>248.34</v>
      </c>
      <c r="L102" s="77">
        <v>29984.120000000003</v>
      </c>
      <c r="M102" s="77">
        <v>40727.76</v>
      </c>
      <c r="N102" s="77">
        <v>-10743.64</v>
      </c>
      <c r="O102" s="78">
        <v>-0.3583109992889569</v>
      </c>
    </row>
    <row r="103" ht="15.75" customHeight="1">
      <c r="B103" s="75" t="s">
        <v>131</v>
      </c>
      <c r="C103" s="75" t="s">
        <v>52</v>
      </c>
      <c r="D103" s="75" t="s">
        <v>29</v>
      </c>
      <c r="E103" s="75" t="s">
        <v>46</v>
      </c>
      <c r="F103" s="75" t="s">
        <v>17</v>
      </c>
      <c r="G103" s="75" t="s">
        <v>18</v>
      </c>
      <c r="H103" s="76">
        <v>45025.0</v>
      </c>
      <c r="I103" s="75">
        <v>122.0</v>
      </c>
      <c r="J103" s="77">
        <v>192.78</v>
      </c>
      <c r="K103" s="77">
        <v>130.75</v>
      </c>
      <c r="L103" s="77">
        <v>23519.16</v>
      </c>
      <c r="M103" s="77">
        <v>15951.5</v>
      </c>
      <c r="N103" s="77">
        <v>7567.66</v>
      </c>
      <c r="O103" s="78">
        <v>0.3217657433343708</v>
      </c>
    </row>
    <row r="104" ht="15.75" customHeight="1">
      <c r="B104" s="75" t="s">
        <v>132</v>
      </c>
      <c r="C104" s="75" t="s">
        <v>25</v>
      </c>
      <c r="D104" s="75" t="s">
        <v>34</v>
      </c>
      <c r="E104" s="75" t="s">
        <v>16</v>
      </c>
      <c r="F104" s="75" t="s">
        <v>27</v>
      </c>
      <c r="G104" s="75" t="s">
        <v>23</v>
      </c>
      <c r="H104" s="76">
        <v>45026.0</v>
      </c>
      <c r="I104" s="75">
        <v>242.0</v>
      </c>
      <c r="J104" s="77">
        <v>304.74</v>
      </c>
      <c r="K104" s="77">
        <v>334.05</v>
      </c>
      <c r="L104" s="77">
        <v>73747.08</v>
      </c>
      <c r="M104" s="77">
        <v>80840.1</v>
      </c>
      <c r="N104" s="77">
        <v>-7093.020000000004</v>
      </c>
      <c r="O104" s="78">
        <v>-0.09618035046268957</v>
      </c>
    </row>
    <row r="105" ht="15.75" customHeight="1">
      <c r="B105" s="75" t="s">
        <v>133</v>
      </c>
      <c r="C105" s="75" t="s">
        <v>14</v>
      </c>
      <c r="D105" s="75" t="s">
        <v>29</v>
      </c>
      <c r="E105" s="75" t="s">
        <v>46</v>
      </c>
      <c r="F105" s="75" t="s">
        <v>27</v>
      </c>
      <c r="G105" s="75" t="s">
        <v>23</v>
      </c>
      <c r="H105" s="76">
        <v>45027.0</v>
      </c>
      <c r="I105" s="75">
        <v>26.0</v>
      </c>
      <c r="J105" s="77">
        <v>181.58</v>
      </c>
      <c r="K105" s="77">
        <v>252.46</v>
      </c>
      <c r="L105" s="77">
        <v>4721.08</v>
      </c>
      <c r="M105" s="77">
        <v>6563.96</v>
      </c>
      <c r="N105" s="77">
        <v>-1842.88</v>
      </c>
      <c r="O105" s="78">
        <v>-0.39035136028196943</v>
      </c>
    </row>
    <row r="106" ht="15.75" customHeight="1">
      <c r="B106" s="75" t="s">
        <v>134</v>
      </c>
      <c r="C106" s="75" t="s">
        <v>52</v>
      </c>
      <c r="D106" s="75" t="s">
        <v>29</v>
      </c>
      <c r="E106" s="75" t="s">
        <v>30</v>
      </c>
      <c r="F106" s="75" t="s">
        <v>17</v>
      </c>
      <c r="G106" s="75" t="s">
        <v>18</v>
      </c>
      <c r="H106" s="76">
        <v>45028.0</v>
      </c>
      <c r="I106" s="75">
        <v>369.0</v>
      </c>
      <c r="J106" s="77">
        <v>269.09</v>
      </c>
      <c r="K106" s="77">
        <v>81.14</v>
      </c>
      <c r="L106" s="77">
        <v>99294.20999999999</v>
      </c>
      <c r="M106" s="77">
        <v>29940.66</v>
      </c>
      <c r="N106" s="77">
        <v>69353.54999999999</v>
      </c>
      <c r="O106" s="78">
        <v>0.6984651975175591</v>
      </c>
    </row>
    <row r="107" ht="15.75" customHeight="1">
      <c r="B107" s="75" t="s">
        <v>135</v>
      </c>
      <c r="C107" s="75" t="s">
        <v>52</v>
      </c>
      <c r="D107" s="75" t="s">
        <v>34</v>
      </c>
      <c r="E107" s="75" t="s">
        <v>46</v>
      </c>
      <c r="F107" s="75" t="s">
        <v>27</v>
      </c>
      <c r="G107" s="75" t="s">
        <v>23</v>
      </c>
      <c r="H107" s="76">
        <v>45029.0</v>
      </c>
      <c r="I107" s="75">
        <v>232.0</v>
      </c>
      <c r="J107" s="77">
        <v>391.99</v>
      </c>
      <c r="K107" s="77">
        <v>27.72</v>
      </c>
      <c r="L107" s="77">
        <v>90941.68000000001</v>
      </c>
      <c r="M107" s="77">
        <v>6431.04</v>
      </c>
      <c r="N107" s="77">
        <v>84510.64000000001</v>
      </c>
      <c r="O107" s="78">
        <v>0.9292839103038344</v>
      </c>
    </row>
    <row r="108" ht="15.75" customHeight="1">
      <c r="B108" s="75" t="s">
        <v>136</v>
      </c>
      <c r="C108" s="75" t="s">
        <v>20</v>
      </c>
      <c r="D108" s="75" t="s">
        <v>29</v>
      </c>
      <c r="E108" s="75" t="s">
        <v>26</v>
      </c>
      <c r="F108" s="75" t="s">
        <v>17</v>
      </c>
      <c r="G108" s="75" t="s">
        <v>23</v>
      </c>
      <c r="H108" s="76">
        <v>45030.0</v>
      </c>
      <c r="I108" s="75">
        <v>363.0</v>
      </c>
      <c r="J108" s="77">
        <v>354.17</v>
      </c>
      <c r="K108" s="77">
        <v>18.97</v>
      </c>
      <c r="L108" s="77">
        <v>128563.71</v>
      </c>
      <c r="M108" s="77">
        <v>6886.11</v>
      </c>
      <c r="N108" s="77">
        <v>121677.6</v>
      </c>
      <c r="O108" s="78">
        <v>0.9464381511703419</v>
      </c>
    </row>
    <row r="109" ht="15.75" customHeight="1">
      <c r="B109" s="75" t="s">
        <v>137</v>
      </c>
      <c r="C109" s="75" t="s">
        <v>52</v>
      </c>
      <c r="D109" s="75" t="s">
        <v>29</v>
      </c>
      <c r="E109" s="75" t="s">
        <v>46</v>
      </c>
      <c r="F109" s="75" t="s">
        <v>17</v>
      </c>
      <c r="G109" s="75" t="s">
        <v>23</v>
      </c>
      <c r="H109" s="76">
        <v>45031.0</v>
      </c>
      <c r="I109" s="75">
        <v>197.0</v>
      </c>
      <c r="J109" s="77">
        <v>225.95</v>
      </c>
      <c r="K109" s="77">
        <v>149.82</v>
      </c>
      <c r="L109" s="77">
        <v>44512.149999999994</v>
      </c>
      <c r="M109" s="77">
        <v>29514.539999999997</v>
      </c>
      <c r="N109" s="77">
        <v>14997.609999999997</v>
      </c>
      <c r="O109" s="78">
        <v>0.3369329497676477</v>
      </c>
    </row>
    <row r="110" ht="15.75" customHeight="1">
      <c r="B110" s="75" t="s">
        <v>138</v>
      </c>
      <c r="C110" s="75" t="s">
        <v>52</v>
      </c>
      <c r="D110" s="75" t="s">
        <v>29</v>
      </c>
      <c r="E110" s="75" t="s">
        <v>16</v>
      </c>
      <c r="F110" s="75" t="s">
        <v>17</v>
      </c>
      <c r="G110" s="75" t="s">
        <v>31</v>
      </c>
      <c r="H110" s="76">
        <v>45032.0</v>
      </c>
      <c r="I110" s="75">
        <v>457.0</v>
      </c>
      <c r="J110" s="77">
        <v>432.79</v>
      </c>
      <c r="K110" s="77">
        <v>107.81</v>
      </c>
      <c r="L110" s="77">
        <v>197785.03</v>
      </c>
      <c r="M110" s="77">
        <v>49269.17</v>
      </c>
      <c r="N110" s="77">
        <v>148515.86</v>
      </c>
      <c r="O110" s="78">
        <v>0.7508953534046534</v>
      </c>
    </row>
    <row r="111" ht="15.75" customHeight="1">
      <c r="B111" s="75" t="s">
        <v>139</v>
      </c>
      <c r="C111" s="75" t="s">
        <v>52</v>
      </c>
      <c r="D111" s="75" t="s">
        <v>21</v>
      </c>
      <c r="E111" s="75" t="s">
        <v>22</v>
      </c>
      <c r="F111" s="75" t="s">
        <v>17</v>
      </c>
      <c r="G111" s="75" t="s">
        <v>31</v>
      </c>
      <c r="H111" s="76">
        <v>45033.0</v>
      </c>
      <c r="I111" s="75">
        <v>353.0</v>
      </c>
      <c r="J111" s="77">
        <v>281.28</v>
      </c>
      <c r="K111" s="77">
        <v>259.14</v>
      </c>
      <c r="L111" s="77">
        <v>99291.84</v>
      </c>
      <c r="M111" s="77">
        <v>91476.42</v>
      </c>
      <c r="N111" s="77">
        <v>7815.419999999998</v>
      </c>
      <c r="O111" s="78">
        <v>0.07871160409556313</v>
      </c>
    </row>
    <row r="112" ht="15.75" customHeight="1">
      <c r="B112" s="75" t="s">
        <v>140</v>
      </c>
      <c r="C112" s="75" t="s">
        <v>20</v>
      </c>
      <c r="D112" s="75" t="s">
        <v>21</v>
      </c>
      <c r="E112" s="75" t="s">
        <v>46</v>
      </c>
      <c r="F112" s="75" t="s">
        <v>27</v>
      </c>
      <c r="G112" s="75" t="s">
        <v>23</v>
      </c>
      <c r="H112" s="76">
        <v>45034.0</v>
      </c>
      <c r="I112" s="75">
        <v>374.0</v>
      </c>
      <c r="J112" s="77">
        <v>272.25</v>
      </c>
      <c r="K112" s="77">
        <v>200.73</v>
      </c>
      <c r="L112" s="77">
        <v>101821.5</v>
      </c>
      <c r="M112" s="77">
        <v>75073.01999999999</v>
      </c>
      <c r="N112" s="77">
        <v>26748.48000000001</v>
      </c>
      <c r="O112" s="78">
        <v>0.26269972451790646</v>
      </c>
    </row>
    <row r="113" ht="15.75" customHeight="1">
      <c r="B113" s="75" t="s">
        <v>141</v>
      </c>
      <c r="C113" s="75" t="s">
        <v>52</v>
      </c>
      <c r="D113" s="75" t="s">
        <v>21</v>
      </c>
      <c r="E113" s="75" t="s">
        <v>16</v>
      </c>
      <c r="F113" s="75" t="s">
        <v>27</v>
      </c>
      <c r="G113" s="75" t="s">
        <v>23</v>
      </c>
      <c r="H113" s="76">
        <v>45035.0</v>
      </c>
      <c r="I113" s="75">
        <v>172.0</v>
      </c>
      <c r="J113" s="77">
        <v>21.92</v>
      </c>
      <c r="K113" s="77">
        <v>107.88</v>
      </c>
      <c r="L113" s="77">
        <v>3770.2400000000002</v>
      </c>
      <c r="M113" s="77">
        <v>18555.36</v>
      </c>
      <c r="N113" s="77">
        <v>-14785.12</v>
      </c>
      <c r="O113" s="78">
        <v>-3.9215328467153285</v>
      </c>
    </row>
    <row r="114" ht="15.75" customHeight="1">
      <c r="B114" s="75" t="s">
        <v>142</v>
      </c>
      <c r="C114" s="75" t="s">
        <v>14</v>
      </c>
      <c r="D114" s="75" t="s">
        <v>34</v>
      </c>
      <c r="E114" s="75" t="s">
        <v>16</v>
      </c>
      <c r="F114" s="75" t="s">
        <v>27</v>
      </c>
      <c r="G114" s="75" t="s">
        <v>31</v>
      </c>
      <c r="H114" s="76">
        <v>45036.0</v>
      </c>
      <c r="I114" s="75">
        <v>335.0</v>
      </c>
      <c r="J114" s="77">
        <v>493.41</v>
      </c>
      <c r="K114" s="77">
        <v>61.4</v>
      </c>
      <c r="L114" s="77">
        <v>165292.35</v>
      </c>
      <c r="M114" s="77">
        <v>20569.0</v>
      </c>
      <c r="N114" s="77">
        <v>144723.35</v>
      </c>
      <c r="O114" s="78">
        <v>0.875559879207961</v>
      </c>
    </row>
    <row r="115" ht="15.75" customHeight="1">
      <c r="B115" s="75" t="s">
        <v>143</v>
      </c>
      <c r="C115" s="75" t="s">
        <v>20</v>
      </c>
      <c r="D115" s="75" t="s">
        <v>54</v>
      </c>
      <c r="E115" s="75" t="s">
        <v>26</v>
      </c>
      <c r="F115" s="75" t="s">
        <v>17</v>
      </c>
      <c r="G115" s="75" t="s">
        <v>31</v>
      </c>
      <c r="H115" s="76">
        <v>45037.0</v>
      </c>
      <c r="I115" s="75">
        <v>476.0</v>
      </c>
      <c r="J115" s="77">
        <v>65.87</v>
      </c>
      <c r="K115" s="77">
        <v>52.63</v>
      </c>
      <c r="L115" s="77">
        <v>31354.120000000003</v>
      </c>
      <c r="M115" s="77">
        <v>25051.88</v>
      </c>
      <c r="N115" s="77">
        <v>6302.240000000002</v>
      </c>
      <c r="O115" s="78">
        <v>0.2010019735843328</v>
      </c>
    </row>
    <row r="116" ht="15.75" customHeight="1">
      <c r="B116" s="75" t="s">
        <v>144</v>
      </c>
      <c r="C116" s="75" t="s">
        <v>14</v>
      </c>
      <c r="D116" s="75" t="s">
        <v>29</v>
      </c>
      <c r="E116" s="75" t="s">
        <v>16</v>
      </c>
      <c r="F116" s="75" t="s">
        <v>17</v>
      </c>
      <c r="G116" s="75" t="s">
        <v>18</v>
      </c>
      <c r="H116" s="76">
        <v>45038.0</v>
      </c>
      <c r="I116" s="75">
        <v>423.0</v>
      </c>
      <c r="J116" s="77">
        <v>119.41</v>
      </c>
      <c r="K116" s="77">
        <v>346.13</v>
      </c>
      <c r="L116" s="77">
        <v>50510.43</v>
      </c>
      <c r="M116" s="77">
        <v>146412.99</v>
      </c>
      <c r="N116" s="77">
        <v>-95902.56</v>
      </c>
      <c r="O116" s="78">
        <v>-1.8986684532283729</v>
      </c>
    </row>
    <row r="117" ht="15.75" customHeight="1">
      <c r="B117" s="75" t="s">
        <v>145</v>
      </c>
      <c r="C117" s="75" t="s">
        <v>20</v>
      </c>
      <c r="D117" s="75" t="s">
        <v>29</v>
      </c>
      <c r="E117" s="75" t="s">
        <v>16</v>
      </c>
      <c r="F117" s="75" t="s">
        <v>17</v>
      </c>
      <c r="G117" s="75" t="s">
        <v>18</v>
      </c>
      <c r="H117" s="76">
        <v>45039.0</v>
      </c>
      <c r="I117" s="75">
        <v>464.0</v>
      </c>
      <c r="J117" s="77">
        <v>30.59</v>
      </c>
      <c r="K117" s="77">
        <v>98.9</v>
      </c>
      <c r="L117" s="77">
        <v>14193.76</v>
      </c>
      <c r="M117" s="77">
        <v>45889.600000000006</v>
      </c>
      <c r="N117" s="77">
        <v>-31695.840000000004</v>
      </c>
      <c r="O117" s="78">
        <v>-2.2330827067669174</v>
      </c>
    </row>
    <row r="118" ht="15.75" customHeight="1">
      <c r="B118" s="75" t="s">
        <v>146</v>
      </c>
      <c r="C118" s="75" t="s">
        <v>52</v>
      </c>
      <c r="D118" s="75" t="s">
        <v>34</v>
      </c>
      <c r="E118" s="75" t="s">
        <v>16</v>
      </c>
      <c r="F118" s="75" t="s">
        <v>27</v>
      </c>
      <c r="G118" s="75" t="s">
        <v>31</v>
      </c>
      <c r="H118" s="76">
        <v>45040.0</v>
      </c>
      <c r="I118" s="75">
        <v>83.0</v>
      </c>
      <c r="J118" s="77">
        <v>321.8</v>
      </c>
      <c r="K118" s="77">
        <v>261.38</v>
      </c>
      <c r="L118" s="77">
        <v>26709.4</v>
      </c>
      <c r="M118" s="77">
        <v>21694.54</v>
      </c>
      <c r="N118" s="77">
        <v>5014.860000000001</v>
      </c>
      <c r="O118" s="78">
        <v>0.18775637041640772</v>
      </c>
    </row>
    <row r="119" ht="15.75" customHeight="1">
      <c r="B119" s="75" t="s">
        <v>147</v>
      </c>
      <c r="C119" s="75" t="s">
        <v>14</v>
      </c>
      <c r="D119" s="75" t="s">
        <v>29</v>
      </c>
      <c r="E119" s="75" t="s">
        <v>16</v>
      </c>
      <c r="F119" s="75" t="s">
        <v>17</v>
      </c>
      <c r="G119" s="75" t="s">
        <v>23</v>
      </c>
      <c r="H119" s="76">
        <v>45041.0</v>
      </c>
      <c r="I119" s="75">
        <v>242.0</v>
      </c>
      <c r="J119" s="77">
        <v>116.23</v>
      </c>
      <c r="K119" s="77">
        <v>324.65</v>
      </c>
      <c r="L119" s="77">
        <v>28127.66</v>
      </c>
      <c r="M119" s="77">
        <v>78565.29999999999</v>
      </c>
      <c r="N119" s="77">
        <v>-50437.639999999985</v>
      </c>
      <c r="O119" s="78">
        <v>-1.7931687171986572</v>
      </c>
    </row>
    <row r="120" ht="15.75" customHeight="1">
      <c r="B120" s="75" t="s">
        <v>148</v>
      </c>
      <c r="C120" s="75" t="s">
        <v>20</v>
      </c>
      <c r="D120" s="75" t="s">
        <v>21</v>
      </c>
      <c r="E120" s="75" t="s">
        <v>30</v>
      </c>
      <c r="F120" s="75" t="s">
        <v>27</v>
      </c>
      <c r="G120" s="75" t="s">
        <v>23</v>
      </c>
      <c r="H120" s="76">
        <v>45042.0</v>
      </c>
      <c r="I120" s="75">
        <v>233.0</v>
      </c>
      <c r="J120" s="77">
        <v>94.11</v>
      </c>
      <c r="K120" s="77">
        <v>246.4</v>
      </c>
      <c r="L120" s="77">
        <v>21927.63</v>
      </c>
      <c r="M120" s="77">
        <v>57411.200000000004</v>
      </c>
      <c r="N120" s="77">
        <v>-35483.57000000001</v>
      </c>
      <c r="O120" s="78">
        <v>-1.6182127297842952</v>
      </c>
    </row>
    <row r="121" ht="15.75" customHeight="1">
      <c r="B121" s="75" t="s">
        <v>149</v>
      </c>
      <c r="C121" s="75" t="s">
        <v>25</v>
      </c>
      <c r="D121" s="75" t="s">
        <v>54</v>
      </c>
      <c r="E121" s="75" t="s">
        <v>30</v>
      </c>
      <c r="F121" s="75" t="s">
        <v>27</v>
      </c>
      <c r="G121" s="75" t="s">
        <v>23</v>
      </c>
      <c r="H121" s="76">
        <v>45043.0</v>
      </c>
      <c r="I121" s="75">
        <v>491.0</v>
      </c>
      <c r="J121" s="77">
        <v>48.84</v>
      </c>
      <c r="K121" s="77">
        <v>344.11</v>
      </c>
      <c r="L121" s="77">
        <v>23980.440000000002</v>
      </c>
      <c r="M121" s="77">
        <v>168958.01</v>
      </c>
      <c r="N121" s="77">
        <v>-144977.57</v>
      </c>
      <c r="O121" s="78">
        <v>-6.045659295659295</v>
      </c>
    </row>
    <row r="122" ht="15.75" customHeight="1">
      <c r="B122" s="75" t="s">
        <v>150</v>
      </c>
      <c r="C122" s="75" t="s">
        <v>39</v>
      </c>
      <c r="D122" s="75" t="s">
        <v>15</v>
      </c>
      <c r="E122" s="75" t="s">
        <v>26</v>
      </c>
      <c r="F122" s="75" t="s">
        <v>27</v>
      </c>
      <c r="G122" s="75" t="s">
        <v>23</v>
      </c>
      <c r="H122" s="76">
        <v>45044.0</v>
      </c>
      <c r="I122" s="75">
        <v>328.0</v>
      </c>
      <c r="J122" s="77">
        <v>56.14</v>
      </c>
      <c r="K122" s="77">
        <v>158.17</v>
      </c>
      <c r="L122" s="77">
        <v>18413.920000000002</v>
      </c>
      <c r="M122" s="77">
        <v>51879.759999999995</v>
      </c>
      <c r="N122" s="77">
        <v>-33465.84</v>
      </c>
      <c r="O122" s="78">
        <v>-1.8174207338795865</v>
      </c>
    </row>
    <row r="123" ht="15.75" customHeight="1">
      <c r="B123" s="75" t="s">
        <v>151</v>
      </c>
      <c r="C123" s="75" t="s">
        <v>20</v>
      </c>
      <c r="D123" s="75" t="s">
        <v>29</v>
      </c>
      <c r="E123" s="75" t="s">
        <v>46</v>
      </c>
      <c r="F123" s="75" t="s">
        <v>27</v>
      </c>
      <c r="G123" s="75" t="s">
        <v>18</v>
      </c>
      <c r="H123" s="76">
        <v>45045.0</v>
      </c>
      <c r="I123" s="75">
        <v>421.0</v>
      </c>
      <c r="J123" s="77">
        <v>294.41</v>
      </c>
      <c r="K123" s="77">
        <v>382.58</v>
      </c>
      <c r="L123" s="77">
        <v>123946.61000000002</v>
      </c>
      <c r="M123" s="77">
        <v>161066.18</v>
      </c>
      <c r="N123" s="77">
        <v>-37119.56999999998</v>
      </c>
      <c r="O123" s="78">
        <v>-0.29948031656533386</v>
      </c>
    </row>
    <row r="124" ht="15.75" customHeight="1">
      <c r="B124" s="75" t="s">
        <v>152</v>
      </c>
      <c r="C124" s="75" t="s">
        <v>25</v>
      </c>
      <c r="D124" s="75" t="s">
        <v>21</v>
      </c>
      <c r="E124" s="75" t="s">
        <v>16</v>
      </c>
      <c r="F124" s="75" t="s">
        <v>27</v>
      </c>
      <c r="G124" s="75" t="s">
        <v>31</v>
      </c>
      <c r="H124" s="76">
        <v>45046.0</v>
      </c>
      <c r="I124" s="75">
        <v>69.0</v>
      </c>
      <c r="J124" s="77">
        <v>345.66</v>
      </c>
      <c r="K124" s="77">
        <v>54.99</v>
      </c>
      <c r="L124" s="77">
        <v>23850.54</v>
      </c>
      <c r="M124" s="77">
        <v>3794.31</v>
      </c>
      <c r="N124" s="77">
        <v>20056.23</v>
      </c>
      <c r="O124" s="78">
        <v>0.8409130359312619</v>
      </c>
    </row>
    <row r="125" ht="15.75" customHeight="1">
      <c r="B125" s="75" t="s">
        <v>153</v>
      </c>
      <c r="C125" s="75" t="s">
        <v>20</v>
      </c>
      <c r="D125" s="75" t="s">
        <v>15</v>
      </c>
      <c r="E125" s="75" t="s">
        <v>46</v>
      </c>
      <c r="F125" s="75" t="s">
        <v>27</v>
      </c>
      <c r="G125" s="75" t="s">
        <v>23</v>
      </c>
      <c r="H125" s="76">
        <v>45047.0</v>
      </c>
      <c r="I125" s="75">
        <v>344.0</v>
      </c>
      <c r="J125" s="77">
        <v>201.7</v>
      </c>
      <c r="K125" s="77">
        <v>42.66</v>
      </c>
      <c r="L125" s="77">
        <v>69384.8</v>
      </c>
      <c r="M125" s="77">
        <v>14675.039999999999</v>
      </c>
      <c r="N125" s="77">
        <v>54709.76</v>
      </c>
      <c r="O125" s="78">
        <v>0.7884977689638076</v>
      </c>
    </row>
    <row r="126" ht="15.75" customHeight="1">
      <c r="B126" s="75" t="s">
        <v>154</v>
      </c>
      <c r="C126" s="75" t="s">
        <v>39</v>
      </c>
      <c r="D126" s="75" t="s">
        <v>54</v>
      </c>
      <c r="E126" s="75" t="s">
        <v>46</v>
      </c>
      <c r="F126" s="75" t="s">
        <v>17</v>
      </c>
      <c r="G126" s="75" t="s">
        <v>18</v>
      </c>
      <c r="H126" s="76">
        <v>45048.0</v>
      </c>
      <c r="I126" s="75">
        <v>231.0</v>
      </c>
      <c r="J126" s="77">
        <v>242.55</v>
      </c>
      <c r="K126" s="77">
        <v>264.16</v>
      </c>
      <c r="L126" s="77">
        <v>56029.05</v>
      </c>
      <c r="M126" s="77">
        <v>61020.96000000001</v>
      </c>
      <c r="N126" s="77">
        <v>-4991.9100000000035</v>
      </c>
      <c r="O126" s="78">
        <v>-0.08909503195217487</v>
      </c>
    </row>
    <row r="127" ht="15.75" customHeight="1">
      <c r="B127" s="75" t="s">
        <v>155</v>
      </c>
      <c r="C127" s="75" t="s">
        <v>52</v>
      </c>
      <c r="D127" s="75" t="s">
        <v>15</v>
      </c>
      <c r="E127" s="75" t="s">
        <v>26</v>
      </c>
      <c r="F127" s="75" t="s">
        <v>17</v>
      </c>
      <c r="G127" s="75" t="s">
        <v>23</v>
      </c>
      <c r="H127" s="76">
        <v>45049.0</v>
      </c>
      <c r="I127" s="75">
        <v>46.0</v>
      </c>
      <c r="J127" s="77">
        <v>344.55</v>
      </c>
      <c r="K127" s="77">
        <v>377.25</v>
      </c>
      <c r="L127" s="77">
        <v>15849.300000000001</v>
      </c>
      <c r="M127" s="77">
        <v>17353.5</v>
      </c>
      <c r="N127" s="77">
        <v>-1504.199999999999</v>
      </c>
      <c r="O127" s="78">
        <v>-0.09490639965171956</v>
      </c>
    </row>
    <row r="128" ht="15.75" customHeight="1">
      <c r="B128" s="75" t="s">
        <v>156</v>
      </c>
      <c r="C128" s="75" t="s">
        <v>14</v>
      </c>
      <c r="D128" s="75" t="s">
        <v>21</v>
      </c>
      <c r="E128" s="75" t="s">
        <v>16</v>
      </c>
      <c r="F128" s="75" t="s">
        <v>27</v>
      </c>
      <c r="G128" s="75" t="s">
        <v>31</v>
      </c>
      <c r="H128" s="76">
        <v>45050.0</v>
      </c>
      <c r="I128" s="75">
        <v>486.0</v>
      </c>
      <c r="J128" s="77">
        <v>13.6</v>
      </c>
      <c r="K128" s="77">
        <v>323.94</v>
      </c>
      <c r="L128" s="77">
        <v>6609.599999999999</v>
      </c>
      <c r="M128" s="77">
        <v>157434.84</v>
      </c>
      <c r="N128" s="77">
        <v>-150825.24</v>
      </c>
      <c r="O128" s="78">
        <v>-22.819117647058825</v>
      </c>
    </row>
    <row r="129" ht="15.75" customHeight="1">
      <c r="B129" s="75" t="s">
        <v>157</v>
      </c>
      <c r="C129" s="75" t="s">
        <v>25</v>
      </c>
      <c r="D129" s="75" t="s">
        <v>15</v>
      </c>
      <c r="E129" s="75" t="s">
        <v>16</v>
      </c>
      <c r="F129" s="75" t="s">
        <v>27</v>
      </c>
      <c r="G129" s="75" t="s">
        <v>18</v>
      </c>
      <c r="H129" s="76">
        <v>45051.0</v>
      </c>
      <c r="I129" s="75">
        <v>287.0</v>
      </c>
      <c r="J129" s="77">
        <v>164.95</v>
      </c>
      <c r="K129" s="77">
        <v>32.41</v>
      </c>
      <c r="L129" s="77">
        <v>47340.649999999994</v>
      </c>
      <c r="M129" s="77">
        <v>9301.669999999998</v>
      </c>
      <c r="N129" s="77">
        <v>38038.979999999996</v>
      </c>
      <c r="O129" s="78">
        <v>0.8035162170354653</v>
      </c>
    </row>
    <row r="130" ht="15.75" customHeight="1">
      <c r="B130" s="75" t="s">
        <v>158</v>
      </c>
      <c r="C130" s="75" t="s">
        <v>20</v>
      </c>
      <c r="D130" s="75" t="s">
        <v>34</v>
      </c>
      <c r="E130" s="75" t="s">
        <v>22</v>
      </c>
      <c r="F130" s="75" t="s">
        <v>17</v>
      </c>
      <c r="G130" s="75" t="s">
        <v>31</v>
      </c>
      <c r="H130" s="76">
        <v>45052.0</v>
      </c>
      <c r="I130" s="75">
        <v>205.0</v>
      </c>
      <c r="J130" s="77">
        <v>486.68</v>
      </c>
      <c r="K130" s="77">
        <v>113.19</v>
      </c>
      <c r="L130" s="77">
        <v>99769.4</v>
      </c>
      <c r="M130" s="77">
        <v>23203.95</v>
      </c>
      <c r="N130" s="77">
        <v>76565.45</v>
      </c>
      <c r="O130" s="78">
        <v>0.7674241801594477</v>
      </c>
    </row>
    <row r="131" ht="15.75" customHeight="1">
      <c r="B131" s="75" t="s">
        <v>159</v>
      </c>
      <c r="C131" s="75" t="s">
        <v>52</v>
      </c>
      <c r="D131" s="75" t="s">
        <v>15</v>
      </c>
      <c r="E131" s="75" t="s">
        <v>46</v>
      </c>
      <c r="F131" s="75" t="s">
        <v>27</v>
      </c>
      <c r="G131" s="75" t="s">
        <v>31</v>
      </c>
      <c r="H131" s="76">
        <v>45053.0</v>
      </c>
      <c r="I131" s="75">
        <v>413.0</v>
      </c>
      <c r="J131" s="77">
        <v>292.16</v>
      </c>
      <c r="K131" s="77">
        <v>372.27</v>
      </c>
      <c r="L131" s="77">
        <v>120662.08000000002</v>
      </c>
      <c r="M131" s="77">
        <v>153747.50999999998</v>
      </c>
      <c r="N131" s="77">
        <v>-33085.429999999964</v>
      </c>
      <c r="O131" s="78">
        <v>-0.27419906900328556</v>
      </c>
    </row>
    <row r="132" ht="15.75" customHeight="1">
      <c r="B132" s="75" t="s">
        <v>160</v>
      </c>
      <c r="C132" s="75" t="s">
        <v>25</v>
      </c>
      <c r="D132" s="75" t="s">
        <v>29</v>
      </c>
      <c r="E132" s="75" t="s">
        <v>46</v>
      </c>
      <c r="F132" s="75" t="s">
        <v>27</v>
      </c>
      <c r="G132" s="75" t="s">
        <v>18</v>
      </c>
      <c r="H132" s="76">
        <v>45054.0</v>
      </c>
      <c r="I132" s="75">
        <v>361.0</v>
      </c>
      <c r="J132" s="77">
        <v>130.84</v>
      </c>
      <c r="K132" s="77">
        <v>102.72</v>
      </c>
      <c r="L132" s="77">
        <v>47233.24</v>
      </c>
      <c r="M132" s="77">
        <v>37081.92</v>
      </c>
      <c r="N132" s="77">
        <v>10151.32</v>
      </c>
      <c r="O132" s="78">
        <v>0.2149189850198716</v>
      </c>
    </row>
    <row r="133" ht="15.75" customHeight="1">
      <c r="B133" s="75" t="s">
        <v>161</v>
      </c>
      <c r="C133" s="75" t="s">
        <v>20</v>
      </c>
      <c r="D133" s="75" t="s">
        <v>29</v>
      </c>
      <c r="E133" s="75" t="s">
        <v>30</v>
      </c>
      <c r="F133" s="75" t="s">
        <v>17</v>
      </c>
      <c r="G133" s="75" t="s">
        <v>18</v>
      </c>
      <c r="H133" s="76">
        <v>45055.0</v>
      </c>
      <c r="I133" s="75">
        <v>493.0</v>
      </c>
      <c r="J133" s="77">
        <v>263.26</v>
      </c>
      <c r="K133" s="77">
        <v>312.91</v>
      </c>
      <c r="L133" s="77">
        <v>129787.18</v>
      </c>
      <c r="M133" s="77">
        <v>154264.63</v>
      </c>
      <c r="N133" s="77">
        <v>-24477.45000000001</v>
      </c>
      <c r="O133" s="78">
        <v>-0.18859682443212045</v>
      </c>
    </row>
    <row r="134" ht="15.75" customHeight="1">
      <c r="B134" s="75" t="s">
        <v>162</v>
      </c>
      <c r="C134" s="75" t="s">
        <v>20</v>
      </c>
      <c r="D134" s="75" t="s">
        <v>34</v>
      </c>
      <c r="E134" s="75" t="s">
        <v>22</v>
      </c>
      <c r="F134" s="75" t="s">
        <v>27</v>
      </c>
      <c r="G134" s="75" t="s">
        <v>18</v>
      </c>
      <c r="H134" s="76">
        <v>45056.0</v>
      </c>
      <c r="I134" s="75">
        <v>251.0</v>
      </c>
      <c r="J134" s="77">
        <v>174.61</v>
      </c>
      <c r="K134" s="77">
        <v>330.4</v>
      </c>
      <c r="L134" s="77">
        <v>43827.11</v>
      </c>
      <c r="M134" s="77">
        <v>82930.4</v>
      </c>
      <c r="N134" s="77">
        <v>-39103.28999999999</v>
      </c>
      <c r="O134" s="78">
        <v>-0.8922169406105033</v>
      </c>
    </row>
    <row r="135" ht="15.75" customHeight="1">
      <c r="B135" s="75" t="s">
        <v>163</v>
      </c>
      <c r="C135" s="75" t="s">
        <v>20</v>
      </c>
      <c r="D135" s="75" t="s">
        <v>21</v>
      </c>
      <c r="E135" s="75" t="s">
        <v>30</v>
      </c>
      <c r="F135" s="75" t="s">
        <v>27</v>
      </c>
      <c r="G135" s="75" t="s">
        <v>18</v>
      </c>
      <c r="H135" s="76">
        <v>45057.0</v>
      </c>
      <c r="I135" s="79">
        <v>255.9029411764706</v>
      </c>
      <c r="J135" s="77">
        <v>268.46</v>
      </c>
      <c r="K135" s="77">
        <v>199.19</v>
      </c>
      <c r="L135" s="77">
        <v>68699.7035882353</v>
      </c>
      <c r="M135" s="77">
        <v>50973.306852941176</v>
      </c>
      <c r="N135" s="77">
        <v>17726.396735294118</v>
      </c>
      <c r="O135" s="78">
        <v>0.25802726663190045</v>
      </c>
    </row>
    <row r="136" ht="15.75" customHeight="1">
      <c r="B136" s="75" t="s">
        <v>164</v>
      </c>
      <c r="C136" s="75" t="s">
        <v>25</v>
      </c>
      <c r="D136" s="75" t="s">
        <v>29</v>
      </c>
      <c r="E136" s="75" t="s">
        <v>30</v>
      </c>
      <c r="F136" s="75" t="s">
        <v>27</v>
      </c>
      <c r="G136" s="75" t="s">
        <v>18</v>
      </c>
      <c r="H136" s="76">
        <v>45058.0</v>
      </c>
      <c r="I136" s="75">
        <v>228.0</v>
      </c>
      <c r="J136" s="77">
        <v>67.24</v>
      </c>
      <c r="K136" s="77">
        <v>155.77</v>
      </c>
      <c r="L136" s="77">
        <v>15330.72</v>
      </c>
      <c r="M136" s="77">
        <v>35515.560000000005</v>
      </c>
      <c r="N136" s="77">
        <v>-20184.840000000004</v>
      </c>
      <c r="O136" s="78">
        <v>-1.3166270077334923</v>
      </c>
    </row>
    <row r="137" ht="15.75" customHeight="1">
      <c r="B137" s="75" t="s">
        <v>165</v>
      </c>
      <c r="C137" s="75" t="s">
        <v>25</v>
      </c>
      <c r="D137" s="75" t="s">
        <v>54</v>
      </c>
      <c r="E137" s="75" t="s">
        <v>30</v>
      </c>
      <c r="F137" s="75" t="s">
        <v>17</v>
      </c>
      <c r="G137" s="75" t="s">
        <v>18</v>
      </c>
      <c r="H137" s="76">
        <v>45059.0</v>
      </c>
      <c r="I137" s="75">
        <v>201.0</v>
      </c>
      <c r="J137" s="77">
        <v>70.69</v>
      </c>
      <c r="K137" s="77">
        <v>181.15</v>
      </c>
      <c r="L137" s="77">
        <v>14208.689999999999</v>
      </c>
      <c r="M137" s="77">
        <v>36411.15</v>
      </c>
      <c r="N137" s="77">
        <v>-22202.460000000003</v>
      </c>
      <c r="O137" s="78">
        <v>-1.5625972556231436</v>
      </c>
    </row>
    <row r="138" ht="15.75" customHeight="1">
      <c r="B138" s="75" t="s">
        <v>166</v>
      </c>
      <c r="C138" s="75" t="s">
        <v>25</v>
      </c>
      <c r="D138" s="75" t="s">
        <v>29</v>
      </c>
      <c r="E138" s="75" t="s">
        <v>26</v>
      </c>
      <c r="F138" s="75" t="s">
        <v>17</v>
      </c>
      <c r="G138" s="75" t="s">
        <v>18</v>
      </c>
      <c r="H138" s="76">
        <v>45060.0</v>
      </c>
      <c r="I138" s="75">
        <v>26.0</v>
      </c>
      <c r="J138" s="77">
        <v>76.05</v>
      </c>
      <c r="K138" s="77">
        <v>92.33</v>
      </c>
      <c r="L138" s="77">
        <v>1977.3</v>
      </c>
      <c r="M138" s="77">
        <v>2400.58</v>
      </c>
      <c r="N138" s="77">
        <v>-423.28</v>
      </c>
      <c r="O138" s="78">
        <v>-0.2140696909927679</v>
      </c>
    </row>
    <row r="139" ht="15.75" customHeight="1">
      <c r="B139" s="75" t="s">
        <v>167</v>
      </c>
      <c r="C139" s="75" t="s">
        <v>14</v>
      </c>
      <c r="D139" s="75" t="s">
        <v>29</v>
      </c>
      <c r="E139" s="75" t="s">
        <v>26</v>
      </c>
      <c r="F139" s="75" t="s">
        <v>17</v>
      </c>
      <c r="G139" s="75" t="s">
        <v>23</v>
      </c>
      <c r="H139" s="76">
        <v>45061.0</v>
      </c>
      <c r="I139" s="75">
        <v>21.0</v>
      </c>
      <c r="J139" s="77">
        <v>470.21</v>
      </c>
      <c r="K139" s="77">
        <v>355.98</v>
      </c>
      <c r="L139" s="77">
        <v>9874.41</v>
      </c>
      <c r="M139" s="77">
        <v>7475.58</v>
      </c>
      <c r="N139" s="77">
        <v>2398.83</v>
      </c>
      <c r="O139" s="78">
        <v>0.24293400820909805</v>
      </c>
    </row>
    <row r="140" ht="15.75" customHeight="1">
      <c r="B140" s="75" t="s">
        <v>168</v>
      </c>
      <c r="C140" s="75" t="s">
        <v>25</v>
      </c>
      <c r="D140" s="75" t="s">
        <v>21</v>
      </c>
      <c r="E140" s="75" t="s">
        <v>30</v>
      </c>
      <c r="F140" s="75" t="s">
        <v>27</v>
      </c>
      <c r="G140" s="75" t="s">
        <v>31</v>
      </c>
      <c r="H140" s="76">
        <v>45062.0</v>
      </c>
      <c r="I140" s="75">
        <v>415.0</v>
      </c>
      <c r="J140" s="77">
        <v>367.78</v>
      </c>
      <c r="K140" s="77">
        <v>181.35</v>
      </c>
      <c r="L140" s="77">
        <v>152628.69999999998</v>
      </c>
      <c r="M140" s="77">
        <v>75260.25</v>
      </c>
      <c r="N140" s="77">
        <v>77368.44999999998</v>
      </c>
      <c r="O140" s="78">
        <v>0.5069063026809505</v>
      </c>
    </row>
    <row r="141" ht="15.75" customHeight="1">
      <c r="B141" s="75" t="s">
        <v>169</v>
      </c>
      <c r="C141" s="75" t="s">
        <v>25</v>
      </c>
      <c r="D141" s="75" t="s">
        <v>15</v>
      </c>
      <c r="E141" s="75" t="s">
        <v>22</v>
      </c>
      <c r="F141" s="75" t="s">
        <v>27</v>
      </c>
      <c r="G141" s="75" t="s">
        <v>18</v>
      </c>
      <c r="H141" s="76">
        <v>45063.0</v>
      </c>
      <c r="I141" s="75">
        <v>410.0</v>
      </c>
      <c r="J141" s="77">
        <v>85.38</v>
      </c>
      <c r="K141" s="77">
        <v>353.22</v>
      </c>
      <c r="L141" s="77">
        <v>35005.799999999996</v>
      </c>
      <c r="M141" s="77">
        <v>144820.2</v>
      </c>
      <c r="N141" s="77">
        <v>-109814.40000000002</v>
      </c>
      <c r="O141" s="78">
        <v>-3.1370344342937466</v>
      </c>
    </row>
    <row r="142" ht="15.75" customHeight="1">
      <c r="B142" s="75" t="s">
        <v>170</v>
      </c>
      <c r="C142" s="75" t="s">
        <v>25</v>
      </c>
      <c r="D142" s="75" t="s">
        <v>29</v>
      </c>
      <c r="E142" s="75" t="s">
        <v>46</v>
      </c>
      <c r="F142" s="75" t="s">
        <v>17</v>
      </c>
      <c r="G142" s="75" t="s">
        <v>23</v>
      </c>
      <c r="H142" s="76">
        <v>45064.0</v>
      </c>
      <c r="I142" s="75">
        <v>403.0</v>
      </c>
      <c r="J142" s="77">
        <v>98.23</v>
      </c>
      <c r="K142" s="77">
        <v>44.07</v>
      </c>
      <c r="L142" s="77">
        <v>39586.69</v>
      </c>
      <c r="M142" s="77">
        <v>17760.21</v>
      </c>
      <c r="N142" s="77">
        <v>21826.480000000003</v>
      </c>
      <c r="O142" s="78">
        <v>0.5513590552784282</v>
      </c>
    </row>
    <row r="143" ht="15.75" customHeight="1">
      <c r="B143" s="75" t="s">
        <v>171</v>
      </c>
      <c r="C143" s="75" t="s">
        <v>14</v>
      </c>
      <c r="D143" s="75" t="s">
        <v>34</v>
      </c>
      <c r="E143" s="75" t="s">
        <v>22</v>
      </c>
      <c r="F143" s="75" t="s">
        <v>27</v>
      </c>
      <c r="G143" s="75" t="s">
        <v>23</v>
      </c>
      <c r="H143" s="76">
        <v>45065.0</v>
      </c>
      <c r="I143" s="75">
        <v>383.0</v>
      </c>
      <c r="J143" s="77">
        <v>366.76</v>
      </c>
      <c r="K143" s="77">
        <v>395.33</v>
      </c>
      <c r="L143" s="77">
        <v>140469.08</v>
      </c>
      <c r="M143" s="77">
        <v>151411.38999999998</v>
      </c>
      <c r="N143" s="77">
        <v>-10942.309999999998</v>
      </c>
      <c r="O143" s="78">
        <v>-0.0778983531464718</v>
      </c>
    </row>
    <row r="144" ht="15.75" customHeight="1">
      <c r="B144" s="75" t="s">
        <v>172</v>
      </c>
      <c r="C144" s="75" t="s">
        <v>25</v>
      </c>
      <c r="D144" s="75" t="s">
        <v>15</v>
      </c>
      <c r="E144" s="75" t="s">
        <v>16</v>
      </c>
      <c r="F144" s="75" t="s">
        <v>27</v>
      </c>
      <c r="G144" s="75" t="s">
        <v>23</v>
      </c>
      <c r="H144" s="76">
        <v>45066.0</v>
      </c>
      <c r="I144" s="75">
        <v>202.0</v>
      </c>
      <c r="J144" s="77">
        <v>82.3</v>
      </c>
      <c r="K144" s="77">
        <v>178.42</v>
      </c>
      <c r="L144" s="77">
        <v>16624.6</v>
      </c>
      <c r="M144" s="77">
        <v>36040.84</v>
      </c>
      <c r="N144" s="77">
        <v>-19416.239999999998</v>
      </c>
      <c r="O144" s="78">
        <v>-1.1679222357229648</v>
      </c>
    </row>
    <row r="145" ht="15.75" customHeight="1">
      <c r="B145" s="75" t="s">
        <v>173</v>
      </c>
      <c r="C145" s="75" t="s">
        <v>20</v>
      </c>
      <c r="D145" s="75" t="s">
        <v>54</v>
      </c>
      <c r="E145" s="75" t="s">
        <v>26</v>
      </c>
      <c r="F145" s="75" t="s">
        <v>27</v>
      </c>
      <c r="G145" s="75" t="s">
        <v>31</v>
      </c>
      <c r="H145" s="76">
        <v>45067.0</v>
      </c>
      <c r="I145" s="75">
        <v>31.0</v>
      </c>
      <c r="J145" s="77">
        <v>121.11</v>
      </c>
      <c r="K145" s="77">
        <v>21.04</v>
      </c>
      <c r="L145" s="77">
        <v>3754.41</v>
      </c>
      <c r="M145" s="77">
        <v>652.24</v>
      </c>
      <c r="N145" s="77">
        <v>3102.17</v>
      </c>
      <c r="O145" s="78">
        <v>0.8262736355379408</v>
      </c>
    </row>
    <row r="146" ht="15.75" customHeight="1">
      <c r="B146" s="75" t="s">
        <v>174</v>
      </c>
      <c r="C146" s="75" t="s">
        <v>25</v>
      </c>
      <c r="D146" s="75" t="s">
        <v>21</v>
      </c>
      <c r="E146" s="75" t="s">
        <v>46</v>
      </c>
      <c r="F146" s="75" t="s">
        <v>27</v>
      </c>
      <c r="G146" s="75" t="s">
        <v>18</v>
      </c>
      <c r="H146" s="76">
        <v>45068.0</v>
      </c>
      <c r="I146" s="75">
        <v>483.0</v>
      </c>
      <c r="J146" s="77">
        <v>481.86</v>
      </c>
      <c r="K146" s="77">
        <v>17.13</v>
      </c>
      <c r="L146" s="77">
        <v>232738.38</v>
      </c>
      <c r="M146" s="77">
        <v>8273.789999999999</v>
      </c>
      <c r="N146" s="77">
        <v>224464.59</v>
      </c>
      <c r="O146" s="78">
        <v>0.9644502552608641</v>
      </c>
    </row>
    <row r="147" ht="15.75" customHeight="1">
      <c r="B147" s="75" t="s">
        <v>175</v>
      </c>
      <c r="C147" s="75" t="s">
        <v>20</v>
      </c>
      <c r="D147" s="75" t="s">
        <v>54</v>
      </c>
      <c r="E147" s="75" t="s">
        <v>46</v>
      </c>
      <c r="F147" s="75" t="s">
        <v>27</v>
      </c>
      <c r="G147" s="75" t="s">
        <v>23</v>
      </c>
      <c r="H147" s="76">
        <v>45069.0</v>
      </c>
      <c r="I147" s="75">
        <v>129.0</v>
      </c>
      <c r="J147" s="77">
        <v>131.38</v>
      </c>
      <c r="K147" s="77">
        <v>298.99</v>
      </c>
      <c r="L147" s="77">
        <v>16948.02</v>
      </c>
      <c r="M147" s="77">
        <v>38569.71</v>
      </c>
      <c r="N147" s="77">
        <v>-21621.69</v>
      </c>
      <c r="O147" s="78">
        <v>-1.275764956614401</v>
      </c>
    </row>
    <row r="148" ht="15.75" customHeight="1">
      <c r="B148" s="75" t="s">
        <v>176</v>
      </c>
      <c r="C148" s="75" t="s">
        <v>20</v>
      </c>
      <c r="D148" s="75" t="s">
        <v>15</v>
      </c>
      <c r="E148" s="75" t="s">
        <v>16</v>
      </c>
      <c r="F148" s="75" t="s">
        <v>17</v>
      </c>
      <c r="G148" s="75" t="s">
        <v>31</v>
      </c>
      <c r="H148" s="76">
        <v>45070.0</v>
      </c>
      <c r="I148" s="75">
        <v>219.0</v>
      </c>
      <c r="J148" s="77">
        <v>332.51</v>
      </c>
      <c r="K148" s="77">
        <v>264.3</v>
      </c>
      <c r="L148" s="77">
        <v>72819.69</v>
      </c>
      <c r="M148" s="77">
        <v>57881.700000000004</v>
      </c>
      <c r="N148" s="77">
        <v>14937.989999999998</v>
      </c>
      <c r="O148" s="78">
        <v>0.20513668761841747</v>
      </c>
    </row>
    <row r="149" ht="15.75" customHeight="1">
      <c r="B149" s="75" t="s">
        <v>177</v>
      </c>
      <c r="C149" s="75" t="s">
        <v>20</v>
      </c>
      <c r="D149" s="75" t="s">
        <v>15</v>
      </c>
      <c r="E149" s="75" t="s">
        <v>16</v>
      </c>
      <c r="F149" s="75" t="s">
        <v>27</v>
      </c>
      <c r="G149" s="75" t="s">
        <v>31</v>
      </c>
      <c r="H149" s="76">
        <v>45071.0</v>
      </c>
      <c r="I149" s="75">
        <v>315.0</v>
      </c>
      <c r="J149" s="77">
        <v>489.42</v>
      </c>
      <c r="K149" s="77">
        <v>321.25</v>
      </c>
      <c r="L149" s="77">
        <v>154167.30000000002</v>
      </c>
      <c r="M149" s="77">
        <v>101193.75</v>
      </c>
      <c r="N149" s="77">
        <v>52973.55000000002</v>
      </c>
      <c r="O149" s="78">
        <v>0.3436108046258838</v>
      </c>
    </row>
    <row r="150" ht="15.75" customHeight="1">
      <c r="B150" s="75" t="s">
        <v>178</v>
      </c>
      <c r="C150" s="75" t="s">
        <v>14</v>
      </c>
      <c r="D150" s="75" t="s">
        <v>15</v>
      </c>
      <c r="E150" s="75" t="s">
        <v>30</v>
      </c>
      <c r="F150" s="75" t="s">
        <v>17</v>
      </c>
      <c r="G150" s="75" t="s">
        <v>31</v>
      </c>
      <c r="H150" s="76">
        <v>45072.0</v>
      </c>
      <c r="I150" s="75">
        <v>279.0</v>
      </c>
      <c r="J150" s="77">
        <v>190.28</v>
      </c>
      <c r="K150" s="77">
        <v>43.94</v>
      </c>
      <c r="L150" s="77">
        <v>53088.12</v>
      </c>
      <c r="M150" s="77">
        <v>12259.26</v>
      </c>
      <c r="N150" s="77">
        <v>40828.86</v>
      </c>
      <c r="O150" s="78">
        <v>0.7690771494639478</v>
      </c>
    </row>
    <row r="151" ht="15.75" customHeight="1">
      <c r="B151" s="75" t="s">
        <v>179</v>
      </c>
      <c r="C151" s="75" t="s">
        <v>14</v>
      </c>
      <c r="D151" s="75" t="s">
        <v>54</v>
      </c>
      <c r="E151" s="75" t="s">
        <v>26</v>
      </c>
      <c r="F151" s="75" t="s">
        <v>27</v>
      </c>
      <c r="G151" s="75" t="s">
        <v>23</v>
      </c>
      <c r="H151" s="76">
        <v>45073.0</v>
      </c>
      <c r="I151" s="75">
        <v>201.0</v>
      </c>
      <c r="J151" s="77">
        <v>13.67</v>
      </c>
      <c r="K151" s="77">
        <v>16.16</v>
      </c>
      <c r="L151" s="77">
        <v>2747.67</v>
      </c>
      <c r="M151" s="77">
        <v>3248.16</v>
      </c>
      <c r="N151" s="77">
        <v>-500.4899999999998</v>
      </c>
      <c r="O151" s="78">
        <v>-0.18215069495245054</v>
      </c>
    </row>
    <row r="152" ht="15.75" customHeight="1">
      <c r="B152" s="75" t="s">
        <v>180</v>
      </c>
      <c r="C152" s="75" t="s">
        <v>14</v>
      </c>
      <c r="D152" s="75" t="s">
        <v>15</v>
      </c>
      <c r="E152" s="75" t="s">
        <v>26</v>
      </c>
      <c r="F152" s="75" t="s">
        <v>17</v>
      </c>
      <c r="G152" s="75" t="s">
        <v>18</v>
      </c>
      <c r="H152" s="76">
        <v>45074.0</v>
      </c>
      <c r="I152" s="75">
        <v>184.0</v>
      </c>
      <c r="J152" s="77">
        <v>125.85</v>
      </c>
      <c r="K152" s="77">
        <v>204.41</v>
      </c>
      <c r="L152" s="77">
        <v>23156.399999999998</v>
      </c>
      <c r="M152" s="77">
        <v>37611.44</v>
      </c>
      <c r="N152" s="77">
        <v>-14455.040000000005</v>
      </c>
      <c r="O152" s="78">
        <v>-0.6242352006356776</v>
      </c>
    </row>
    <row r="153" ht="15.75" customHeight="1">
      <c r="B153" s="75" t="s">
        <v>181</v>
      </c>
      <c r="C153" s="75" t="s">
        <v>25</v>
      </c>
      <c r="D153" s="75" t="s">
        <v>54</v>
      </c>
      <c r="E153" s="75" t="s">
        <v>22</v>
      </c>
      <c r="F153" s="75" t="s">
        <v>27</v>
      </c>
      <c r="G153" s="75" t="s">
        <v>23</v>
      </c>
      <c r="H153" s="76">
        <v>45075.0</v>
      </c>
      <c r="I153" s="75">
        <v>294.0</v>
      </c>
      <c r="J153" s="77">
        <v>416.28</v>
      </c>
      <c r="K153" s="77">
        <v>156.26</v>
      </c>
      <c r="L153" s="77">
        <v>122386.31999999999</v>
      </c>
      <c r="M153" s="77">
        <v>45940.439999999995</v>
      </c>
      <c r="N153" s="77">
        <v>76445.88</v>
      </c>
      <c r="O153" s="78">
        <v>0.624627654463342</v>
      </c>
    </row>
    <row r="154" ht="15.75" customHeight="1">
      <c r="B154" s="75" t="s">
        <v>182</v>
      </c>
      <c r="C154" s="75" t="s">
        <v>20</v>
      </c>
      <c r="D154" s="75" t="s">
        <v>15</v>
      </c>
      <c r="E154" s="75" t="s">
        <v>30</v>
      </c>
      <c r="F154" s="75" t="s">
        <v>17</v>
      </c>
      <c r="G154" s="75" t="s">
        <v>23</v>
      </c>
      <c r="H154" s="76">
        <v>45076.0</v>
      </c>
      <c r="I154" s="75">
        <v>213.0</v>
      </c>
      <c r="J154" s="77">
        <v>432.98</v>
      </c>
      <c r="K154" s="77">
        <v>185.85</v>
      </c>
      <c r="L154" s="77">
        <v>92224.74</v>
      </c>
      <c r="M154" s="77">
        <v>39586.049999999996</v>
      </c>
      <c r="N154" s="77">
        <v>52638.69000000001</v>
      </c>
      <c r="O154" s="78">
        <v>0.5707653933207077</v>
      </c>
    </row>
    <row r="155" ht="15.75" customHeight="1">
      <c r="B155" s="75" t="s">
        <v>183</v>
      </c>
      <c r="C155" s="75" t="s">
        <v>14</v>
      </c>
      <c r="D155" s="75" t="s">
        <v>34</v>
      </c>
      <c r="E155" s="75" t="s">
        <v>30</v>
      </c>
      <c r="F155" s="75" t="s">
        <v>27</v>
      </c>
      <c r="G155" s="75" t="s">
        <v>18</v>
      </c>
      <c r="H155" s="76">
        <v>45077.0</v>
      </c>
      <c r="I155" s="75">
        <v>173.0</v>
      </c>
      <c r="J155" s="77">
        <v>385.42</v>
      </c>
      <c r="K155" s="77">
        <v>396.65</v>
      </c>
      <c r="L155" s="77">
        <v>66677.66</v>
      </c>
      <c r="M155" s="77">
        <v>68620.45</v>
      </c>
      <c r="N155" s="77">
        <v>-1942.7899999999936</v>
      </c>
      <c r="O155" s="78">
        <v>-0.02913704530122973</v>
      </c>
    </row>
    <row r="156" ht="15.75" customHeight="1">
      <c r="B156" s="75" t="s">
        <v>184</v>
      </c>
      <c r="C156" s="75" t="s">
        <v>14</v>
      </c>
      <c r="D156" s="75" t="s">
        <v>15</v>
      </c>
      <c r="E156" s="75" t="s">
        <v>30</v>
      </c>
      <c r="F156" s="75" t="s">
        <v>17</v>
      </c>
      <c r="G156" s="75" t="s">
        <v>18</v>
      </c>
      <c r="H156" s="76">
        <v>45078.0</v>
      </c>
      <c r="I156" s="75">
        <v>260.0</v>
      </c>
      <c r="J156" s="77">
        <v>60.99</v>
      </c>
      <c r="K156" s="77">
        <v>388.36</v>
      </c>
      <c r="L156" s="77">
        <v>15857.4</v>
      </c>
      <c r="M156" s="77">
        <v>100973.6</v>
      </c>
      <c r="N156" s="77">
        <v>-85116.20000000001</v>
      </c>
      <c r="O156" s="78">
        <v>-5.36760124610592</v>
      </c>
    </row>
    <row r="157" ht="15.75" customHeight="1">
      <c r="B157" s="75" t="s">
        <v>185</v>
      </c>
      <c r="C157" s="75" t="s">
        <v>25</v>
      </c>
      <c r="D157" s="75" t="s">
        <v>54</v>
      </c>
      <c r="E157" s="75" t="s">
        <v>30</v>
      </c>
      <c r="F157" s="75" t="s">
        <v>27</v>
      </c>
      <c r="G157" s="75" t="s">
        <v>18</v>
      </c>
      <c r="H157" s="76">
        <v>45079.0</v>
      </c>
      <c r="I157" s="75">
        <v>236.0</v>
      </c>
      <c r="J157" s="77">
        <v>398.78</v>
      </c>
      <c r="K157" s="77">
        <v>377.04</v>
      </c>
      <c r="L157" s="77">
        <v>94112.07999999999</v>
      </c>
      <c r="M157" s="77">
        <v>88981.44</v>
      </c>
      <c r="N157" s="77">
        <v>5130.639999999985</v>
      </c>
      <c r="O157" s="78">
        <v>0.05451627463764466</v>
      </c>
    </row>
    <row r="158" ht="15.75" customHeight="1">
      <c r="B158" s="75" t="s">
        <v>186</v>
      </c>
      <c r="C158" s="75" t="s">
        <v>14</v>
      </c>
      <c r="D158" s="75" t="s">
        <v>29</v>
      </c>
      <c r="E158" s="75" t="s">
        <v>26</v>
      </c>
      <c r="F158" s="75" t="s">
        <v>17</v>
      </c>
      <c r="G158" s="75" t="s">
        <v>31</v>
      </c>
      <c r="H158" s="76">
        <v>45080.0</v>
      </c>
      <c r="I158" s="75">
        <v>445.0</v>
      </c>
      <c r="J158" s="77">
        <v>459.75</v>
      </c>
      <c r="K158" s="77">
        <v>313.97</v>
      </c>
      <c r="L158" s="77">
        <v>204588.75</v>
      </c>
      <c r="M158" s="77">
        <v>139716.65000000002</v>
      </c>
      <c r="N158" s="77">
        <v>64872.09999999998</v>
      </c>
      <c r="O158" s="78">
        <v>0.3170853724850461</v>
      </c>
    </row>
    <row r="159" ht="15.75" customHeight="1">
      <c r="B159" s="75" t="s">
        <v>187</v>
      </c>
      <c r="C159" s="75" t="s">
        <v>25</v>
      </c>
      <c r="D159" s="75" t="s">
        <v>15</v>
      </c>
      <c r="E159" s="75" t="s">
        <v>26</v>
      </c>
      <c r="F159" s="75" t="s">
        <v>27</v>
      </c>
      <c r="G159" s="75" t="s">
        <v>18</v>
      </c>
      <c r="H159" s="76">
        <v>45081.0</v>
      </c>
      <c r="I159" s="75">
        <v>390.0</v>
      </c>
      <c r="J159" s="77">
        <v>302.3</v>
      </c>
      <c r="K159" s="77">
        <v>143.23</v>
      </c>
      <c r="L159" s="77">
        <v>117897.0</v>
      </c>
      <c r="M159" s="77">
        <v>55859.7</v>
      </c>
      <c r="N159" s="77">
        <v>62037.3</v>
      </c>
      <c r="O159" s="78">
        <v>0.5261991399272247</v>
      </c>
    </row>
    <row r="160" ht="15.75" customHeight="1">
      <c r="B160" s="75" t="s">
        <v>188</v>
      </c>
      <c r="C160" s="75" t="s">
        <v>52</v>
      </c>
      <c r="D160" s="75" t="s">
        <v>29</v>
      </c>
      <c r="E160" s="75" t="s">
        <v>30</v>
      </c>
      <c r="F160" s="75" t="s">
        <v>17</v>
      </c>
      <c r="G160" s="75" t="s">
        <v>23</v>
      </c>
      <c r="H160" s="76">
        <v>45082.0</v>
      </c>
      <c r="I160" s="75">
        <v>469.0</v>
      </c>
      <c r="J160" s="77">
        <v>470.73</v>
      </c>
      <c r="K160" s="77">
        <v>166.03</v>
      </c>
      <c r="L160" s="77">
        <v>220772.37</v>
      </c>
      <c r="M160" s="77">
        <v>77868.07</v>
      </c>
      <c r="N160" s="77">
        <v>142904.3</v>
      </c>
      <c r="O160" s="78">
        <v>0.647292503133431</v>
      </c>
    </row>
    <row r="161" ht="15.75" customHeight="1">
      <c r="B161" s="75" t="s">
        <v>189</v>
      </c>
      <c r="C161" s="75" t="s">
        <v>14</v>
      </c>
      <c r="D161" s="75" t="s">
        <v>34</v>
      </c>
      <c r="E161" s="75" t="s">
        <v>22</v>
      </c>
      <c r="F161" s="75" t="s">
        <v>17</v>
      </c>
      <c r="G161" s="75" t="s">
        <v>18</v>
      </c>
      <c r="H161" s="76">
        <v>45083.0</v>
      </c>
      <c r="I161" s="75">
        <v>16.0</v>
      </c>
      <c r="J161" s="77">
        <v>249.64520588235297</v>
      </c>
      <c r="K161" s="77">
        <v>220.75</v>
      </c>
      <c r="L161" s="77">
        <v>3994.3232941176475</v>
      </c>
      <c r="M161" s="77">
        <v>3532.0</v>
      </c>
      <c r="N161" s="77">
        <v>462.3232941176475</v>
      </c>
      <c r="O161" s="78">
        <v>0.11574508623237906</v>
      </c>
    </row>
    <row r="162" ht="15.75" customHeight="1">
      <c r="B162" s="75" t="s">
        <v>190</v>
      </c>
      <c r="C162" s="75" t="s">
        <v>52</v>
      </c>
      <c r="D162" s="75" t="s">
        <v>21</v>
      </c>
      <c r="E162" s="75" t="s">
        <v>46</v>
      </c>
      <c r="F162" s="75" t="s">
        <v>27</v>
      </c>
      <c r="G162" s="75" t="s">
        <v>23</v>
      </c>
      <c r="H162" s="76">
        <v>45084.0</v>
      </c>
      <c r="I162" s="75">
        <v>38.0</v>
      </c>
      <c r="J162" s="77">
        <v>335.15</v>
      </c>
      <c r="K162" s="77">
        <v>332.55</v>
      </c>
      <c r="L162" s="77">
        <v>12735.699999999999</v>
      </c>
      <c r="M162" s="77">
        <v>12636.9</v>
      </c>
      <c r="N162" s="77">
        <v>98.79999999999927</v>
      </c>
      <c r="O162" s="78">
        <v>0.007757720423690828</v>
      </c>
    </row>
    <row r="163" ht="15.75" customHeight="1">
      <c r="B163" s="75" t="s">
        <v>191</v>
      </c>
      <c r="C163" s="75" t="s">
        <v>25</v>
      </c>
      <c r="D163" s="75" t="s">
        <v>34</v>
      </c>
      <c r="E163" s="75" t="s">
        <v>39</v>
      </c>
      <c r="F163" s="75" t="s">
        <v>27</v>
      </c>
      <c r="G163" s="75" t="s">
        <v>31</v>
      </c>
      <c r="H163" s="76">
        <v>45085.0</v>
      </c>
      <c r="I163" s="75">
        <v>404.0</v>
      </c>
      <c r="J163" s="77">
        <v>290.71</v>
      </c>
      <c r="K163" s="77">
        <v>29.35</v>
      </c>
      <c r="L163" s="77">
        <v>117446.84</v>
      </c>
      <c r="M163" s="77">
        <v>11857.400000000001</v>
      </c>
      <c r="N163" s="77">
        <v>105589.44</v>
      </c>
      <c r="O163" s="78">
        <v>0.8990402806920987</v>
      </c>
    </row>
    <row r="164" ht="15.75" customHeight="1">
      <c r="B164" s="75" t="s">
        <v>192</v>
      </c>
      <c r="C164" s="75" t="s">
        <v>20</v>
      </c>
      <c r="D164" s="75" t="s">
        <v>15</v>
      </c>
      <c r="E164" s="75" t="s">
        <v>22</v>
      </c>
      <c r="F164" s="75" t="s">
        <v>17</v>
      </c>
      <c r="G164" s="75" t="s">
        <v>23</v>
      </c>
      <c r="H164" s="76">
        <v>45086.0</v>
      </c>
      <c r="I164" s="75">
        <v>42.0</v>
      </c>
      <c r="J164" s="77">
        <v>177.54</v>
      </c>
      <c r="K164" s="77">
        <v>170.87</v>
      </c>
      <c r="L164" s="77">
        <v>7456.679999999999</v>
      </c>
      <c r="M164" s="77">
        <v>7176.54</v>
      </c>
      <c r="N164" s="77">
        <v>280.1399999999994</v>
      </c>
      <c r="O164" s="78">
        <v>0.037568998535541215</v>
      </c>
    </row>
    <row r="165" ht="15.75" customHeight="1">
      <c r="B165" s="75" t="s">
        <v>193</v>
      </c>
      <c r="C165" s="75" t="s">
        <v>14</v>
      </c>
      <c r="D165" s="75" t="s">
        <v>29</v>
      </c>
      <c r="E165" s="75" t="s">
        <v>30</v>
      </c>
      <c r="F165" s="75" t="s">
        <v>27</v>
      </c>
      <c r="G165" s="75" t="s">
        <v>23</v>
      </c>
      <c r="H165" s="76">
        <v>45087.0</v>
      </c>
      <c r="I165" s="75">
        <v>143.0</v>
      </c>
      <c r="J165" s="77">
        <v>83.85</v>
      </c>
      <c r="K165" s="77">
        <v>34.88</v>
      </c>
      <c r="L165" s="77">
        <v>11990.55</v>
      </c>
      <c r="M165" s="77">
        <v>4987.84</v>
      </c>
      <c r="N165" s="77">
        <v>7002.709999999999</v>
      </c>
      <c r="O165" s="78">
        <v>0.5840190816935003</v>
      </c>
    </row>
    <row r="166" ht="15.75" customHeight="1">
      <c r="B166" s="75" t="s">
        <v>194</v>
      </c>
      <c r="C166" s="75" t="s">
        <v>25</v>
      </c>
      <c r="D166" s="75" t="s">
        <v>29</v>
      </c>
      <c r="E166" s="75" t="s">
        <v>26</v>
      </c>
      <c r="F166" s="75" t="s">
        <v>17</v>
      </c>
      <c r="G166" s="75" t="s">
        <v>18</v>
      </c>
      <c r="H166" s="76">
        <v>45088.0</v>
      </c>
      <c r="I166" s="75">
        <v>376.0</v>
      </c>
      <c r="J166" s="77">
        <v>304.45</v>
      </c>
      <c r="K166" s="77">
        <v>206.83</v>
      </c>
      <c r="L166" s="77">
        <v>114473.2</v>
      </c>
      <c r="M166" s="77">
        <v>77768.08</v>
      </c>
      <c r="N166" s="77">
        <v>36705.119999999995</v>
      </c>
      <c r="O166" s="78">
        <v>0.32064378387255704</v>
      </c>
    </row>
    <row r="167" ht="15.75" customHeight="1">
      <c r="B167" s="75" t="s">
        <v>195</v>
      </c>
      <c r="C167" s="75" t="s">
        <v>20</v>
      </c>
      <c r="D167" s="75" t="s">
        <v>54</v>
      </c>
      <c r="E167" s="75" t="s">
        <v>46</v>
      </c>
      <c r="F167" s="75" t="s">
        <v>17</v>
      </c>
      <c r="G167" s="75" t="s">
        <v>18</v>
      </c>
      <c r="H167" s="76">
        <v>45089.0</v>
      </c>
      <c r="I167" s="75">
        <v>88.0</v>
      </c>
      <c r="J167" s="77">
        <v>162.47</v>
      </c>
      <c r="K167" s="77">
        <v>359.76</v>
      </c>
      <c r="L167" s="77">
        <v>14297.36</v>
      </c>
      <c r="M167" s="77">
        <v>31658.879999999997</v>
      </c>
      <c r="N167" s="77">
        <v>-17361.519999999997</v>
      </c>
      <c r="O167" s="78">
        <v>-1.2143164891980056</v>
      </c>
    </row>
    <row r="168" ht="15.75" customHeight="1">
      <c r="B168" s="75" t="s">
        <v>196</v>
      </c>
      <c r="C168" s="75" t="s">
        <v>20</v>
      </c>
      <c r="D168" s="75" t="s">
        <v>29</v>
      </c>
      <c r="E168" s="75" t="s">
        <v>16</v>
      </c>
      <c r="F168" s="75" t="s">
        <v>17</v>
      </c>
      <c r="G168" s="75" t="s">
        <v>23</v>
      </c>
      <c r="H168" s="76">
        <v>45090.0</v>
      </c>
      <c r="I168" s="75">
        <v>425.0</v>
      </c>
      <c r="J168" s="77">
        <v>433.89</v>
      </c>
      <c r="K168" s="77">
        <v>313.43</v>
      </c>
      <c r="L168" s="77">
        <v>184403.25</v>
      </c>
      <c r="M168" s="77">
        <v>133207.75</v>
      </c>
      <c r="N168" s="77">
        <v>51195.5</v>
      </c>
      <c r="O168" s="78">
        <v>0.27762797022286756</v>
      </c>
    </row>
    <row r="169" ht="15.75" customHeight="1">
      <c r="B169" s="75" t="s">
        <v>197</v>
      </c>
      <c r="C169" s="75" t="s">
        <v>52</v>
      </c>
      <c r="D169" s="75" t="s">
        <v>54</v>
      </c>
      <c r="E169" s="75" t="s">
        <v>16</v>
      </c>
      <c r="F169" s="75" t="s">
        <v>27</v>
      </c>
      <c r="G169" s="75" t="s">
        <v>18</v>
      </c>
      <c r="H169" s="76">
        <v>45091.0</v>
      </c>
      <c r="I169" s="75">
        <v>444.0</v>
      </c>
      <c r="J169" s="77">
        <v>496.7</v>
      </c>
      <c r="K169" s="77">
        <v>92.68</v>
      </c>
      <c r="L169" s="77">
        <v>220534.8</v>
      </c>
      <c r="M169" s="77">
        <v>41149.920000000006</v>
      </c>
      <c r="N169" s="77">
        <v>179384.87999999998</v>
      </c>
      <c r="O169" s="78">
        <v>0.8134084960740889</v>
      </c>
    </row>
    <row r="170" ht="15.75" customHeight="1">
      <c r="B170" s="75" t="s">
        <v>198</v>
      </c>
      <c r="C170" s="75" t="s">
        <v>25</v>
      </c>
      <c r="D170" s="75" t="s">
        <v>21</v>
      </c>
      <c r="E170" s="75" t="s">
        <v>22</v>
      </c>
      <c r="F170" s="75" t="s">
        <v>17</v>
      </c>
      <c r="G170" s="75" t="s">
        <v>31</v>
      </c>
      <c r="H170" s="76">
        <v>45092.0</v>
      </c>
      <c r="I170" s="75">
        <v>468.0</v>
      </c>
      <c r="J170" s="77">
        <v>377.45</v>
      </c>
      <c r="K170" s="77">
        <v>390.44</v>
      </c>
      <c r="L170" s="77">
        <v>176646.6</v>
      </c>
      <c r="M170" s="77">
        <v>182725.92</v>
      </c>
      <c r="N170" s="77">
        <v>-6079.320000000007</v>
      </c>
      <c r="O170" s="78">
        <v>-0.034415154325076205</v>
      </c>
    </row>
    <row r="171" ht="15.75" customHeight="1">
      <c r="B171" s="75" t="s">
        <v>199</v>
      </c>
      <c r="C171" s="75" t="s">
        <v>20</v>
      </c>
      <c r="D171" s="75" t="s">
        <v>15</v>
      </c>
      <c r="E171" s="75" t="s">
        <v>30</v>
      </c>
      <c r="F171" s="75" t="s">
        <v>17</v>
      </c>
      <c r="G171" s="75" t="s">
        <v>31</v>
      </c>
      <c r="H171" s="76">
        <v>45093.0</v>
      </c>
      <c r="I171" s="75">
        <v>67.0</v>
      </c>
      <c r="J171" s="77">
        <v>49.79</v>
      </c>
      <c r="K171" s="77">
        <v>267.61</v>
      </c>
      <c r="L171" s="77">
        <v>3335.93</v>
      </c>
      <c r="M171" s="77">
        <v>17929.870000000003</v>
      </c>
      <c r="N171" s="77">
        <v>-14593.940000000002</v>
      </c>
      <c r="O171" s="78">
        <v>-4.374774051014261</v>
      </c>
    </row>
    <row r="172" ht="15.75" customHeight="1">
      <c r="B172" s="75" t="s">
        <v>200</v>
      </c>
      <c r="C172" s="75" t="s">
        <v>14</v>
      </c>
      <c r="D172" s="75" t="s">
        <v>54</v>
      </c>
      <c r="E172" s="75" t="s">
        <v>46</v>
      </c>
      <c r="F172" s="75" t="s">
        <v>27</v>
      </c>
      <c r="G172" s="75" t="s">
        <v>18</v>
      </c>
      <c r="H172" s="76">
        <v>45094.0</v>
      </c>
      <c r="I172" s="75">
        <v>480.0</v>
      </c>
      <c r="J172" s="77">
        <v>147.9</v>
      </c>
      <c r="K172" s="77">
        <v>6.15</v>
      </c>
      <c r="L172" s="77">
        <v>70992.0</v>
      </c>
      <c r="M172" s="77">
        <v>2952.0</v>
      </c>
      <c r="N172" s="77">
        <v>68040.0</v>
      </c>
      <c r="O172" s="78">
        <v>0.9584178498985801</v>
      </c>
    </row>
    <row r="173" ht="15.75" customHeight="1">
      <c r="B173" s="75" t="s">
        <v>201</v>
      </c>
      <c r="C173" s="75" t="s">
        <v>14</v>
      </c>
      <c r="D173" s="75" t="s">
        <v>21</v>
      </c>
      <c r="E173" s="75" t="s">
        <v>30</v>
      </c>
      <c r="F173" s="75" t="s">
        <v>27</v>
      </c>
      <c r="G173" s="75" t="s">
        <v>31</v>
      </c>
      <c r="H173" s="76">
        <v>45095.0</v>
      </c>
      <c r="I173" s="75">
        <v>35.0</v>
      </c>
      <c r="J173" s="77">
        <v>59.01</v>
      </c>
      <c r="K173" s="77">
        <v>103.65</v>
      </c>
      <c r="L173" s="77">
        <v>2065.35</v>
      </c>
      <c r="M173" s="77">
        <v>3627.75</v>
      </c>
      <c r="N173" s="77">
        <v>-1562.4</v>
      </c>
      <c r="O173" s="78">
        <v>-0.7564819522114896</v>
      </c>
    </row>
    <row r="174" ht="15.75" customHeight="1">
      <c r="B174" s="75" t="s">
        <v>202</v>
      </c>
      <c r="C174" s="75" t="s">
        <v>52</v>
      </c>
      <c r="D174" s="75" t="s">
        <v>29</v>
      </c>
      <c r="E174" s="75" t="s">
        <v>46</v>
      </c>
      <c r="F174" s="75" t="s">
        <v>27</v>
      </c>
      <c r="G174" s="75" t="s">
        <v>18</v>
      </c>
      <c r="H174" s="76">
        <v>45096.0</v>
      </c>
      <c r="I174" s="75">
        <v>491.0</v>
      </c>
      <c r="J174" s="77">
        <v>327.0</v>
      </c>
      <c r="K174" s="77">
        <v>105.76</v>
      </c>
      <c r="L174" s="77">
        <v>160557.0</v>
      </c>
      <c r="M174" s="77">
        <v>51928.16</v>
      </c>
      <c r="N174" s="77">
        <v>108628.84</v>
      </c>
      <c r="O174" s="78">
        <v>0.6765749235474006</v>
      </c>
    </row>
    <row r="175" ht="15.75" customHeight="1">
      <c r="B175" s="75" t="s">
        <v>203</v>
      </c>
      <c r="C175" s="75" t="s">
        <v>20</v>
      </c>
      <c r="D175" s="75" t="s">
        <v>29</v>
      </c>
      <c r="E175" s="75" t="s">
        <v>22</v>
      </c>
      <c r="F175" s="75" t="s">
        <v>27</v>
      </c>
      <c r="G175" s="75" t="s">
        <v>23</v>
      </c>
      <c r="H175" s="76">
        <v>45097.0</v>
      </c>
      <c r="I175" s="75">
        <v>439.0</v>
      </c>
      <c r="J175" s="77">
        <v>383.77</v>
      </c>
      <c r="K175" s="77">
        <v>29.56</v>
      </c>
      <c r="L175" s="77">
        <v>168475.03</v>
      </c>
      <c r="M175" s="77">
        <v>12976.84</v>
      </c>
      <c r="N175" s="77">
        <v>155498.19</v>
      </c>
      <c r="O175" s="78">
        <v>0.9229746983870548</v>
      </c>
    </row>
    <row r="176" ht="15.75" customHeight="1">
      <c r="B176" s="75" t="s">
        <v>204</v>
      </c>
      <c r="C176" s="75" t="s">
        <v>25</v>
      </c>
      <c r="D176" s="75" t="s">
        <v>21</v>
      </c>
      <c r="E176" s="75" t="s">
        <v>22</v>
      </c>
      <c r="F176" s="75" t="s">
        <v>17</v>
      </c>
      <c r="G176" s="75" t="s">
        <v>23</v>
      </c>
      <c r="H176" s="76">
        <v>45098.0</v>
      </c>
      <c r="I176" s="75">
        <v>235.0</v>
      </c>
      <c r="J176" s="77">
        <v>463.21</v>
      </c>
      <c r="K176" s="77">
        <v>384.01</v>
      </c>
      <c r="L176" s="77">
        <v>108854.34999999999</v>
      </c>
      <c r="M176" s="77">
        <v>90242.34999999999</v>
      </c>
      <c r="N176" s="77">
        <v>18612.0</v>
      </c>
      <c r="O176" s="78">
        <v>0.17098076466397533</v>
      </c>
    </row>
    <row r="177" ht="15.75" customHeight="1">
      <c r="B177" s="75" t="s">
        <v>205</v>
      </c>
      <c r="C177" s="75" t="s">
        <v>14</v>
      </c>
      <c r="D177" s="75" t="s">
        <v>29</v>
      </c>
      <c r="E177" s="75" t="s">
        <v>16</v>
      </c>
      <c r="F177" s="75" t="s">
        <v>17</v>
      </c>
      <c r="G177" s="75" t="s">
        <v>31</v>
      </c>
      <c r="H177" s="76">
        <v>45099.0</v>
      </c>
      <c r="I177" s="75">
        <v>294.0</v>
      </c>
      <c r="J177" s="77">
        <v>221.9</v>
      </c>
      <c r="K177" s="77">
        <v>192.35</v>
      </c>
      <c r="L177" s="77">
        <v>65238.6</v>
      </c>
      <c r="M177" s="77">
        <v>56550.9</v>
      </c>
      <c r="N177" s="77">
        <v>8687.699999999997</v>
      </c>
      <c r="O177" s="78">
        <v>0.13316809373591704</v>
      </c>
    </row>
    <row r="178" ht="15.75" customHeight="1">
      <c r="B178" s="75" t="s">
        <v>206</v>
      </c>
      <c r="C178" s="75" t="s">
        <v>20</v>
      </c>
      <c r="D178" s="75" t="s">
        <v>21</v>
      </c>
      <c r="E178" s="75" t="s">
        <v>30</v>
      </c>
      <c r="F178" s="75" t="s">
        <v>17</v>
      </c>
      <c r="G178" s="75" t="s">
        <v>18</v>
      </c>
      <c r="H178" s="76">
        <v>45100.0</v>
      </c>
      <c r="I178" s="75">
        <v>13.0</v>
      </c>
      <c r="J178" s="77">
        <v>451.18</v>
      </c>
      <c r="K178" s="77">
        <v>358.53</v>
      </c>
      <c r="L178" s="77">
        <v>5865.34</v>
      </c>
      <c r="M178" s="77">
        <v>4660.889999999999</v>
      </c>
      <c r="N178" s="77">
        <v>1204.4500000000007</v>
      </c>
      <c r="O178" s="78">
        <v>0.20535041446872657</v>
      </c>
    </row>
    <row r="179" ht="15.75" customHeight="1">
      <c r="B179" s="75" t="s">
        <v>207</v>
      </c>
      <c r="C179" s="75" t="s">
        <v>20</v>
      </c>
      <c r="D179" s="75" t="s">
        <v>54</v>
      </c>
      <c r="E179" s="75" t="s">
        <v>16</v>
      </c>
      <c r="F179" s="75" t="s">
        <v>17</v>
      </c>
      <c r="G179" s="75" t="s">
        <v>18</v>
      </c>
      <c r="H179" s="76">
        <v>45101.0</v>
      </c>
      <c r="I179" s="75">
        <v>474.0</v>
      </c>
      <c r="J179" s="77">
        <v>439.56</v>
      </c>
      <c r="K179" s="77">
        <v>130.24</v>
      </c>
      <c r="L179" s="77">
        <v>208351.44</v>
      </c>
      <c r="M179" s="77">
        <v>61733.76</v>
      </c>
      <c r="N179" s="77">
        <v>146617.68</v>
      </c>
      <c r="O179" s="78">
        <v>0.7037037037037036</v>
      </c>
    </row>
    <row r="180" ht="15.75" customHeight="1">
      <c r="B180" s="75" t="s">
        <v>208</v>
      </c>
      <c r="C180" s="75" t="s">
        <v>52</v>
      </c>
      <c r="D180" s="75" t="s">
        <v>54</v>
      </c>
      <c r="E180" s="75" t="s">
        <v>30</v>
      </c>
      <c r="F180" s="75" t="s">
        <v>27</v>
      </c>
      <c r="G180" s="75" t="s">
        <v>31</v>
      </c>
      <c r="H180" s="76">
        <v>45102.0</v>
      </c>
      <c r="I180" s="75">
        <v>108.0</v>
      </c>
      <c r="J180" s="77">
        <v>162.01</v>
      </c>
      <c r="K180" s="77">
        <v>51.84</v>
      </c>
      <c r="L180" s="77">
        <v>17497.079999999998</v>
      </c>
      <c r="M180" s="77">
        <v>5598.72</v>
      </c>
      <c r="N180" s="77">
        <v>11898.359999999997</v>
      </c>
      <c r="O180" s="78">
        <v>0.6800197518671686</v>
      </c>
    </row>
    <row r="181" ht="15.75" customHeight="1">
      <c r="B181" s="75" t="s">
        <v>209</v>
      </c>
      <c r="C181" s="75" t="s">
        <v>14</v>
      </c>
      <c r="D181" s="75" t="s">
        <v>21</v>
      </c>
      <c r="E181" s="75" t="s">
        <v>16</v>
      </c>
      <c r="F181" s="75" t="s">
        <v>17</v>
      </c>
      <c r="G181" s="75" t="s">
        <v>23</v>
      </c>
      <c r="H181" s="76">
        <v>45103.0</v>
      </c>
      <c r="I181" s="75">
        <v>406.0</v>
      </c>
      <c r="J181" s="77">
        <v>435.11</v>
      </c>
      <c r="K181" s="77">
        <v>190.79</v>
      </c>
      <c r="L181" s="77">
        <v>176654.66</v>
      </c>
      <c r="M181" s="77">
        <v>77460.73999999999</v>
      </c>
      <c r="N181" s="77">
        <v>99193.92000000001</v>
      </c>
      <c r="O181" s="78">
        <v>0.5615131805750271</v>
      </c>
    </row>
    <row r="182" ht="15.75" customHeight="1">
      <c r="B182" s="75" t="s">
        <v>210</v>
      </c>
      <c r="C182" s="75" t="s">
        <v>14</v>
      </c>
      <c r="D182" s="75" t="s">
        <v>54</v>
      </c>
      <c r="E182" s="75" t="s">
        <v>26</v>
      </c>
      <c r="F182" s="75" t="s">
        <v>17</v>
      </c>
      <c r="G182" s="75" t="s">
        <v>31</v>
      </c>
      <c r="H182" s="76">
        <v>45104.0</v>
      </c>
      <c r="I182" s="75">
        <v>498.0</v>
      </c>
      <c r="J182" s="77">
        <v>190.96</v>
      </c>
      <c r="K182" s="77">
        <v>47.35</v>
      </c>
      <c r="L182" s="77">
        <v>95098.08</v>
      </c>
      <c r="M182" s="77">
        <v>23580.3</v>
      </c>
      <c r="N182" s="77">
        <v>71517.78</v>
      </c>
      <c r="O182" s="78">
        <v>0.7520423125261835</v>
      </c>
    </row>
    <row r="183" ht="15.75" customHeight="1">
      <c r="B183" s="75" t="s">
        <v>211</v>
      </c>
      <c r="C183" s="75" t="s">
        <v>25</v>
      </c>
      <c r="D183" s="75" t="s">
        <v>54</v>
      </c>
      <c r="E183" s="75" t="s">
        <v>26</v>
      </c>
      <c r="F183" s="75" t="s">
        <v>27</v>
      </c>
      <c r="G183" s="75" t="s">
        <v>23</v>
      </c>
      <c r="H183" s="76">
        <v>45105.0</v>
      </c>
      <c r="I183" s="75">
        <v>48.0</v>
      </c>
      <c r="J183" s="77">
        <v>151.95</v>
      </c>
      <c r="K183" s="77">
        <v>195.43</v>
      </c>
      <c r="L183" s="77">
        <v>7293.599999999999</v>
      </c>
      <c r="M183" s="77">
        <v>9380.64</v>
      </c>
      <c r="N183" s="77">
        <v>-2087.04</v>
      </c>
      <c r="O183" s="78">
        <v>-0.2861467588022376</v>
      </c>
    </row>
    <row r="184" ht="15.75" customHeight="1">
      <c r="B184" s="75" t="s">
        <v>212</v>
      </c>
      <c r="C184" s="75" t="s">
        <v>14</v>
      </c>
      <c r="D184" s="75" t="s">
        <v>54</v>
      </c>
      <c r="E184" s="75" t="s">
        <v>26</v>
      </c>
      <c r="F184" s="75" t="s">
        <v>17</v>
      </c>
      <c r="G184" s="75" t="s">
        <v>18</v>
      </c>
      <c r="H184" s="76">
        <v>45106.0</v>
      </c>
      <c r="I184" s="75">
        <v>280.0</v>
      </c>
      <c r="J184" s="77">
        <v>326.29</v>
      </c>
      <c r="K184" s="77">
        <v>368.28</v>
      </c>
      <c r="L184" s="77">
        <v>91361.20000000001</v>
      </c>
      <c r="M184" s="77">
        <v>103118.4</v>
      </c>
      <c r="N184" s="77">
        <v>-11757.199999999983</v>
      </c>
      <c r="O184" s="78">
        <v>-0.12868920285635457</v>
      </c>
    </row>
    <row r="185" ht="15.75" customHeight="1">
      <c r="B185" s="75" t="s">
        <v>213</v>
      </c>
      <c r="C185" s="75" t="s">
        <v>25</v>
      </c>
      <c r="D185" s="75" t="s">
        <v>34</v>
      </c>
      <c r="E185" s="75" t="s">
        <v>26</v>
      </c>
      <c r="F185" s="75" t="s">
        <v>17</v>
      </c>
      <c r="G185" s="75" t="s">
        <v>23</v>
      </c>
      <c r="H185" s="76">
        <v>45107.0</v>
      </c>
      <c r="I185" s="75">
        <v>384.0</v>
      </c>
      <c r="J185" s="77">
        <v>167.55</v>
      </c>
      <c r="K185" s="77">
        <v>209.27</v>
      </c>
      <c r="L185" s="77">
        <v>64339.200000000004</v>
      </c>
      <c r="M185" s="77">
        <v>80359.68000000001</v>
      </c>
      <c r="N185" s="77">
        <v>-16020.480000000003</v>
      </c>
      <c r="O185" s="78">
        <v>-0.24900029841838262</v>
      </c>
    </row>
    <row r="186" ht="15.75" customHeight="1">
      <c r="B186" s="75" t="s">
        <v>214</v>
      </c>
      <c r="C186" s="75" t="s">
        <v>14</v>
      </c>
      <c r="D186" s="75" t="s">
        <v>15</v>
      </c>
      <c r="E186" s="75" t="s">
        <v>46</v>
      </c>
      <c r="F186" s="75" t="s">
        <v>17</v>
      </c>
      <c r="G186" s="75" t="s">
        <v>31</v>
      </c>
      <c r="H186" s="76">
        <v>45108.0</v>
      </c>
      <c r="I186" s="75">
        <v>294.0</v>
      </c>
      <c r="J186" s="77">
        <v>316.95</v>
      </c>
      <c r="K186" s="77">
        <v>247.37</v>
      </c>
      <c r="L186" s="77">
        <v>93183.3</v>
      </c>
      <c r="M186" s="77">
        <v>72726.78</v>
      </c>
      <c r="N186" s="77">
        <v>20456.520000000004</v>
      </c>
      <c r="O186" s="78">
        <v>0.21952989430509548</v>
      </c>
    </row>
    <row r="187" ht="15.75" customHeight="1">
      <c r="B187" s="75" t="s">
        <v>215</v>
      </c>
      <c r="C187" s="75" t="s">
        <v>52</v>
      </c>
      <c r="D187" s="75" t="s">
        <v>29</v>
      </c>
      <c r="E187" s="75" t="s">
        <v>26</v>
      </c>
      <c r="F187" s="75" t="s">
        <v>17</v>
      </c>
      <c r="G187" s="75" t="s">
        <v>18</v>
      </c>
      <c r="H187" s="76">
        <v>45109.0</v>
      </c>
      <c r="I187" s="75">
        <v>166.0</v>
      </c>
      <c r="J187" s="77">
        <v>306.87</v>
      </c>
      <c r="K187" s="77">
        <v>64.34</v>
      </c>
      <c r="L187" s="77">
        <v>50940.42</v>
      </c>
      <c r="M187" s="77">
        <v>10680.44</v>
      </c>
      <c r="N187" s="77">
        <v>40259.979999999996</v>
      </c>
      <c r="O187" s="78">
        <v>0.7903346694039821</v>
      </c>
    </row>
    <row r="188" ht="15.75" customHeight="1">
      <c r="B188" s="75" t="s">
        <v>216</v>
      </c>
      <c r="C188" s="75" t="s">
        <v>14</v>
      </c>
      <c r="D188" s="75" t="s">
        <v>34</v>
      </c>
      <c r="E188" s="75" t="s">
        <v>22</v>
      </c>
      <c r="F188" s="75" t="s">
        <v>17</v>
      </c>
      <c r="G188" s="75" t="s">
        <v>31</v>
      </c>
      <c r="H188" s="76">
        <v>45110.0</v>
      </c>
      <c r="I188" s="75">
        <v>84.0</v>
      </c>
      <c r="J188" s="77">
        <v>283.9</v>
      </c>
      <c r="K188" s="77">
        <v>19.41</v>
      </c>
      <c r="L188" s="77">
        <v>23847.6</v>
      </c>
      <c r="M188" s="77">
        <v>1630.44</v>
      </c>
      <c r="N188" s="77">
        <v>22217.16</v>
      </c>
      <c r="O188" s="78">
        <v>0.9316308559351885</v>
      </c>
    </row>
    <row r="189" ht="15.75" customHeight="1">
      <c r="B189" s="75" t="s">
        <v>217</v>
      </c>
      <c r="C189" s="75" t="s">
        <v>25</v>
      </c>
      <c r="D189" s="75" t="s">
        <v>54</v>
      </c>
      <c r="E189" s="75" t="s">
        <v>22</v>
      </c>
      <c r="F189" s="75" t="s">
        <v>17</v>
      </c>
      <c r="G189" s="75" t="s">
        <v>31</v>
      </c>
      <c r="H189" s="76">
        <v>45111.0</v>
      </c>
      <c r="I189" s="75">
        <v>381.0</v>
      </c>
      <c r="J189" s="77">
        <v>193.31</v>
      </c>
      <c r="K189" s="77">
        <v>46.1</v>
      </c>
      <c r="L189" s="77">
        <v>73651.11</v>
      </c>
      <c r="M189" s="77">
        <v>17564.100000000002</v>
      </c>
      <c r="N189" s="77">
        <v>56087.009999999995</v>
      </c>
      <c r="O189" s="78">
        <v>0.7615229424240856</v>
      </c>
    </row>
    <row r="190" ht="15.75" customHeight="1">
      <c r="B190" s="75" t="s">
        <v>218</v>
      </c>
      <c r="C190" s="75" t="s">
        <v>25</v>
      </c>
      <c r="D190" s="75" t="s">
        <v>21</v>
      </c>
      <c r="E190" s="75" t="s">
        <v>46</v>
      </c>
      <c r="F190" s="75" t="s">
        <v>27</v>
      </c>
      <c r="G190" s="75" t="s">
        <v>23</v>
      </c>
      <c r="H190" s="76">
        <v>45112.0</v>
      </c>
      <c r="I190" s="75">
        <v>297.0</v>
      </c>
      <c r="J190" s="77">
        <v>276.51</v>
      </c>
      <c r="K190" s="77">
        <v>240.22</v>
      </c>
      <c r="L190" s="77">
        <v>82123.47</v>
      </c>
      <c r="M190" s="77">
        <v>71345.34</v>
      </c>
      <c r="N190" s="77">
        <v>10778.130000000005</v>
      </c>
      <c r="O190" s="78">
        <v>0.131242993020144</v>
      </c>
    </row>
    <row r="191" ht="15.75" customHeight="1">
      <c r="B191" s="75" t="s">
        <v>219</v>
      </c>
      <c r="C191" s="75" t="s">
        <v>52</v>
      </c>
      <c r="D191" s="75" t="s">
        <v>54</v>
      </c>
      <c r="E191" s="75" t="s">
        <v>26</v>
      </c>
      <c r="F191" s="75" t="s">
        <v>27</v>
      </c>
      <c r="G191" s="75" t="s">
        <v>31</v>
      </c>
      <c r="H191" s="76">
        <v>45113.0</v>
      </c>
      <c r="I191" s="75">
        <v>139.0</v>
      </c>
      <c r="J191" s="77">
        <v>300.26</v>
      </c>
      <c r="K191" s="77">
        <v>39.81</v>
      </c>
      <c r="L191" s="77">
        <v>41736.14</v>
      </c>
      <c r="M191" s="77">
        <v>5533.59</v>
      </c>
      <c r="N191" s="77">
        <v>36202.55</v>
      </c>
      <c r="O191" s="78">
        <v>0.8674149070805303</v>
      </c>
    </row>
    <row r="192" ht="15.75" customHeight="1">
      <c r="B192" s="75" t="s">
        <v>220</v>
      </c>
      <c r="C192" s="75" t="s">
        <v>14</v>
      </c>
      <c r="D192" s="75" t="s">
        <v>15</v>
      </c>
      <c r="E192" s="75" t="s">
        <v>26</v>
      </c>
      <c r="F192" s="75" t="s">
        <v>17</v>
      </c>
      <c r="G192" s="75" t="s">
        <v>23</v>
      </c>
      <c r="H192" s="76">
        <v>45114.0</v>
      </c>
      <c r="I192" s="75">
        <v>184.0</v>
      </c>
      <c r="J192" s="77">
        <v>275.12</v>
      </c>
      <c r="K192" s="77">
        <v>151.65</v>
      </c>
      <c r="L192" s="77">
        <v>50622.08</v>
      </c>
      <c r="M192" s="77">
        <v>27903.600000000002</v>
      </c>
      <c r="N192" s="77">
        <v>22718.48</v>
      </c>
      <c r="O192" s="78">
        <v>0.44878598429776095</v>
      </c>
    </row>
    <row r="193" ht="15.75" customHeight="1">
      <c r="B193" s="75" t="s">
        <v>221</v>
      </c>
      <c r="C193" s="75" t="s">
        <v>14</v>
      </c>
      <c r="D193" s="75" t="s">
        <v>54</v>
      </c>
      <c r="E193" s="75" t="s">
        <v>26</v>
      </c>
      <c r="F193" s="75" t="s">
        <v>17</v>
      </c>
      <c r="G193" s="75" t="s">
        <v>18</v>
      </c>
      <c r="H193" s="76">
        <v>45115.0</v>
      </c>
      <c r="I193" s="75">
        <v>471.0</v>
      </c>
      <c r="J193" s="77">
        <v>224.99</v>
      </c>
      <c r="K193" s="77">
        <v>220.94</v>
      </c>
      <c r="L193" s="77">
        <v>105970.29000000001</v>
      </c>
      <c r="M193" s="77">
        <v>104062.74</v>
      </c>
      <c r="N193" s="77">
        <v>1907.550000000003</v>
      </c>
      <c r="O193" s="78">
        <v>0.018000800035557162</v>
      </c>
    </row>
    <row r="194" ht="15.75" customHeight="1">
      <c r="B194" s="75" t="s">
        <v>222</v>
      </c>
      <c r="C194" s="75" t="s">
        <v>52</v>
      </c>
      <c r="D194" s="75" t="s">
        <v>21</v>
      </c>
      <c r="E194" s="75" t="s">
        <v>16</v>
      </c>
      <c r="F194" s="75" t="s">
        <v>27</v>
      </c>
      <c r="G194" s="75" t="s">
        <v>23</v>
      </c>
      <c r="H194" s="76">
        <v>45116.0</v>
      </c>
      <c r="I194" s="75">
        <v>93.0</v>
      </c>
      <c r="J194" s="77">
        <v>12.26</v>
      </c>
      <c r="K194" s="77">
        <v>156.68</v>
      </c>
      <c r="L194" s="77">
        <v>1140.18</v>
      </c>
      <c r="M194" s="77">
        <v>14571.24</v>
      </c>
      <c r="N194" s="77">
        <v>-13431.06</v>
      </c>
      <c r="O194" s="78">
        <v>-11.779771615008155</v>
      </c>
    </row>
    <row r="195" ht="15.75" customHeight="1">
      <c r="B195" s="75" t="s">
        <v>223</v>
      </c>
      <c r="C195" s="75" t="s">
        <v>14</v>
      </c>
      <c r="D195" s="75" t="s">
        <v>15</v>
      </c>
      <c r="E195" s="75" t="s">
        <v>30</v>
      </c>
      <c r="F195" s="75" t="s">
        <v>17</v>
      </c>
      <c r="G195" s="75" t="s">
        <v>18</v>
      </c>
      <c r="H195" s="76">
        <v>45117.0</v>
      </c>
      <c r="I195" s="75">
        <v>31.0</v>
      </c>
      <c r="J195" s="77">
        <v>295.6</v>
      </c>
      <c r="K195" s="77">
        <v>67.15</v>
      </c>
      <c r="L195" s="77">
        <v>9163.6</v>
      </c>
      <c r="M195" s="77">
        <v>2081.65</v>
      </c>
      <c r="N195" s="77">
        <v>7081.950000000001</v>
      </c>
      <c r="O195" s="78">
        <v>0.7728349120433018</v>
      </c>
    </row>
    <row r="196" ht="15.75" customHeight="1">
      <c r="B196" s="75" t="s">
        <v>224</v>
      </c>
      <c r="C196" s="75" t="s">
        <v>14</v>
      </c>
      <c r="D196" s="75" t="s">
        <v>54</v>
      </c>
      <c r="E196" s="75" t="s">
        <v>16</v>
      </c>
      <c r="F196" s="75" t="s">
        <v>17</v>
      </c>
      <c r="G196" s="75" t="s">
        <v>23</v>
      </c>
      <c r="H196" s="76">
        <v>45118.0</v>
      </c>
      <c r="I196" s="75">
        <v>468.0</v>
      </c>
      <c r="J196" s="77">
        <v>88.38</v>
      </c>
      <c r="K196" s="77">
        <v>110.97</v>
      </c>
      <c r="L196" s="77">
        <v>41361.84</v>
      </c>
      <c r="M196" s="77">
        <v>51933.96</v>
      </c>
      <c r="N196" s="77">
        <v>-10572.120000000003</v>
      </c>
      <c r="O196" s="78">
        <v>-0.2556008146639512</v>
      </c>
    </row>
    <row r="197" ht="15.75" customHeight="1">
      <c r="B197" s="75" t="s">
        <v>225</v>
      </c>
      <c r="C197" s="75" t="s">
        <v>25</v>
      </c>
      <c r="D197" s="75" t="s">
        <v>15</v>
      </c>
      <c r="E197" s="75" t="s">
        <v>30</v>
      </c>
      <c r="F197" s="75" t="s">
        <v>17</v>
      </c>
      <c r="G197" s="75" t="s">
        <v>31</v>
      </c>
      <c r="H197" s="76">
        <v>45119.0</v>
      </c>
      <c r="I197" s="75">
        <v>36.0</v>
      </c>
      <c r="J197" s="77">
        <v>323.08</v>
      </c>
      <c r="K197" s="77">
        <v>371.47</v>
      </c>
      <c r="L197" s="77">
        <v>11630.88</v>
      </c>
      <c r="M197" s="77">
        <v>13372.920000000002</v>
      </c>
      <c r="N197" s="77">
        <v>-1742.0400000000027</v>
      </c>
      <c r="O197" s="78">
        <v>-0.14977714497957187</v>
      </c>
    </row>
    <row r="198" ht="15.75" customHeight="1">
      <c r="B198" s="75" t="s">
        <v>226</v>
      </c>
      <c r="C198" s="75" t="s">
        <v>14</v>
      </c>
      <c r="D198" s="75" t="s">
        <v>29</v>
      </c>
      <c r="E198" s="75" t="s">
        <v>26</v>
      </c>
      <c r="F198" s="75" t="s">
        <v>27</v>
      </c>
      <c r="G198" s="75" t="s">
        <v>23</v>
      </c>
      <c r="H198" s="76">
        <v>45120.0</v>
      </c>
      <c r="I198" s="75">
        <v>204.0</v>
      </c>
      <c r="J198" s="77">
        <v>380.88</v>
      </c>
      <c r="K198" s="77">
        <v>271.04</v>
      </c>
      <c r="L198" s="77">
        <v>77699.52</v>
      </c>
      <c r="M198" s="77">
        <v>55292.16</v>
      </c>
      <c r="N198" s="77">
        <v>22407.36</v>
      </c>
      <c r="O198" s="78">
        <v>0.28838479311069104</v>
      </c>
    </row>
    <row r="199" ht="15.75" customHeight="1">
      <c r="B199" s="75" t="s">
        <v>227</v>
      </c>
      <c r="C199" s="75" t="s">
        <v>14</v>
      </c>
      <c r="D199" s="75" t="s">
        <v>29</v>
      </c>
      <c r="E199" s="75" t="s">
        <v>26</v>
      </c>
      <c r="F199" s="75" t="s">
        <v>17</v>
      </c>
      <c r="G199" s="75" t="s">
        <v>23</v>
      </c>
      <c r="H199" s="76">
        <v>45121.0</v>
      </c>
      <c r="I199" s="75">
        <v>346.0</v>
      </c>
      <c r="J199" s="77">
        <v>252.72</v>
      </c>
      <c r="K199" s="77">
        <v>199.43</v>
      </c>
      <c r="L199" s="77">
        <v>87441.12</v>
      </c>
      <c r="M199" s="77">
        <v>69002.78</v>
      </c>
      <c r="N199" s="77">
        <v>18438.339999999997</v>
      </c>
      <c r="O199" s="78">
        <v>0.21086578031022474</v>
      </c>
    </row>
    <row r="200" ht="15.75" customHeight="1">
      <c r="B200" s="75" t="s">
        <v>228</v>
      </c>
      <c r="C200" s="75" t="s">
        <v>52</v>
      </c>
      <c r="D200" s="75" t="s">
        <v>54</v>
      </c>
      <c r="E200" s="75" t="s">
        <v>16</v>
      </c>
      <c r="F200" s="75" t="s">
        <v>27</v>
      </c>
      <c r="G200" s="75" t="s">
        <v>18</v>
      </c>
      <c r="H200" s="76">
        <v>45122.0</v>
      </c>
      <c r="I200" s="75">
        <v>391.0</v>
      </c>
      <c r="J200" s="77">
        <v>273.47</v>
      </c>
      <c r="K200" s="77">
        <v>7.06</v>
      </c>
      <c r="L200" s="77">
        <v>106926.77</v>
      </c>
      <c r="M200" s="77">
        <v>2760.46</v>
      </c>
      <c r="N200" s="77">
        <v>104166.31</v>
      </c>
      <c r="O200" s="78">
        <v>0.9741836398873733</v>
      </c>
    </row>
    <row r="201" ht="15.75" customHeight="1">
      <c r="B201" s="75" t="s">
        <v>229</v>
      </c>
      <c r="C201" s="75" t="s">
        <v>52</v>
      </c>
      <c r="D201" s="75" t="s">
        <v>15</v>
      </c>
      <c r="E201" s="75" t="s">
        <v>16</v>
      </c>
      <c r="F201" s="75" t="s">
        <v>17</v>
      </c>
      <c r="G201" s="75" t="s">
        <v>31</v>
      </c>
      <c r="H201" s="76">
        <v>45123.0</v>
      </c>
      <c r="I201" s="75">
        <v>245.0</v>
      </c>
      <c r="J201" s="77">
        <v>475.98</v>
      </c>
      <c r="K201" s="77">
        <v>396.98</v>
      </c>
      <c r="L201" s="77">
        <v>116615.1</v>
      </c>
      <c r="M201" s="77">
        <v>97260.1</v>
      </c>
      <c r="N201" s="77">
        <v>19355.0</v>
      </c>
      <c r="O201" s="78">
        <v>0.16597336022521955</v>
      </c>
    </row>
    <row r="202" ht="15.75" customHeight="1">
      <c r="B202" s="75" t="s">
        <v>230</v>
      </c>
      <c r="C202" s="75" t="s">
        <v>20</v>
      </c>
      <c r="D202" s="75" t="s">
        <v>21</v>
      </c>
      <c r="E202" s="75" t="s">
        <v>30</v>
      </c>
      <c r="F202" s="75" t="s">
        <v>27</v>
      </c>
      <c r="G202" s="75" t="s">
        <v>23</v>
      </c>
      <c r="H202" s="76">
        <v>45124.0</v>
      </c>
      <c r="I202" s="75">
        <v>449.0</v>
      </c>
      <c r="J202" s="77">
        <v>424.35</v>
      </c>
      <c r="K202" s="77">
        <v>269.24</v>
      </c>
      <c r="L202" s="77">
        <v>190533.15000000002</v>
      </c>
      <c r="M202" s="77">
        <v>120888.76000000001</v>
      </c>
      <c r="N202" s="77">
        <v>69644.39000000001</v>
      </c>
      <c r="O202" s="78">
        <v>0.36552374219394373</v>
      </c>
    </row>
    <row r="203" ht="15.75" customHeight="1">
      <c r="B203" s="75" t="s">
        <v>231</v>
      </c>
      <c r="C203" s="75" t="s">
        <v>25</v>
      </c>
      <c r="D203" s="75" t="s">
        <v>54</v>
      </c>
      <c r="E203" s="75" t="s">
        <v>22</v>
      </c>
      <c r="F203" s="75" t="s">
        <v>27</v>
      </c>
      <c r="G203" s="75" t="s">
        <v>31</v>
      </c>
      <c r="H203" s="76">
        <v>45125.0</v>
      </c>
      <c r="I203" s="75">
        <v>101.0</v>
      </c>
      <c r="J203" s="77">
        <v>457.55</v>
      </c>
      <c r="K203" s="77">
        <v>128.14</v>
      </c>
      <c r="L203" s="77">
        <v>46212.55</v>
      </c>
      <c r="M203" s="77">
        <v>12942.14</v>
      </c>
      <c r="N203" s="77">
        <v>33270.41</v>
      </c>
      <c r="O203" s="78">
        <v>0.719943175609223</v>
      </c>
    </row>
    <row r="204" ht="15.75" customHeight="1">
      <c r="B204" s="75" t="s">
        <v>232</v>
      </c>
      <c r="C204" s="75" t="s">
        <v>14</v>
      </c>
      <c r="D204" s="75" t="s">
        <v>29</v>
      </c>
      <c r="E204" s="75" t="s">
        <v>30</v>
      </c>
      <c r="F204" s="75" t="s">
        <v>17</v>
      </c>
      <c r="G204" s="75" t="s">
        <v>23</v>
      </c>
      <c r="H204" s="76">
        <v>45126.0</v>
      </c>
      <c r="I204" s="75">
        <v>255.9029411764706</v>
      </c>
      <c r="J204" s="77">
        <v>407.81</v>
      </c>
      <c r="K204" s="77">
        <v>351.95</v>
      </c>
      <c r="L204" s="77">
        <v>104359.77844117647</v>
      </c>
      <c r="M204" s="77">
        <v>90065.04014705883</v>
      </c>
      <c r="N204" s="77">
        <v>14294.738294117647</v>
      </c>
      <c r="O204" s="78">
        <v>0.13697555234055075</v>
      </c>
    </row>
    <row r="205" ht="15.75" customHeight="1">
      <c r="B205" s="75" t="s">
        <v>233</v>
      </c>
      <c r="C205" s="75" t="s">
        <v>14</v>
      </c>
      <c r="D205" s="75" t="s">
        <v>29</v>
      </c>
      <c r="E205" s="75" t="s">
        <v>16</v>
      </c>
      <c r="F205" s="75" t="s">
        <v>27</v>
      </c>
      <c r="G205" s="75" t="s">
        <v>23</v>
      </c>
      <c r="H205" s="76">
        <v>45127.0</v>
      </c>
      <c r="I205" s="75">
        <v>30.0</v>
      </c>
      <c r="J205" s="77">
        <v>58.91</v>
      </c>
      <c r="K205" s="77">
        <v>104.86</v>
      </c>
      <c r="L205" s="77">
        <v>1767.3</v>
      </c>
      <c r="M205" s="77">
        <v>3145.8</v>
      </c>
      <c r="N205" s="77">
        <v>-1378.5000000000002</v>
      </c>
      <c r="O205" s="78">
        <v>-0.7800033950093365</v>
      </c>
    </row>
    <row r="206" ht="15.75" customHeight="1">
      <c r="B206" s="75" t="s">
        <v>234</v>
      </c>
      <c r="C206" s="75" t="s">
        <v>20</v>
      </c>
      <c r="D206" s="75" t="s">
        <v>54</v>
      </c>
      <c r="E206" s="75" t="s">
        <v>16</v>
      </c>
      <c r="F206" s="75" t="s">
        <v>17</v>
      </c>
      <c r="G206" s="75" t="s">
        <v>31</v>
      </c>
      <c r="H206" s="76">
        <v>45128.0</v>
      </c>
      <c r="I206" s="75">
        <v>312.0</v>
      </c>
      <c r="J206" s="77">
        <v>78.75</v>
      </c>
      <c r="K206" s="77">
        <v>218.52</v>
      </c>
      <c r="L206" s="77">
        <v>24570.0</v>
      </c>
      <c r="M206" s="77">
        <v>68178.24</v>
      </c>
      <c r="N206" s="77">
        <v>-43608.240000000005</v>
      </c>
      <c r="O206" s="78">
        <v>-1.7748571428571431</v>
      </c>
    </row>
    <row r="207" ht="15.75" customHeight="1">
      <c r="B207" s="75" t="s">
        <v>235</v>
      </c>
      <c r="C207" s="75" t="s">
        <v>14</v>
      </c>
      <c r="D207" s="75" t="s">
        <v>15</v>
      </c>
      <c r="E207" s="75" t="s">
        <v>46</v>
      </c>
      <c r="F207" s="75" t="s">
        <v>27</v>
      </c>
      <c r="G207" s="75" t="s">
        <v>23</v>
      </c>
      <c r="H207" s="76">
        <v>45129.0</v>
      </c>
      <c r="I207" s="75">
        <v>473.0</v>
      </c>
      <c r="J207" s="77">
        <v>265.68</v>
      </c>
      <c r="K207" s="77">
        <v>255.16</v>
      </c>
      <c r="L207" s="77">
        <v>125666.64</v>
      </c>
      <c r="M207" s="77">
        <v>120690.68</v>
      </c>
      <c r="N207" s="77">
        <v>4975.960000000006</v>
      </c>
      <c r="O207" s="78">
        <v>0.039596507076181925</v>
      </c>
    </row>
    <row r="208" ht="15.75" customHeight="1">
      <c r="B208" s="75" t="s">
        <v>236</v>
      </c>
      <c r="C208" s="75" t="s">
        <v>25</v>
      </c>
      <c r="D208" s="75" t="s">
        <v>29</v>
      </c>
      <c r="E208" s="75" t="s">
        <v>16</v>
      </c>
      <c r="F208" s="75" t="s">
        <v>17</v>
      </c>
      <c r="G208" s="75" t="s">
        <v>31</v>
      </c>
      <c r="H208" s="76">
        <v>45130.0</v>
      </c>
      <c r="I208" s="75">
        <v>366.0</v>
      </c>
      <c r="J208" s="77">
        <v>126.8</v>
      </c>
      <c r="K208" s="77">
        <v>89.98</v>
      </c>
      <c r="L208" s="77">
        <v>46408.799999999996</v>
      </c>
      <c r="M208" s="77">
        <v>32932.68</v>
      </c>
      <c r="N208" s="77">
        <v>13476.119999999995</v>
      </c>
      <c r="O208" s="78">
        <v>0.290378548895899</v>
      </c>
    </row>
    <row r="209" ht="15.75" customHeight="1">
      <c r="B209" s="75" t="s">
        <v>237</v>
      </c>
      <c r="C209" s="75" t="s">
        <v>20</v>
      </c>
      <c r="D209" s="75" t="s">
        <v>15</v>
      </c>
      <c r="E209" s="75" t="s">
        <v>46</v>
      </c>
      <c r="F209" s="75" t="s">
        <v>17</v>
      </c>
      <c r="G209" s="75" t="s">
        <v>23</v>
      </c>
      <c r="H209" s="76">
        <v>45131.0</v>
      </c>
      <c r="I209" s="75">
        <v>452.0</v>
      </c>
      <c r="J209" s="77">
        <v>240.96</v>
      </c>
      <c r="K209" s="77">
        <v>391.4</v>
      </c>
      <c r="L209" s="77">
        <v>108913.92</v>
      </c>
      <c r="M209" s="77">
        <v>176912.8</v>
      </c>
      <c r="N209" s="77">
        <v>-67998.87999999999</v>
      </c>
      <c r="O209" s="78">
        <v>-0.6243359893758299</v>
      </c>
    </row>
    <row r="210" ht="15.75" customHeight="1">
      <c r="B210" s="75" t="s">
        <v>238</v>
      </c>
      <c r="C210" s="75" t="s">
        <v>25</v>
      </c>
      <c r="D210" s="75" t="s">
        <v>29</v>
      </c>
      <c r="E210" s="75" t="s">
        <v>22</v>
      </c>
      <c r="F210" s="75" t="s">
        <v>27</v>
      </c>
      <c r="G210" s="75" t="s">
        <v>18</v>
      </c>
      <c r="H210" s="76">
        <v>45132.0</v>
      </c>
      <c r="I210" s="75">
        <v>93.0</v>
      </c>
      <c r="J210" s="77">
        <v>200.21</v>
      </c>
      <c r="K210" s="77">
        <v>299.78</v>
      </c>
      <c r="L210" s="77">
        <v>18619.530000000002</v>
      </c>
      <c r="M210" s="77">
        <v>27879.539999999997</v>
      </c>
      <c r="N210" s="77">
        <v>-9260.009999999995</v>
      </c>
      <c r="O210" s="78">
        <v>-0.49732780580390556</v>
      </c>
    </row>
    <row r="211" ht="15.75" customHeight="1">
      <c r="B211" s="75" t="s">
        <v>239</v>
      </c>
      <c r="C211" s="75" t="s">
        <v>20</v>
      </c>
      <c r="D211" s="75" t="s">
        <v>29</v>
      </c>
      <c r="E211" s="75" t="s">
        <v>30</v>
      </c>
      <c r="F211" s="75" t="s">
        <v>17</v>
      </c>
      <c r="G211" s="75" t="s">
        <v>31</v>
      </c>
      <c r="H211" s="76">
        <v>45133.0</v>
      </c>
      <c r="I211" s="75">
        <v>271.0</v>
      </c>
      <c r="J211" s="77">
        <v>276.96</v>
      </c>
      <c r="K211" s="77">
        <v>224.01</v>
      </c>
      <c r="L211" s="77">
        <v>75056.15999999999</v>
      </c>
      <c r="M211" s="77">
        <v>60706.71</v>
      </c>
      <c r="N211" s="77">
        <v>14349.44999999999</v>
      </c>
      <c r="O211" s="78">
        <v>0.19118284228769486</v>
      </c>
    </row>
    <row r="212" ht="15.75" customHeight="1">
      <c r="B212" s="75" t="s">
        <v>240</v>
      </c>
      <c r="C212" s="75" t="s">
        <v>20</v>
      </c>
      <c r="D212" s="75" t="s">
        <v>34</v>
      </c>
      <c r="E212" s="75" t="s">
        <v>30</v>
      </c>
      <c r="F212" s="75" t="s">
        <v>17</v>
      </c>
      <c r="G212" s="75" t="s">
        <v>23</v>
      </c>
      <c r="H212" s="76">
        <v>45134.0</v>
      </c>
      <c r="I212" s="75">
        <v>156.0</v>
      </c>
      <c r="J212" s="77">
        <v>374.7</v>
      </c>
      <c r="K212" s="77">
        <v>73.88</v>
      </c>
      <c r="L212" s="77">
        <v>58453.2</v>
      </c>
      <c r="M212" s="77">
        <v>11525.279999999999</v>
      </c>
      <c r="N212" s="77">
        <v>46927.92</v>
      </c>
      <c r="O212" s="78">
        <v>0.8028289298105151</v>
      </c>
    </row>
    <row r="213" ht="15.75" customHeight="1">
      <c r="B213" s="75" t="s">
        <v>241</v>
      </c>
      <c r="C213" s="75" t="s">
        <v>52</v>
      </c>
      <c r="D213" s="75" t="s">
        <v>29</v>
      </c>
      <c r="E213" s="75" t="s">
        <v>46</v>
      </c>
      <c r="F213" s="75" t="s">
        <v>27</v>
      </c>
      <c r="G213" s="75" t="s">
        <v>23</v>
      </c>
      <c r="H213" s="76">
        <v>45135.0</v>
      </c>
      <c r="I213" s="75">
        <v>450.0</v>
      </c>
      <c r="J213" s="77">
        <v>359.17</v>
      </c>
      <c r="K213" s="77">
        <v>23.44</v>
      </c>
      <c r="L213" s="77">
        <v>161626.5</v>
      </c>
      <c r="M213" s="77">
        <v>10548.0</v>
      </c>
      <c r="N213" s="77">
        <v>151078.5</v>
      </c>
      <c r="O213" s="78">
        <v>0.9347384247013949</v>
      </c>
    </row>
    <row r="214" ht="15.75" customHeight="1">
      <c r="B214" s="75" t="s">
        <v>242</v>
      </c>
      <c r="C214" s="75" t="s">
        <v>25</v>
      </c>
      <c r="D214" s="75" t="s">
        <v>21</v>
      </c>
      <c r="E214" s="75" t="s">
        <v>30</v>
      </c>
      <c r="F214" s="75" t="s">
        <v>17</v>
      </c>
      <c r="G214" s="75" t="s">
        <v>18</v>
      </c>
      <c r="H214" s="76">
        <v>45136.0</v>
      </c>
      <c r="I214" s="75">
        <v>462.0</v>
      </c>
      <c r="J214" s="77">
        <v>263.01</v>
      </c>
      <c r="K214" s="77">
        <v>129.38</v>
      </c>
      <c r="L214" s="77">
        <v>121510.62</v>
      </c>
      <c r="M214" s="77">
        <v>59773.56</v>
      </c>
      <c r="N214" s="77">
        <v>61737.06</v>
      </c>
      <c r="O214" s="78">
        <v>0.5080795407018744</v>
      </c>
    </row>
    <row r="215" ht="15.75" customHeight="1">
      <c r="B215" s="75" t="s">
        <v>243</v>
      </c>
      <c r="C215" s="75" t="s">
        <v>14</v>
      </c>
      <c r="D215" s="75" t="s">
        <v>54</v>
      </c>
      <c r="E215" s="75" t="s">
        <v>39</v>
      </c>
      <c r="F215" s="75" t="s">
        <v>17</v>
      </c>
      <c r="G215" s="75" t="s">
        <v>31</v>
      </c>
      <c r="H215" s="76">
        <v>45137.0</v>
      </c>
      <c r="I215" s="75">
        <v>396.0</v>
      </c>
      <c r="J215" s="77">
        <v>412.08</v>
      </c>
      <c r="K215" s="77">
        <v>301.77</v>
      </c>
      <c r="L215" s="77">
        <v>163183.68</v>
      </c>
      <c r="M215" s="77">
        <v>119500.92</v>
      </c>
      <c r="N215" s="77">
        <v>43682.759999999995</v>
      </c>
      <c r="O215" s="78">
        <v>0.26769073966220147</v>
      </c>
    </row>
    <row r="216" ht="15.75" customHeight="1">
      <c r="B216" s="75" t="s">
        <v>244</v>
      </c>
      <c r="C216" s="75" t="s">
        <v>14</v>
      </c>
      <c r="D216" s="75" t="s">
        <v>54</v>
      </c>
      <c r="E216" s="75" t="s">
        <v>26</v>
      </c>
      <c r="F216" s="75" t="s">
        <v>27</v>
      </c>
      <c r="G216" s="75" t="s">
        <v>23</v>
      </c>
      <c r="H216" s="76">
        <v>45138.0</v>
      </c>
      <c r="I216" s="75">
        <v>266.0</v>
      </c>
      <c r="J216" s="77">
        <v>218.28</v>
      </c>
      <c r="K216" s="77">
        <v>109.19</v>
      </c>
      <c r="L216" s="77">
        <v>58062.48</v>
      </c>
      <c r="M216" s="77">
        <v>29044.54</v>
      </c>
      <c r="N216" s="77">
        <v>29017.940000000002</v>
      </c>
      <c r="O216" s="78">
        <v>0.499770936411948</v>
      </c>
    </row>
    <row r="217" ht="15.75" customHeight="1">
      <c r="B217" s="75" t="s">
        <v>245</v>
      </c>
      <c r="C217" s="75" t="s">
        <v>25</v>
      </c>
      <c r="D217" s="75" t="s">
        <v>15</v>
      </c>
      <c r="E217" s="75" t="s">
        <v>46</v>
      </c>
      <c r="F217" s="75" t="s">
        <v>27</v>
      </c>
      <c r="G217" s="75" t="s">
        <v>18</v>
      </c>
      <c r="H217" s="76">
        <v>45139.0</v>
      </c>
      <c r="I217" s="75">
        <v>67.0</v>
      </c>
      <c r="J217" s="77">
        <v>448.87</v>
      </c>
      <c r="K217" s="77">
        <v>216.74</v>
      </c>
      <c r="L217" s="77">
        <v>30074.29</v>
      </c>
      <c r="M217" s="77">
        <v>14521.58</v>
      </c>
      <c r="N217" s="77">
        <v>15552.710000000001</v>
      </c>
      <c r="O217" s="78">
        <v>0.5171430480985586</v>
      </c>
    </row>
    <row r="218" ht="15.75" customHeight="1">
      <c r="B218" s="75" t="s">
        <v>246</v>
      </c>
      <c r="C218" s="75" t="s">
        <v>14</v>
      </c>
      <c r="D218" s="75" t="s">
        <v>29</v>
      </c>
      <c r="E218" s="75" t="s">
        <v>30</v>
      </c>
      <c r="F218" s="75" t="s">
        <v>17</v>
      </c>
      <c r="G218" s="75" t="s">
        <v>23</v>
      </c>
      <c r="H218" s="76">
        <v>45140.0</v>
      </c>
      <c r="I218" s="75">
        <v>389.0</v>
      </c>
      <c r="J218" s="77">
        <v>40.28</v>
      </c>
      <c r="K218" s="77">
        <v>291.72</v>
      </c>
      <c r="L218" s="77">
        <v>15668.92</v>
      </c>
      <c r="M218" s="77">
        <v>113479.08000000002</v>
      </c>
      <c r="N218" s="77">
        <v>-97810.16000000002</v>
      </c>
      <c r="O218" s="78">
        <v>-6.242303872889773</v>
      </c>
    </row>
    <row r="219" ht="15.75" customHeight="1">
      <c r="B219" s="75" t="s">
        <v>247</v>
      </c>
      <c r="C219" s="75" t="s">
        <v>14</v>
      </c>
      <c r="D219" s="75" t="s">
        <v>21</v>
      </c>
      <c r="E219" s="75" t="s">
        <v>46</v>
      </c>
      <c r="F219" s="75" t="s">
        <v>17</v>
      </c>
      <c r="G219" s="75" t="s">
        <v>31</v>
      </c>
      <c r="H219" s="76">
        <v>45141.0</v>
      </c>
      <c r="I219" s="75">
        <v>431.0</v>
      </c>
      <c r="J219" s="77">
        <v>477.56</v>
      </c>
      <c r="K219" s="77">
        <v>44.96</v>
      </c>
      <c r="L219" s="77">
        <v>205828.36000000002</v>
      </c>
      <c r="M219" s="77">
        <v>19377.760000000002</v>
      </c>
      <c r="N219" s="77">
        <v>186450.6</v>
      </c>
      <c r="O219" s="78">
        <v>0.9058547617053354</v>
      </c>
    </row>
    <row r="220" ht="15.75" customHeight="1">
      <c r="B220" s="75" t="s">
        <v>248</v>
      </c>
      <c r="C220" s="75" t="s">
        <v>25</v>
      </c>
      <c r="D220" s="75" t="s">
        <v>15</v>
      </c>
      <c r="E220" s="75" t="s">
        <v>46</v>
      </c>
      <c r="F220" s="75" t="s">
        <v>27</v>
      </c>
      <c r="G220" s="75" t="s">
        <v>23</v>
      </c>
      <c r="H220" s="76">
        <v>45142.0</v>
      </c>
      <c r="I220" s="75">
        <v>24.0</v>
      </c>
      <c r="J220" s="77">
        <v>329.07</v>
      </c>
      <c r="K220" s="77">
        <v>274.75</v>
      </c>
      <c r="L220" s="77">
        <v>7897.68</v>
      </c>
      <c r="M220" s="77">
        <v>6594.0</v>
      </c>
      <c r="N220" s="77">
        <v>1303.6800000000003</v>
      </c>
      <c r="O220" s="78">
        <v>0.16507126143373754</v>
      </c>
    </row>
    <row r="221" ht="15.75" customHeight="1">
      <c r="B221" s="75" t="s">
        <v>249</v>
      </c>
      <c r="C221" s="75" t="s">
        <v>20</v>
      </c>
      <c r="D221" s="75" t="s">
        <v>34</v>
      </c>
      <c r="E221" s="75" t="s">
        <v>26</v>
      </c>
      <c r="F221" s="75" t="s">
        <v>27</v>
      </c>
      <c r="G221" s="75" t="s">
        <v>23</v>
      </c>
      <c r="H221" s="76">
        <v>45143.0</v>
      </c>
      <c r="I221" s="75">
        <v>171.0</v>
      </c>
      <c r="J221" s="77">
        <v>193.14</v>
      </c>
      <c r="K221" s="77">
        <v>38.56</v>
      </c>
      <c r="L221" s="77">
        <v>33026.939999999995</v>
      </c>
      <c r="M221" s="77">
        <v>6593.76</v>
      </c>
      <c r="N221" s="77">
        <v>26433.179999999993</v>
      </c>
      <c r="O221" s="78">
        <v>0.8003520762141451</v>
      </c>
    </row>
    <row r="222" ht="15.75" customHeight="1">
      <c r="B222" s="75" t="s">
        <v>250</v>
      </c>
      <c r="C222" s="75" t="s">
        <v>25</v>
      </c>
      <c r="D222" s="75" t="s">
        <v>15</v>
      </c>
      <c r="E222" s="75" t="s">
        <v>16</v>
      </c>
      <c r="F222" s="75" t="s">
        <v>17</v>
      </c>
      <c r="G222" s="75" t="s">
        <v>23</v>
      </c>
      <c r="H222" s="76">
        <v>45144.0</v>
      </c>
      <c r="I222" s="75">
        <v>454.0</v>
      </c>
      <c r="J222" s="77">
        <v>102.59</v>
      </c>
      <c r="K222" s="77">
        <v>386.12</v>
      </c>
      <c r="L222" s="77">
        <v>46575.86</v>
      </c>
      <c r="M222" s="77">
        <v>175298.48</v>
      </c>
      <c r="N222" s="77">
        <v>-128722.62000000001</v>
      </c>
      <c r="O222" s="78">
        <v>-2.763719660785652</v>
      </c>
    </row>
    <row r="223" ht="15.75" customHeight="1">
      <c r="B223" s="75" t="s">
        <v>251</v>
      </c>
      <c r="C223" s="75" t="s">
        <v>20</v>
      </c>
      <c r="D223" s="75" t="s">
        <v>15</v>
      </c>
      <c r="E223" s="75" t="s">
        <v>46</v>
      </c>
      <c r="F223" s="75" t="s">
        <v>27</v>
      </c>
      <c r="G223" s="75" t="s">
        <v>23</v>
      </c>
      <c r="H223" s="76">
        <v>45145.0</v>
      </c>
      <c r="I223" s="75">
        <v>172.0</v>
      </c>
      <c r="J223" s="77">
        <v>242.2</v>
      </c>
      <c r="K223" s="77">
        <v>196.38</v>
      </c>
      <c r="L223" s="77">
        <v>41658.4</v>
      </c>
      <c r="M223" s="77">
        <v>33777.36</v>
      </c>
      <c r="N223" s="77">
        <v>7881.040000000001</v>
      </c>
      <c r="O223" s="78">
        <v>0.18918249380677127</v>
      </c>
    </row>
    <row r="224" ht="15.75" customHeight="1">
      <c r="B224" s="75" t="s">
        <v>252</v>
      </c>
      <c r="C224" s="75" t="s">
        <v>14</v>
      </c>
      <c r="D224" s="75" t="s">
        <v>29</v>
      </c>
      <c r="E224" s="75" t="s">
        <v>30</v>
      </c>
      <c r="F224" s="75" t="s">
        <v>17</v>
      </c>
      <c r="G224" s="75" t="s">
        <v>18</v>
      </c>
      <c r="H224" s="76">
        <v>45146.0</v>
      </c>
      <c r="I224" s="75">
        <v>329.0</v>
      </c>
      <c r="J224" s="77">
        <v>101.31</v>
      </c>
      <c r="K224" s="77">
        <v>61.97</v>
      </c>
      <c r="L224" s="77">
        <v>33330.99</v>
      </c>
      <c r="M224" s="77">
        <v>20388.13</v>
      </c>
      <c r="N224" s="77">
        <v>12942.859999999997</v>
      </c>
      <c r="O224" s="78">
        <v>0.38831309841081824</v>
      </c>
    </row>
    <row r="225" ht="15.75" customHeight="1">
      <c r="B225" s="75" t="s">
        <v>253</v>
      </c>
      <c r="C225" s="75" t="s">
        <v>14</v>
      </c>
      <c r="D225" s="75" t="s">
        <v>34</v>
      </c>
      <c r="E225" s="75" t="s">
        <v>22</v>
      </c>
      <c r="F225" s="75" t="s">
        <v>17</v>
      </c>
      <c r="G225" s="75" t="s">
        <v>18</v>
      </c>
      <c r="H225" s="76">
        <v>45147.0</v>
      </c>
      <c r="I225" s="75">
        <v>290.0</v>
      </c>
      <c r="J225" s="77">
        <v>87.33</v>
      </c>
      <c r="K225" s="77">
        <v>138.27</v>
      </c>
      <c r="L225" s="77">
        <v>25325.7</v>
      </c>
      <c r="M225" s="77">
        <v>40098.3</v>
      </c>
      <c r="N225" s="77">
        <v>-14772.600000000002</v>
      </c>
      <c r="O225" s="78">
        <v>-0.5833047062864996</v>
      </c>
    </row>
    <row r="226" ht="15.75" customHeight="1">
      <c r="B226" s="75" t="s">
        <v>254</v>
      </c>
      <c r="C226" s="75" t="s">
        <v>39</v>
      </c>
      <c r="D226" s="75" t="s">
        <v>15</v>
      </c>
      <c r="E226" s="75" t="s">
        <v>46</v>
      </c>
      <c r="F226" s="75" t="s">
        <v>17</v>
      </c>
      <c r="G226" s="75" t="s">
        <v>31</v>
      </c>
      <c r="H226" s="76">
        <v>45148.0</v>
      </c>
      <c r="I226" s="75">
        <v>289.0</v>
      </c>
      <c r="J226" s="77">
        <v>310.59</v>
      </c>
      <c r="K226" s="77">
        <v>166.54</v>
      </c>
      <c r="L226" s="77">
        <v>89760.51</v>
      </c>
      <c r="M226" s="77">
        <v>48130.06</v>
      </c>
      <c r="N226" s="77">
        <v>41630.45</v>
      </c>
      <c r="O226" s="78">
        <v>0.4637947132876139</v>
      </c>
    </row>
    <row r="227" ht="15.75" customHeight="1">
      <c r="B227" s="75" t="s">
        <v>255</v>
      </c>
      <c r="C227" s="75" t="s">
        <v>52</v>
      </c>
      <c r="D227" s="75" t="s">
        <v>21</v>
      </c>
      <c r="E227" s="75" t="s">
        <v>46</v>
      </c>
      <c r="F227" s="75" t="s">
        <v>17</v>
      </c>
      <c r="G227" s="75" t="s">
        <v>18</v>
      </c>
      <c r="H227" s="76">
        <v>45149.0</v>
      </c>
      <c r="I227" s="75">
        <v>21.0</v>
      </c>
      <c r="J227" s="77">
        <v>263.93</v>
      </c>
      <c r="K227" s="77">
        <v>303.76</v>
      </c>
      <c r="L227" s="77">
        <v>5542.53</v>
      </c>
      <c r="M227" s="77">
        <v>6378.96</v>
      </c>
      <c r="N227" s="77">
        <v>-836.4300000000003</v>
      </c>
      <c r="O227" s="78">
        <v>-0.15091122646156183</v>
      </c>
    </row>
    <row r="228" ht="15.75" customHeight="1">
      <c r="B228" s="75" t="s">
        <v>256</v>
      </c>
      <c r="C228" s="75" t="s">
        <v>20</v>
      </c>
      <c r="D228" s="75" t="s">
        <v>21</v>
      </c>
      <c r="E228" s="75" t="s">
        <v>26</v>
      </c>
      <c r="F228" s="75" t="s">
        <v>17</v>
      </c>
      <c r="G228" s="75" t="s">
        <v>18</v>
      </c>
      <c r="H228" s="76">
        <v>45150.0</v>
      </c>
      <c r="I228" s="75">
        <v>283.0</v>
      </c>
      <c r="J228" s="77">
        <v>336.7</v>
      </c>
      <c r="K228" s="77">
        <v>297.88</v>
      </c>
      <c r="L228" s="77">
        <v>95286.09999999999</v>
      </c>
      <c r="M228" s="77">
        <v>84300.04</v>
      </c>
      <c r="N228" s="77">
        <v>10986.059999999998</v>
      </c>
      <c r="O228" s="78">
        <v>0.11529551529551528</v>
      </c>
    </row>
    <row r="229" ht="15.75" customHeight="1">
      <c r="B229" s="75" t="s">
        <v>257</v>
      </c>
      <c r="C229" s="75" t="s">
        <v>52</v>
      </c>
      <c r="D229" s="75" t="s">
        <v>54</v>
      </c>
      <c r="E229" s="75" t="s">
        <v>16</v>
      </c>
      <c r="F229" s="75" t="s">
        <v>27</v>
      </c>
      <c r="G229" s="75" t="s">
        <v>31</v>
      </c>
      <c r="H229" s="76">
        <v>45151.0</v>
      </c>
      <c r="I229" s="75">
        <v>280.0</v>
      </c>
      <c r="J229" s="77">
        <v>465.15</v>
      </c>
      <c r="K229" s="77">
        <v>245.55</v>
      </c>
      <c r="L229" s="77">
        <v>130242.0</v>
      </c>
      <c r="M229" s="77">
        <v>68754.0</v>
      </c>
      <c r="N229" s="77">
        <v>61488.0</v>
      </c>
      <c r="O229" s="78">
        <v>0.47210577233150597</v>
      </c>
    </row>
    <row r="230" ht="15.75" customHeight="1">
      <c r="B230" s="75" t="s">
        <v>258</v>
      </c>
      <c r="C230" s="75" t="s">
        <v>52</v>
      </c>
      <c r="D230" s="75" t="s">
        <v>34</v>
      </c>
      <c r="E230" s="75" t="s">
        <v>22</v>
      </c>
      <c r="F230" s="75" t="s">
        <v>27</v>
      </c>
      <c r="G230" s="75" t="s">
        <v>18</v>
      </c>
      <c r="H230" s="76">
        <v>45152.0</v>
      </c>
      <c r="I230" s="75">
        <v>217.0</v>
      </c>
      <c r="J230" s="77">
        <v>268.47</v>
      </c>
      <c r="K230" s="77">
        <v>44.16</v>
      </c>
      <c r="L230" s="77">
        <v>58257.990000000005</v>
      </c>
      <c r="M230" s="77">
        <v>9582.72</v>
      </c>
      <c r="N230" s="77">
        <v>48675.270000000004</v>
      </c>
      <c r="O230" s="78">
        <v>0.8355123477483518</v>
      </c>
    </row>
    <row r="231" ht="15.75" customHeight="1">
      <c r="B231" s="75" t="s">
        <v>259</v>
      </c>
      <c r="C231" s="75" t="s">
        <v>25</v>
      </c>
      <c r="D231" s="75" t="s">
        <v>34</v>
      </c>
      <c r="E231" s="75" t="s">
        <v>30</v>
      </c>
      <c r="F231" s="75" t="s">
        <v>27</v>
      </c>
      <c r="G231" s="75" t="s">
        <v>18</v>
      </c>
      <c r="H231" s="76">
        <v>45153.0</v>
      </c>
      <c r="I231" s="75">
        <v>36.0</v>
      </c>
      <c r="J231" s="77">
        <v>292.56</v>
      </c>
      <c r="K231" s="77">
        <v>62.32</v>
      </c>
      <c r="L231" s="77">
        <v>10532.16</v>
      </c>
      <c r="M231" s="77">
        <v>2243.52</v>
      </c>
      <c r="N231" s="77">
        <v>8288.64</v>
      </c>
      <c r="O231" s="78">
        <v>0.7869838665572874</v>
      </c>
    </row>
    <row r="232" ht="15.75" customHeight="1">
      <c r="B232" s="75" t="s">
        <v>260</v>
      </c>
      <c r="C232" s="75" t="s">
        <v>52</v>
      </c>
      <c r="D232" s="75" t="s">
        <v>54</v>
      </c>
      <c r="E232" s="75" t="s">
        <v>22</v>
      </c>
      <c r="F232" s="75" t="s">
        <v>27</v>
      </c>
      <c r="G232" s="75" t="s">
        <v>31</v>
      </c>
      <c r="H232" s="76">
        <v>45154.0</v>
      </c>
      <c r="I232" s="75">
        <v>255.9029411764706</v>
      </c>
      <c r="J232" s="77">
        <v>49.37</v>
      </c>
      <c r="K232" s="77">
        <v>39.32</v>
      </c>
      <c r="L232" s="77">
        <v>12633.928205882352</v>
      </c>
      <c r="M232" s="77">
        <v>10062.103647058824</v>
      </c>
      <c r="N232" s="77">
        <v>2571.8245588235277</v>
      </c>
      <c r="O232" s="78">
        <v>0.2035649179663762</v>
      </c>
    </row>
    <row r="233" ht="15.75" customHeight="1">
      <c r="B233" s="75" t="s">
        <v>261</v>
      </c>
      <c r="C233" s="75" t="s">
        <v>25</v>
      </c>
      <c r="D233" s="75" t="s">
        <v>15</v>
      </c>
      <c r="E233" s="75" t="s">
        <v>30</v>
      </c>
      <c r="F233" s="75" t="s">
        <v>17</v>
      </c>
      <c r="G233" s="75" t="s">
        <v>31</v>
      </c>
      <c r="H233" s="76">
        <v>45155.0</v>
      </c>
      <c r="I233" s="75">
        <v>69.0</v>
      </c>
      <c r="J233" s="77">
        <v>360.23</v>
      </c>
      <c r="K233" s="77">
        <v>231.71</v>
      </c>
      <c r="L233" s="77">
        <v>24855.870000000003</v>
      </c>
      <c r="M233" s="77">
        <v>15987.99</v>
      </c>
      <c r="N233" s="77">
        <v>8867.880000000003</v>
      </c>
      <c r="O233" s="78">
        <v>0.35677206229353475</v>
      </c>
    </row>
    <row r="234" ht="15.75" customHeight="1">
      <c r="B234" s="75" t="s">
        <v>262</v>
      </c>
      <c r="C234" s="75" t="s">
        <v>25</v>
      </c>
      <c r="D234" s="75" t="s">
        <v>34</v>
      </c>
      <c r="E234" s="75" t="s">
        <v>16</v>
      </c>
      <c r="F234" s="75" t="s">
        <v>17</v>
      </c>
      <c r="G234" s="75" t="s">
        <v>31</v>
      </c>
      <c r="H234" s="76">
        <v>45156.0</v>
      </c>
      <c r="I234" s="75">
        <v>439.0</v>
      </c>
      <c r="J234" s="77">
        <v>202.95</v>
      </c>
      <c r="K234" s="77">
        <v>351.1</v>
      </c>
      <c r="L234" s="77">
        <v>89095.04999999999</v>
      </c>
      <c r="M234" s="77">
        <v>154132.90000000002</v>
      </c>
      <c r="N234" s="77">
        <v>-65037.850000000035</v>
      </c>
      <c r="O234" s="78">
        <v>-0.7299827543729988</v>
      </c>
    </row>
    <row r="235" ht="15.75" customHeight="1">
      <c r="B235" s="75" t="s">
        <v>263</v>
      </c>
      <c r="C235" s="75" t="s">
        <v>52</v>
      </c>
      <c r="D235" s="75" t="s">
        <v>21</v>
      </c>
      <c r="E235" s="75" t="s">
        <v>30</v>
      </c>
      <c r="F235" s="75" t="s">
        <v>17</v>
      </c>
      <c r="G235" s="75" t="s">
        <v>23</v>
      </c>
      <c r="H235" s="76">
        <v>45157.0</v>
      </c>
      <c r="I235" s="75">
        <v>482.0</v>
      </c>
      <c r="J235" s="77">
        <v>488.48</v>
      </c>
      <c r="K235" s="77">
        <v>174.65</v>
      </c>
      <c r="L235" s="77">
        <v>235447.36000000002</v>
      </c>
      <c r="M235" s="77">
        <v>84181.3</v>
      </c>
      <c r="N235" s="77">
        <v>151266.06</v>
      </c>
      <c r="O235" s="78">
        <v>0.6424623321323288</v>
      </c>
    </row>
    <row r="236" ht="15.75" customHeight="1">
      <c r="B236" s="75" t="s">
        <v>264</v>
      </c>
      <c r="C236" s="75" t="s">
        <v>20</v>
      </c>
      <c r="D236" s="75" t="s">
        <v>21</v>
      </c>
      <c r="E236" s="75" t="s">
        <v>26</v>
      </c>
      <c r="F236" s="75" t="s">
        <v>17</v>
      </c>
      <c r="G236" s="75" t="s">
        <v>23</v>
      </c>
      <c r="H236" s="76">
        <v>45158.0</v>
      </c>
      <c r="I236" s="75">
        <v>154.0</v>
      </c>
      <c r="J236" s="77">
        <v>412.47</v>
      </c>
      <c r="K236" s="77">
        <v>66.02</v>
      </c>
      <c r="L236" s="77">
        <v>63520.380000000005</v>
      </c>
      <c r="M236" s="77">
        <v>10167.08</v>
      </c>
      <c r="N236" s="77">
        <v>53353.3</v>
      </c>
      <c r="O236" s="78">
        <v>0.839939874415109</v>
      </c>
    </row>
    <row r="237" ht="15.75" customHeight="1">
      <c r="B237" s="75" t="s">
        <v>265</v>
      </c>
      <c r="C237" s="75" t="s">
        <v>20</v>
      </c>
      <c r="D237" s="75" t="s">
        <v>29</v>
      </c>
      <c r="E237" s="75" t="s">
        <v>26</v>
      </c>
      <c r="F237" s="75" t="s">
        <v>27</v>
      </c>
      <c r="G237" s="75" t="s">
        <v>31</v>
      </c>
      <c r="H237" s="76">
        <v>45159.0</v>
      </c>
      <c r="I237" s="75">
        <v>102.0</v>
      </c>
      <c r="J237" s="77">
        <v>263.63</v>
      </c>
      <c r="K237" s="77">
        <v>224.1</v>
      </c>
      <c r="L237" s="77">
        <v>26890.26</v>
      </c>
      <c r="M237" s="77">
        <v>22858.2</v>
      </c>
      <c r="N237" s="77">
        <v>4032.0599999999977</v>
      </c>
      <c r="O237" s="78">
        <v>0.14994499867238167</v>
      </c>
    </row>
    <row r="238" ht="15.75" customHeight="1">
      <c r="B238" s="75" t="s">
        <v>266</v>
      </c>
      <c r="C238" s="75" t="s">
        <v>20</v>
      </c>
      <c r="D238" s="75" t="s">
        <v>34</v>
      </c>
      <c r="E238" s="75" t="s">
        <v>26</v>
      </c>
      <c r="F238" s="75" t="s">
        <v>17</v>
      </c>
      <c r="G238" s="75" t="s">
        <v>31</v>
      </c>
      <c r="H238" s="76">
        <v>45160.0</v>
      </c>
      <c r="I238" s="75">
        <v>318.0</v>
      </c>
      <c r="J238" s="77">
        <v>66.0</v>
      </c>
      <c r="K238" s="77">
        <v>325.08</v>
      </c>
      <c r="L238" s="77">
        <v>20988.0</v>
      </c>
      <c r="M238" s="77">
        <v>103375.43999999999</v>
      </c>
      <c r="N238" s="77">
        <v>-82387.43999999999</v>
      </c>
      <c r="O238" s="78">
        <v>-3.925454545454545</v>
      </c>
    </row>
    <row r="239" ht="15.75" customHeight="1">
      <c r="B239" s="75" t="s">
        <v>267</v>
      </c>
      <c r="C239" s="75" t="s">
        <v>20</v>
      </c>
      <c r="D239" s="75" t="s">
        <v>15</v>
      </c>
      <c r="E239" s="75" t="s">
        <v>26</v>
      </c>
      <c r="F239" s="75" t="s">
        <v>17</v>
      </c>
      <c r="G239" s="75" t="s">
        <v>31</v>
      </c>
      <c r="H239" s="76">
        <v>45161.0</v>
      </c>
      <c r="I239" s="75">
        <v>17.0</v>
      </c>
      <c r="J239" s="77">
        <v>430.41</v>
      </c>
      <c r="K239" s="77">
        <v>297.2</v>
      </c>
      <c r="L239" s="77">
        <v>7316.97</v>
      </c>
      <c r="M239" s="77">
        <v>5052.4</v>
      </c>
      <c r="N239" s="77">
        <v>2264.5700000000006</v>
      </c>
      <c r="O239" s="78">
        <v>0.30949559722125425</v>
      </c>
    </row>
    <row r="240" ht="15.75" customHeight="1">
      <c r="B240" s="75" t="s">
        <v>268</v>
      </c>
      <c r="C240" s="75" t="s">
        <v>20</v>
      </c>
      <c r="D240" s="75" t="s">
        <v>54</v>
      </c>
      <c r="E240" s="75" t="s">
        <v>22</v>
      </c>
      <c r="F240" s="75" t="s">
        <v>27</v>
      </c>
      <c r="G240" s="75" t="s">
        <v>23</v>
      </c>
      <c r="H240" s="76">
        <v>45162.0</v>
      </c>
      <c r="I240" s="75">
        <v>88.0</v>
      </c>
      <c r="J240" s="77">
        <v>400.89</v>
      </c>
      <c r="K240" s="77">
        <v>352.82</v>
      </c>
      <c r="L240" s="77">
        <v>35278.32</v>
      </c>
      <c r="M240" s="77">
        <v>31048.16</v>
      </c>
      <c r="N240" s="77">
        <v>4230.16</v>
      </c>
      <c r="O240" s="78">
        <v>0.11990820424555364</v>
      </c>
    </row>
    <row r="241" ht="15.75" customHeight="1">
      <c r="B241" s="75" t="s">
        <v>269</v>
      </c>
      <c r="C241" s="75" t="s">
        <v>52</v>
      </c>
      <c r="D241" s="75" t="s">
        <v>54</v>
      </c>
      <c r="E241" s="75" t="s">
        <v>16</v>
      </c>
      <c r="F241" s="75" t="s">
        <v>27</v>
      </c>
      <c r="G241" s="75" t="s">
        <v>23</v>
      </c>
      <c r="H241" s="76">
        <v>45163.0</v>
      </c>
      <c r="I241" s="75">
        <v>36.0</v>
      </c>
      <c r="J241" s="77">
        <v>96.37</v>
      </c>
      <c r="K241" s="77">
        <v>112.61</v>
      </c>
      <c r="L241" s="77">
        <v>3469.32</v>
      </c>
      <c r="M241" s="77">
        <v>4053.96</v>
      </c>
      <c r="N241" s="77">
        <v>-584.6399999999999</v>
      </c>
      <c r="O241" s="78">
        <v>-0.16851717339420977</v>
      </c>
    </row>
    <row r="242" ht="15.75" customHeight="1">
      <c r="B242" s="75" t="s">
        <v>270</v>
      </c>
      <c r="C242" s="75" t="s">
        <v>52</v>
      </c>
      <c r="D242" s="75" t="s">
        <v>15</v>
      </c>
      <c r="E242" s="75" t="s">
        <v>30</v>
      </c>
      <c r="F242" s="75" t="s">
        <v>27</v>
      </c>
      <c r="G242" s="75" t="s">
        <v>18</v>
      </c>
      <c r="H242" s="76">
        <v>45164.0</v>
      </c>
      <c r="I242" s="75">
        <v>183.0</v>
      </c>
      <c r="J242" s="77">
        <v>151.16</v>
      </c>
      <c r="K242" s="77">
        <v>79.19</v>
      </c>
      <c r="L242" s="77">
        <v>27662.28</v>
      </c>
      <c r="M242" s="77">
        <v>14491.77</v>
      </c>
      <c r="N242" s="77">
        <v>13170.509999999998</v>
      </c>
      <c r="O242" s="78">
        <v>0.476118020640381</v>
      </c>
    </row>
    <row r="243" ht="15.75" customHeight="1">
      <c r="B243" s="75" t="s">
        <v>271</v>
      </c>
      <c r="C243" s="75" t="s">
        <v>14</v>
      </c>
      <c r="D243" s="75" t="s">
        <v>29</v>
      </c>
      <c r="E243" s="75" t="s">
        <v>30</v>
      </c>
      <c r="F243" s="75" t="s">
        <v>27</v>
      </c>
      <c r="G243" s="75" t="s">
        <v>18</v>
      </c>
      <c r="H243" s="76">
        <v>45165.0</v>
      </c>
      <c r="I243" s="75">
        <v>59.0</v>
      </c>
      <c r="J243" s="77">
        <v>397.74</v>
      </c>
      <c r="K243" s="77">
        <v>352.17</v>
      </c>
      <c r="L243" s="77">
        <v>23466.66</v>
      </c>
      <c r="M243" s="77">
        <v>20778.030000000002</v>
      </c>
      <c r="N243" s="77">
        <v>2688.6299999999974</v>
      </c>
      <c r="O243" s="78">
        <v>0.11457233368532196</v>
      </c>
    </row>
    <row r="244" ht="15.75" customHeight="1">
      <c r="B244" s="75" t="s">
        <v>272</v>
      </c>
      <c r="C244" s="75" t="s">
        <v>20</v>
      </c>
      <c r="D244" s="75" t="s">
        <v>54</v>
      </c>
      <c r="E244" s="75" t="s">
        <v>26</v>
      </c>
      <c r="F244" s="75" t="s">
        <v>17</v>
      </c>
      <c r="G244" s="75" t="s">
        <v>31</v>
      </c>
      <c r="H244" s="76">
        <v>45166.0</v>
      </c>
      <c r="I244" s="75">
        <v>208.0</v>
      </c>
      <c r="J244" s="77">
        <v>96.69</v>
      </c>
      <c r="K244" s="77">
        <v>263.71</v>
      </c>
      <c r="L244" s="77">
        <v>20111.52</v>
      </c>
      <c r="M244" s="77">
        <v>54851.67999999999</v>
      </c>
      <c r="N244" s="77">
        <v>-34740.15999999999</v>
      </c>
      <c r="O244" s="78">
        <v>-1.727376150584341</v>
      </c>
    </row>
    <row r="245" ht="15.75" customHeight="1">
      <c r="B245" s="75" t="s">
        <v>273</v>
      </c>
      <c r="C245" s="75" t="s">
        <v>52</v>
      </c>
      <c r="D245" s="75" t="s">
        <v>34</v>
      </c>
      <c r="E245" s="75" t="s">
        <v>26</v>
      </c>
      <c r="F245" s="75" t="s">
        <v>17</v>
      </c>
      <c r="G245" s="75" t="s">
        <v>23</v>
      </c>
      <c r="H245" s="76">
        <v>45167.0</v>
      </c>
      <c r="I245" s="75">
        <v>396.0</v>
      </c>
      <c r="J245" s="77">
        <v>459.29</v>
      </c>
      <c r="K245" s="77">
        <v>125.75</v>
      </c>
      <c r="L245" s="77">
        <v>181878.84</v>
      </c>
      <c r="M245" s="77">
        <v>49797.0</v>
      </c>
      <c r="N245" s="77">
        <v>132081.84</v>
      </c>
      <c r="O245" s="78">
        <v>0.7262078425395719</v>
      </c>
    </row>
    <row r="246" ht="15.75" customHeight="1">
      <c r="B246" s="75" t="s">
        <v>274</v>
      </c>
      <c r="C246" s="75" t="s">
        <v>14</v>
      </c>
      <c r="D246" s="75" t="s">
        <v>29</v>
      </c>
      <c r="E246" s="75" t="s">
        <v>46</v>
      </c>
      <c r="F246" s="75" t="s">
        <v>27</v>
      </c>
      <c r="G246" s="75" t="s">
        <v>23</v>
      </c>
      <c r="H246" s="76">
        <v>45168.0</v>
      </c>
      <c r="I246" s="75">
        <v>358.0</v>
      </c>
      <c r="J246" s="77">
        <v>215.14</v>
      </c>
      <c r="K246" s="77">
        <v>297.45</v>
      </c>
      <c r="L246" s="77">
        <v>77020.12</v>
      </c>
      <c r="M246" s="77">
        <v>106487.09999999999</v>
      </c>
      <c r="N246" s="77">
        <v>-29466.979999999996</v>
      </c>
      <c r="O246" s="78">
        <v>-0.38258808217904616</v>
      </c>
    </row>
    <row r="247" ht="15.75" customHeight="1">
      <c r="B247" s="75" t="s">
        <v>275</v>
      </c>
      <c r="C247" s="75" t="s">
        <v>20</v>
      </c>
      <c r="D247" s="75" t="s">
        <v>34</v>
      </c>
      <c r="E247" s="75" t="s">
        <v>16</v>
      </c>
      <c r="F247" s="75" t="s">
        <v>17</v>
      </c>
      <c r="G247" s="75" t="s">
        <v>23</v>
      </c>
      <c r="H247" s="76">
        <v>45169.0</v>
      </c>
      <c r="I247" s="75">
        <v>457.0</v>
      </c>
      <c r="J247" s="77">
        <v>48.08</v>
      </c>
      <c r="K247" s="77">
        <v>326.42</v>
      </c>
      <c r="L247" s="77">
        <v>21972.559999999998</v>
      </c>
      <c r="M247" s="77">
        <v>149173.94</v>
      </c>
      <c r="N247" s="77">
        <v>-127201.38</v>
      </c>
      <c r="O247" s="78">
        <v>-5.78910149750416</v>
      </c>
    </row>
    <row r="248" ht="15.75" customHeight="1">
      <c r="B248" s="75" t="s">
        <v>276</v>
      </c>
      <c r="C248" s="75" t="s">
        <v>25</v>
      </c>
      <c r="D248" s="75" t="s">
        <v>21</v>
      </c>
      <c r="E248" s="75" t="s">
        <v>22</v>
      </c>
      <c r="F248" s="75" t="s">
        <v>17</v>
      </c>
      <c r="G248" s="75" t="s">
        <v>31</v>
      </c>
      <c r="H248" s="76">
        <v>45170.0</v>
      </c>
      <c r="I248" s="75">
        <v>437.0</v>
      </c>
      <c r="J248" s="77">
        <v>408.8</v>
      </c>
      <c r="K248" s="77">
        <v>246.76</v>
      </c>
      <c r="L248" s="77">
        <v>178645.6</v>
      </c>
      <c r="M248" s="77">
        <v>107834.12</v>
      </c>
      <c r="N248" s="77">
        <v>70811.48000000001</v>
      </c>
      <c r="O248" s="78">
        <v>0.3963796477495108</v>
      </c>
    </row>
    <row r="249" ht="15.75" customHeight="1">
      <c r="B249" s="75" t="s">
        <v>277</v>
      </c>
      <c r="C249" s="75" t="s">
        <v>14</v>
      </c>
      <c r="D249" s="75" t="s">
        <v>29</v>
      </c>
      <c r="E249" s="75" t="s">
        <v>30</v>
      </c>
      <c r="F249" s="75" t="s">
        <v>17</v>
      </c>
      <c r="G249" s="75" t="s">
        <v>18</v>
      </c>
      <c r="H249" s="76">
        <v>45171.0</v>
      </c>
      <c r="I249" s="75">
        <v>190.0</v>
      </c>
      <c r="J249" s="77">
        <v>189.89</v>
      </c>
      <c r="K249" s="77">
        <v>275.78</v>
      </c>
      <c r="L249" s="77">
        <v>36079.1</v>
      </c>
      <c r="M249" s="77">
        <v>52398.2</v>
      </c>
      <c r="N249" s="77">
        <v>-16319.099999999999</v>
      </c>
      <c r="O249" s="78">
        <v>-0.45231449786718625</v>
      </c>
    </row>
    <row r="250" ht="15.75" customHeight="1">
      <c r="B250" s="75" t="s">
        <v>278</v>
      </c>
      <c r="C250" s="75" t="s">
        <v>52</v>
      </c>
      <c r="D250" s="75" t="s">
        <v>54</v>
      </c>
      <c r="E250" s="75" t="s">
        <v>46</v>
      </c>
      <c r="F250" s="75" t="s">
        <v>27</v>
      </c>
      <c r="G250" s="75" t="s">
        <v>31</v>
      </c>
      <c r="H250" s="76">
        <v>45172.0</v>
      </c>
      <c r="I250" s="75">
        <v>33.0</v>
      </c>
      <c r="J250" s="77">
        <v>265.62</v>
      </c>
      <c r="K250" s="77">
        <v>151.35</v>
      </c>
      <c r="L250" s="77">
        <v>8765.460000000001</v>
      </c>
      <c r="M250" s="77">
        <v>4994.55</v>
      </c>
      <c r="N250" s="77">
        <v>3770.9100000000008</v>
      </c>
      <c r="O250" s="78">
        <v>0.4302010390783827</v>
      </c>
    </row>
    <row r="251" ht="15.75" customHeight="1">
      <c r="B251" s="75" t="s">
        <v>279</v>
      </c>
      <c r="C251" s="75" t="s">
        <v>25</v>
      </c>
      <c r="D251" s="75" t="s">
        <v>29</v>
      </c>
      <c r="E251" s="75" t="s">
        <v>46</v>
      </c>
      <c r="F251" s="75" t="s">
        <v>17</v>
      </c>
      <c r="G251" s="75" t="s">
        <v>18</v>
      </c>
      <c r="H251" s="76">
        <v>45173.0</v>
      </c>
      <c r="I251" s="75">
        <v>325.0</v>
      </c>
      <c r="J251" s="77">
        <v>60.59</v>
      </c>
      <c r="K251" s="77">
        <v>216.4</v>
      </c>
      <c r="L251" s="77">
        <v>19691.75</v>
      </c>
      <c r="M251" s="77">
        <v>70330.0</v>
      </c>
      <c r="N251" s="77">
        <v>-50638.25</v>
      </c>
      <c r="O251" s="78">
        <v>-2.57154645981185</v>
      </c>
    </row>
    <row r="252" ht="15.75" customHeight="1">
      <c r="B252" s="75" t="s">
        <v>280</v>
      </c>
      <c r="C252" s="75" t="s">
        <v>25</v>
      </c>
      <c r="D252" s="75" t="s">
        <v>29</v>
      </c>
      <c r="E252" s="75" t="s">
        <v>30</v>
      </c>
      <c r="F252" s="75" t="s">
        <v>27</v>
      </c>
      <c r="G252" s="75" t="s">
        <v>18</v>
      </c>
      <c r="H252" s="76">
        <v>45174.0</v>
      </c>
      <c r="I252" s="75">
        <v>387.0</v>
      </c>
      <c r="J252" s="77">
        <v>6.28</v>
      </c>
      <c r="K252" s="77">
        <v>210.62</v>
      </c>
      <c r="L252" s="77">
        <v>2430.36</v>
      </c>
      <c r="M252" s="77">
        <v>81509.94</v>
      </c>
      <c r="N252" s="77">
        <v>-79079.58</v>
      </c>
      <c r="O252" s="78">
        <v>-32.538216560509554</v>
      </c>
    </row>
    <row r="253" ht="15.75" customHeight="1">
      <c r="B253" s="75" t="s">
        <v>281</v>
      </c>
      <c r="C253" s="75" t="s">
        <v>25</v>
      </c>
      <c r="D253" s="75" t="s">
        <v>29</v>
      </c>
      <c r="E253" s="75" t="s">
        <v>22</v>
      </c>
      <c r="F253" s="75" t="s">
        <v>17</v>
      </c>
      <c r="G253" s="75" t="s">
        <v>31</v>
      </c>
      <c r="H253" s="76">
        <v>45175.0</v>
      </c>
      <c r="I253" s="75">
        <v>396.0</v>
      </c>
      <c r="J253" s="77">
        <v>320.8</v>
      </c>
      <c r="K253" s="77">
        <v>339.52</v>
      </c>
      <c r="L253" s="77">
        <v>127036.8</v>
      </c>
      <c r="M253" s="77">
        <v>134449.91999999998</v>
      </c>
      <c r="N253" s="77">
        <v>-7413.119999999981</v>
      </c>
      <c r="O253" s="78">
        <v>-0.058354114713216804</v>
      </c>
    </row>
    <row r="254" ht="15.75" customHeight="1">
      <c r="B254" s="75" t="s">
        <v>282</v>
      </c>
      <c r="C254" s="75" t="s">
        <v>14</v>
      </c>
      <c r="D254" s="75" t="s">
        <v>29</v>
      </c>
      <c r="E254" s="75" t="s">
        <v>46</v>
      </c>
      <c r="F254" s="75" t="s">
        <v>17</v>
      </c>
      <c r="G254" s="75" t="s">
        <v>18</v>
      </c>
      <c r="H254" s="76">
        <v>45176.0</v>
      </c>
      <c r="I254" s="75">
        <v>413.0</v>
      </c>
      <c r="J254" s="77">
        <v>260.01</v>
      </c>
      <c r="K254" s="77">
        <v>336.31</v>
      </c>
      <c r="L254" s="77">
        <v>107384.12999999999</v>
      </c>
      <c r="M254" s="77">
        <v>138896.03</v>
      </c>
      <c r="N254" s="77">
        <v>-31511.90000000001</v>
      </c>
      <c r="O254" s="78">
        <v>-0.2934502519133881</v>
      </c>
    </row>
    <row r="255" ht="15.75" customHeight="1">
      <c r="B255" s="75" t="s">
        <v>283</v>
      </c>
      <c r="C255" s="75" t="s">
        <v>52</v>
      </c>
      <c r="D255" s="75" t="s">
        <v>34</v>
      </c>
      <c r="E255" s="75" t="s">
        <v>46</v>
      </c>
      <c r="F255" s="75" t="s">
        <v>17</v>
      </c>
      <c r="G255" s="75" t="s">
        <v>18</v>
      </c>
      <c r="H255" s="76">
        <v>45177.0</v>
      </c>
      <c r="I255" s="75">
        <v>255.9029411764706</v>
      </c>
      <c r="J255" s="77">
        <v>298.8</v>
      </c>
      <c r="K255" s="77">
        <v>333.41</v>
      </c>
      <c r="L255" s="77">
        <v>76463.79882352942</v>
      </c>
      <c r="M255" s="77">
        <v>85320.59961764707</v>
      </c>
      <c r="N255" s="77">
        <v>-8856.800794117647</v>
      </c>
      <c r="O255" s="78">
        <v>-0.11582998661311913</v>
      </c>
    </row>
    <row r="256" ht="15.75" customHeight="1">
      <c r="B256" s="75" t="s">
        <v>284</v>
      </c>
      <c r="C256" s="75" t="s">
        <v>25</v>
      </c>
      <c r="D256" s="75" t="s">
        <v>21</v>
      </c>
      <c r="E256" s="75" t="s">
        <v>16</v>
      </c>
      <c r="F256" s="75" t="s">
        <v>27</v>
      </c>
      <c r="G256" s="75" t="s">
        <v>23</v>
      </c>
      <c r="H256" s="76">
        <v>45178.0</v>
      </c>
      <c r="I256" s="75">
        <v>24.0</v>
      </c>
      <c r="J256" s="77">
        <v>397.9</v>
      </c>
      <c r="K256" s="77">
        <v>6.39</v>
      </c>
      <c r="L256" s="77">
        <v>9549.599999999999</v>
      </c>
      <c r="M256" s="77">
        <v>153.35999999999999</v>
      </c>
      <c r="N256" s="77">
        <v>9396.239999999998</v>
      </c>
      <c r="O256" s="78">
        <v>0.9839406886152299</v>
      </c>
    </row>
    <row r="257" ht="15.75" customHeight="1">
      <c r="B257" s="75" t="s">
        <v>285</v>
      </c>
      <c r="C257" s="75" t="s">
        <v>20</v>
      </c>
      <c r="D257" s="75" t="s">
        <v>15</v>
      </c>
      <c r="E257" s="75" t="s">
        <v>39</v>
      </c>
      <c r="F257" s="75" t="s">
        <v>17</v>
      </c>
      <c r="G257" s="75" t="s">
        <v>18</v>
      </c>
      <c r="H257" s="76">
        <v>45179.0</v>
      </c>
      <c r="I257" s="75">
        <v>162.0</v>
      </c>
      <c r="J257" s="77">
        <v>325.07</v>
      </c>
      <c r="K257" s="77">
        <v>300.32</v>
      </c>
      <c r="L257" s="77">
        <v>52661.34</v>
      </c>
      <c r="M257" s="77">
        <v>48651.84</v>
      </c>
      <c r="N257" s="77">
        <v>4009.5</v>
      </c>
      <c r="O257" s="78">
        <v>0.07613744731903899</v>
      </c>
    </row>
    <row r="258" ht="15.75" customHeight="1">
      <c r="B258" s="75" t="s">
        <v>286</v>
      </c>
      <c r="C258" s="75" t="s">
        <v>25</v>
      </c>
      <c r="D258" s="75" t="s">
        <v>29</v>
      </c>
      <c r="E258" s="75" t="s">
        <v>46</v>
      </c>
      <c r="F258" s="75" t="s">
        <v>27</v>
      </c>
      <c r="G258" s="75" t="s">
        <v>31</v>
      </c>
      <c r="H258" s="76">
        <v>45180.0</v>
      </c>
      <c r="I258" s="75">
        <v>231.0</v>
      </c>
      <c r="J258" s="77">
        <v>91.51</v>
      </c>
      <c r="K258" s="77">
        <v>303.95</v>
      </c>
      <c r="L258" s="77">
        <v>21138.81</v>
      </c>
      <c r="M258" s="77">
        <v>70212.45</v>
      </c>
      <c r="N258" s="77">
        <v>-49073.64</v>
      </c>
      <c r="O258" s="78">
        <v>-2.321494918588132</v>
      </c>
    </row>
    <row r="259" ht="15.75" customHeight="1">
      <c r="B259" s="75" t="s">
        <v>287</v>
      </c>
      <c r="C259" s="75" t="s">
        <v>25</v>
      </c>
      <c r="D259" s="75" t="s">
        <v>54</v>
      </c>
      <c r="E259" s="75" t="s">
        <v>22</v>
      </c>
      <c r="F259" s="75" t="s">
        <v>27</v>
      </c>
      <c r="G259" s="75" t="s">
        <v>31</v>
      </c>
      <c r="H259" s="76">
        <v>45181.0</v>
      </c>
      <c r="I259" s="75">
        <v>215.0</v>
      </c>
      <c r="J259" s="77">
        <v>183.58</v>
      </c>
      <c r="K259" s="77">
        <v>271.99</v>
      </c>
      <c r="L259" s="77">
        <v>39469.700000000004</v>
      </c>
      <c r="M259" s="77">
        <v>58477.85</v>
      </c>
      <c r="N259" s="77">
        <v>-19008.149999999994</v>
      </c>
      <c r="O259" s="78">
        <v>-0.4815884083233466</v>
      </c>
    </row>
    <row r="260" ht="15.75" customHeight="1">
      <c r="B260" s="75" t="s">
        <v>288</v>
      </c>
      <c r="C260" s="75" t="s">
        <v>14</v>
      </c>
      <c r="D260" s="75" t="s">
        <v>29</v>
      </c>
      <c r="E260" s="75" t="s">
        <v>30</v>
      </c>
      <c r="F260" s="75" t="s">
        <v>27</v>
      </c>
      <c r="G260" s="75" t="s">
        <v>18</v>
      </c>
      <c r="H260" s="76">
        <v>45182.0</v>
      </c>
      <c r="I260" s="75">
        <v>464.0</v>
      </c>
      <c r="J260" s="77">
        <v>453.42</v>
      </c>
      <c r="K260" s="77">
        <v>302.99</v>
      </c>
      <c r="L260" s="77">
        <v>210386.88</v>
      </c>
      <c r="M260" s="77">
        <v>140587.36000000002</v>
      </c>
      <c r="N260" s="77">
        <v>69799.51999999999</v>
      </c>
      <c r="O260" s="78">
        <v>0.33176745622160464</v>
      </c>
    </row>
    <row r="261" ht="15.75" customHeight="1">
      <c r="B261" s="75" t="s">
        <v>289</v>
      </c>
      <c r="C261" s="75" t="s">
        <v>14</v>
      </c>
      <c r="D261" s="75" t="s">
        <v>54</v>
      </c>
      <c r="E261" s="75" t="s">
        <v>26</v>
      </c>
      <c r="F261" s="75" t="s">
        <v>17</v>
      </c>
      <c r="G261" s="75" t="s">
        <v>23</v>
      </c>
      <c r="H261" s="76">
        <v>45183.0</v>
      </c>
      <c r="I261" s="75">
        <v>282.0</v>
      </c>
      <c r="J261" s="77">
        <v>249.64520588235297</v>
      </c>
      <c r="K261" s="77">
        <v>337.1</v>
      </c>
      <c r="L261" s="77">
        <v>70399.94805882353</v>
      </c>
      <c r="M261" s="77">
        <v>95062.20000000001</v>
      </c>
      <c r="N261" s="77">
        <v>-24662.25194117648</v>
      </c>
      <c r="O261" s="78">
        <v>-0.35031633717356775</v>
      </c>
    </row>
    <row r="262" ht="15.75" customHeight="1">
      <c r="B262" s="75" t="s">
        <v>290</v>
      </c>
      <c r="C262" s="75" t="s">
        <v>52</v>
      </c>
      <c r="D262" s="75" t="s">
        <v>34</v>
      </c>
      <c r="E262" s="75" t="s">
        <v>46</v>
      </c>
      <c r="F262" s="75" t="s">
        <v>17</v>
      </c>
      <c r="G262" s="75" t="s">
        <v>23</v>
      </c>
      <c r="H262" s="76">
        <v>45184.0</v>
      </c>
      <c r="I262" s="75">
        <v>391.0</v>
      </c>
      <c r="J262" s="77">
        <v>280.54</v>
      </c>
      <c r="K262" s="77">
        <v>189.19</v>
      </c>
      <c r="L262" s="77">
        <v>109691.14000000001</v>
      </c>
      <c r="M262" s="77">
        <v>73973.29</v>
      </c>
      <c r="N262" s="77">
        <v>35717.85000000002</v>
      </c>
      <c r="O262" s="78">
        <v>0.3256220146859629</v>
      </c>
    </row>
    <row r="263" ht="15.75" customHeight="1">
      <c r="B263" s="75" t="s">
        <v>291</v>
      </c>
      <c r="C263" s="75" t="s">
        <v>20</v>
      </c>
      <c r="D263" s="75" t="s">
        <v>54</v>
      </c>
      <c r="E263" s="75" t="s">
        <v>16</v>
      </c>
      <c r="F263" s="75" t="s">
        <v>17</v>
      </c>
      <c r="G263" s="75" t="s">
        <v>18</v>
      </c>
      <c r="H263" s="76">
        <v>45185.0</v>
      </c>
      <c r="I263" s="75">
        <v>245.0</v>
      </c>
      <c r="J263" s="77">
        <v>131.54</v>
      </c>
      <c r="K263" s="77">
        <v>201.82</v>
      </c>
      <c r="L263" s="77">
        <v>32227.3</v>
      </c>
      <c r="M263" s="77">
        <v>49445.9</v>
      </c>
      <c r="N263" s="77">
        <v>-17218.600000000002</v>
      </c>
      <c r="O263" s="78">
        <v>-0.5342861487000153</v>
      </c>
    </row>
    <row r="264" ht="15.75" customHeight="1">
      <c r="B264" s="75" t="s">
        <v>292</v>
      </c>
      <c r="C264" s="75" t="s">
        <v>14</v>
      </c>
      <c r="D264" s="75" t="s">
        <v>15</v>
      </c>
      <c r="E264" s="75" t="s">
        <v>30</v>
      </c>
      <c r="F264" s="75" t="s">
        <v>17</v>
      </c>
      <c r="G264" s="75" t="s">
        <v>18</v>
      </c>
      <c r="H264" s="76">
        <v>45186.0</v>
      </c>
      <c r="I264" s="75">
        <v>349.0</v>
      </c>
      <c r="J264" s="77">
        <v>154.52</v>
      </c>
      <c r="K264" s="77">
        <v>51.64</v>
      </c>
      <c r="L264" s="77">
        <v>53927.48</v>
      </c>
      <c r="M264" s="77">
        <v>18022.36</v>
      </c>
      <c r="N264" s="77">
        <v>35905.12</v>
      </c>
      <c r="O264" s="78">
        <v>0.6658037794460264</v>
      </c>
    </row>
    <row r="265" ht="15.75" customHeight="1">
      <c r="B265" s="75" t="s">
        <v>293</v>
      </c>
      <c r="C265" s="75" t="s">
        <v>25</v>
      </c>
      <c r="D265" s="75" t="s">
        <v>21</v>
      </c>
      <c r="E265" s="75" t="s">
        <v>22</v>
      </c>
      <c r="F265" s="75" t="s">
        <v>27</v>
      </c>
      <c r="G265" s="75" t="s">
        <v>31</v>
      </c>
      <c r="H265" s="76">
        <v>45187.0</v>
      </c>
      <c r="I265" s="75">
        <v>237.0</v>
      </c>
      <c r="J265" s="77">
        <v>249.64520588235297</v>
      </c>
      <c r="K265" s="77">
        <v>155.38</v>
      </c>
      <c r="L265" s="77">
        <v>59165.91379411765</v>
      </c>
      <c r="M265" s="77">
        <v>36825.06</v>
      </c>
      <c r="N265" s="77">
        <v>22340.853794117655</v>
      </c>
      <c r="O265" s="78">
        <v>0.3775966998812551</v>
      </c>
    </row>
    <row r="266" ht="15.75" customHeight="1">
      <c r="B266" s="75" t="s">
        <v>294</v>
      </c>
      <c r="C266" s="75" t="s">
        <v>52</v>
      </c>
      <c r="D266" s="75" t="s">
        <v>54</v>
      </c>
      <c r="E266" s="75" t="s">
        <v>30</v>
      </c>
      <c r="F266" s="75" t="s">
        <v>27</v>
      </c>
      <c r="G266" s="75" t="s">
        <v>18</v>
      </c>
      <c r="H266" s="76">
        <v>45188.0</v>
      </c>
      <c r="I266" s="75">
        <v>18.0</v>
      </c>
      <c r="J266" s="77">
        <v>426.33</v>
      </c>
      <c r="K266" s="77">
        <v>258.06</v>
      </c>
      <c r="L266" s="77">
        <v>7673.94</v>
      </c>
      <c r="M266" s="77">
        <v>4645.08</v>
      </c>
      <c r="N266" s="77">
        <v>3028.8599999999997</v>
      </c>
      <c r="O266" s="78">
        <v>0.3946942509323763</v>
      </c>
    </row>
    <row r="267" ht="15.75" customHeight="1">
      <c r="B267" s="75" t="s">
        <v>295</v>
      </c>
      <c r="C267" s="75" t="s">
        <v>25</v>
      </c>
      <c r="D267" s="75" t="s">
        <v>54</v>
      </c>
      <c r="E267" s="75" t="s">
        <v>46</v>
      </c>
      <c r="F267" s="75" t="s">
        <v>27</v>
      </c>
      <c r="G267" s="75" t="s">
        <v>23</v>
      </c>
      <c r="H267" s="76">
        <v>45189.0</v>
      </c>
      <c r="I267" s="75">
        <v>175.0</v>
      </c>
      <c r="J267" s="77">
        <v>337.36</v>
      </c>
      <c r="K267" s="77">
        <v>312.6</v>
      </c>
      <c r="L267" s="77">
        <v>59038.0</v>
      </c>
      <c r="M267" s="77">
        <v>54705.00000000001</v>
      </c>
      <c r="N267" s="77">
        <v>4332.999999999993</v>
      </c>
      <c r="O267" s="78">
        <v>0.0733934076357599</v>
      </c>
    </row>
    <row r="268" ht="15.75" customHeight="1">
      <c r="B268" s="75" t="s">
        <v>296</v>
      </c>
      <c r="C268" s="75" t="s">
        <v>25</v>
      </c>
      <c r="D268" s="75" t="s">
        <v>21</v>
      </c>
      <c r="E268" s="75" t="s">
        <v>39</v>
      </c>
      <c r="F268" s="75" t="s">
        <v>17</v>
      </c>
      <c r="G268" s="75" t="s">
        <v>18</v>
      </c>
      <c r="H268" s="76">
        <v>45190.0</v>
      </c>
      <c r="I268" s="75">
        <v>441.0</v>
      </c>
      <c r="J268" s="77">
        <v>405.72</v>
      </c>
      <c r="K268" s="77">
        <v>88.45</v>
      </c>
      <c r="L268" s="77">
        <v>178922.52000000002</v>
      </c>
      <c r="M268" s="77">
        <v>39006.450000000004</v>
      </c>
      <c r="N268" s="77">
        <v>139916.07</v>
      </c>
      <c r="O268" s="78">
        <v>0.7819925071477866</v>
      </c>
    </row>
    <row r="269" ht="15.75" customHeight="1">
      <c r="B269" s="75" t="s">
        <v>297</v>
      </c>
      <c r="C269" s="75" t="s">
        <v>14</v>
      </c>
      <c r="D269" s="75" t="s">
        <v>15</v>
      </c>
      <c r="E269" s="75" t="s">
        <v>26</v>
      </c>
      <c r="F269" s="75" t="s">
        <v>27</v>
      </c>
      <c r="G269" s="75" t="s">
        <v>31</v>
      </c>
      <c r="H269" s="76">
        <v>45191.0</v>
      </c>
      <c r="I269" s="75">
        <v>453.0</v>
      </c>
      <c r="J269" s="77">
        <v>384.49</v>
      </c>
      <c r="K269" s="77">
        <v>56.85</v>
      </c>
      <c r="L269" s="77">
        <v>174173.97</v>
      </c>
      <c r="M269" s="77">
        <v>25753.05</v>
      </c>
      <c r="N269" s="77">
        <v>148420.92</v>
      </c>
      <c r="O269" s="78">
        <v>0.8521417982262218</v>
      </c>
    </row>
    <row r="270" ht="15.75" customHeight="1">
      <c r="B270" s="75" t="s">
        <v>298</v>
      </c>
      <c r="C270" s="75" t="s">
        <v>52</v>
      </c>
      <c r="D270" s="75" t="s">
        <v>29</v>
      </c>
      <c r="E270" s="75" t="s">
        <v>30</v>
      </c>
      <c r="F270" s="75" t="s">
        <v>17</v>
      </c>
      <c r="G270" s="75" t="s">
        <v>31</v>
      </c>
      <c r="H270" s="76">
        <v>45192.0</v>
      </c>
      <c r="I270" s="75">
        <v>328.0</v>
      </c>
      <c r="J270" s="77">
        <v>79.1</v>
      </c>
      <c r="K270" s="77">
        <v>265.89</v>
      </c>
      <c r="L270" s="77">
        <v>25944.8</v>
      </c>
      <c r="M270" s="77">
        <v>87211.92</v>
      </c>
      <c r="N270" s="77">
        <v>-61267.119999999995</v>
      </c>
      <c r="O270" s="78">
        <v>-2.361441213653603</v>
      </c>
    </row>
    <row r="271" ht="15.75" customHeight="1">
      <c r="B271" s="75" t="s">
        <v>299</v>
      </c>
      <c r="C271" s="75" t="s">
        <v>20</v>
      </c>
      <c r="D271" s="75" t="s">
        <v>54</v>
      </c>
      <c r="E271" s="75" t="s">
        <v>46</v>
      </c>
      <c r="F271" s="75" t="s">
        <v>27</v>
      </c>
      <c r="G271" s="75" t="s">
        <v>31</v>
      </c>
      <c r="H271" s="76">
        <v>45193.0</v>
      </c>
      <c r="I271" s="75">
        <v>223.0</v>
      </c>
      <c r="J271" s="77">
        <v>214.85</v>
      </c>
      <c r="K271" s="77">
        <v>2.75</v>
      </c>
      <c r="L271" s="77">
        <v>47911.549999999996</v>
      </c>
      <c r="M271" s="77">
        <v>613.25</v>
      </c>
      <c r="N271" s="77">
        <v>47298.299999999996</v>
      </c>
      <c r="O271" s="78">
        <v>0.9872003723528043</v>
      </c>
    </row>
    <row r="272" ht="15.75" customHeight="1">
      <c r="B272" s="75" t="s">
        <v>300</v>
      </c>
      <c r="C272" s="75" t="s">
        <v>20</v>
      </c>
      <c r="D272" s="75" t="s">
        <v>21</v>
      </c>
      <c r="E272" s="75" t="s">
        <v>16</v>
      </c>
      <c r="F272" s="75" t="s">
        <v>17</v>
      </c>
      <c r="G272" s="75" t="s">
        <v>31</v>
      </c>
      <c r="H272" s="76">
        <v>45194.0</v>
      </c>
      <c r="I272" s="75">
        <v>126.0</v>
      </c>
      <c r="J272" s="77">
        <v>80.73</v>
      </c>
      <c r="K272" s="77">
        <v>72.99</v>
      </c>
      <c r="L272" s="77">
        <v>10171.980000000001</v>
      </c>
      <c r="M272" s="77">
        <v>9196.74</v>
      </c>
      <c r="N272" s="77">
        <v>975.2400000000016</v>
      </c>
      <c r="O272" s="78">
        <v>0.09587513935340036</v>
      </c>
    </row>
    <row r="273" ht="15.75" customHeight="1">
      <c r="B273" s="75" t="s">
        <v>301</v>
      </c>
      <c r="C273" s="75" t="s">
        <v>14</v>
      </c>
      <c r="D273" s="75" t="s">
        <v>34</v>
      </c>
      <c r="E273" s="75" t="s">
        <v>22</v>
      </c>
      <c r="F273" s="75" t="s">
        <v>17</v>
      </c>
      <c r="G273" s="75" t="s">
        <v>31</v>
      </c>
      <c r="H273" s="76">
        <v>45195.0</v>
      </c>
      <c r="I273" s="75">
        <v>395.0</v>
      </c>
      <c r="J273" s="77">
        <v>121.44</v>
      </c>
      <c r="K273" s="77">
        <v>13.57</v>
      </c>
      <c r="L273" s="77">
        <v>47968.799999999996</v>
      </c>
      <c r="M273" s="77">
        <v>5360.150000000001</v>
      </c>
      <c r="N273" s="77">
        <v>42608.649999999994</v>
      </c>
      <c r="O273" s="78">
        <v>0.8882575757575757</v>
      </c>
    </row>
    <row r="274" ht="15.75" customHeight="1">
      <c r="B274" s="75" t="s">
        <v>302</v>
      </c>
      <c r="C274" s="75" t="s">
        <v>14</v>
      </c>
      <c r="D274" s="75" t="s">
        <v>21</v>
      </c>
      <c r="E274" s="75" t="s">
        <v>30</v>
      </c>
      <c r="F274" s="75" t="s">
        <v>27</v>
      </c>
      <c r="G274" s="75" t="s">
        <v>18</v>
      </c>
      <c r="H274" s="76">
        <v>45196.0</v>
      </c>
      <c r="I274" s="75">
        <v>353.0</v>
      </c>
      <c r="J274" s="77">
        <v>435.28</v>
      </c>
      <c r="K274" s="77">
        <v>68.42</v>
      </c>
      <c r="L274" s="77">
        <v>153653.84</v>
      </c>
      <c r="M274" s="77">
        <v>24152.260000000002</v>
      </c>
      <c r="N274" s="77">
        <v>129501.57999999999</v>
      </c>
      <c r="O274" s="78">
        <v>0.8428138209887888</v>
      </c>
    </row>
    <row r="275" ht="15.75" customHeight="1">
      <c r="B275" s="75" t="s">
        <v>303</v>
      </c>
      <c r="C275" s="75" t="s">
        <v>52</v>
      </c>
      <c r="D275" s="75" t="s">
        <v>34</v>
      </c>
      <c r="E275" s="75" t="s">
        <v>30</v>
      </c>
      <c r="F275" s="75" t="s">
        <v>27</v>
      </c>
      <c r="G275" s="75" t="s">
        <v>18</v>
      </c>
      <c r="H275" s="76">
        <v>45197.0</v>
      </c>
      <c r="I275" s="75">
        <v>81.0</v>
      </c>
      <c r="J275" s="77">
        <v>239.08</v>
      </c>
      <c r="K275" s="77">
        <v>74.17</v>
      </c>
      <c r="L275" s="77">
        <v>19365.48</v>
      </c>
      <c r="M275" s="77">
        <v>6007.77</v>
      </c>
      <c r="N275" s="77">
        <v>13357.71</v>
      </c>
      <c r="O275" s="78">
        <v>0.6897691149406057</v>
      </c>
    </row>
    <row r="276" ht="15.75" customHeight="1">
      <c r="B276" s="75" t="s">
        <v>304</v>
      </c>
      <c r="C276" s="75" t="s">
        <v>20</v>
      </c>
      <c r="D276" s="75" t="s">
        <v>15</v>
      </c>
      <c r="E276" s="75" t="s">
        <v>26</v>
      </c>
      <c r="F276" s="75" t="s">
        <v>27</v>
      </c>
      <c r="G276" s="75" t="s">
        <v>18</v>
      </c>
      <c r="H276" s="76">
        <v>45198.0</v>
      </c>
      <c r="I276" s="75">
        <v>404.0</v>
      </c>
      <c r="J276" s="77">
        <v>270.0</v>
      </c>
      <c r="K276" s="77">
        <v>156.29</v>
      </c>
      <c r="L276" s="77">
        <v>109080.0</v>
      </c>
      <c r="M276" s="77">
        <v>63141.159999999996</v>
      </c>
      <c r="N276" s="77">
        <v>45938.840000000004</v>
      </c>
      <c r="O276" s="78">
        <v>0.42114814814814816</v>
      </c>
    </row>
    <row r="277" ht="15.75" customHeight="1">
      <c r="B277" s="75" t="s">
        <v>305</v>
      </c>
      <c r="C277" s="75" t="s">
        <v>20</v>
      </c>
      <c r="D277" s="75" t="s">
        <v>29</v>
      </c>
      <c r="E277" s="75" t="s">
        <v>26</v>
      </c>
      <c r="F277" s="75" t="s">
        <v>27</v>
      </c>
      <c r="G277" s="75" t="s">
        <v>18</v>
      </c>
      <c r="H277" s="76">
        <v>45199.0</v>
      </c>
      <c r="I277" s="75">
        <v>73.0</v>
      </c>
      <c r="J277" s="77">
        <v>93.33</v>
      </c>
      <c r="K277" s="77">
        <v>162.13</v>
      </c>
      <c r="L277" s="77">
        <v>6813.09</v>
      </c>
      <c r="M277" s="77">
        <v>11835.49</v>
      </c>
      <c r="N277" s="77">
        <v>-5022.4</v>
      </c>
      <c r="O277" s="78">
        <v>-0.7371691846137362</v>
      </c>
    </row>
    <row r="278" ht="15.75" customHeight="1">
      <c r="B278" s="75" t="s">
        <v>306</v>
      </c>
      <c r="C278" s="75" t="s">
        <v>20</v>
      </c>
      <c r="D278" s="75" t="s">
        <v>21</v>
      </c>
      <c r="E278" s="75" t="s">
        <v>16</v>
      </c>
      <c r="F278" s="75" t="s">
        <v>17</v>
      </c>
      <c r="G278" s="75" t="s">
        <v>31</v>
      </c>
      <c r="H278" s="76">
        <v>45200.0</v>
      </c>
      <c r="I278" s="75">
        <v>214.0</v>
      </c>
      <c r="J278" s="77">
        <v>159.57</v>
      </c>
      <c r="K278" s="77">
        <v>349.96</v>
      </c>
      <c r="L278" s="77">
        <v>34147.979999999996</v>
      </c>
      <c r="M278" s="77">
        <v>74891.44</v>
      </c>
      <c r="N278" s="77">
        <v>-40743.46000000001</v>
      </c>
      <c r="O278" s="78">
        <v>-1.1931440747007587</v>
      </c>
    </row>
    <row r="279" ht="15.75" customHeight="1">
      <c r="B279" s="75" t="s">
        <v>307</v>
      </c>
      <c r="C279" s="75" t="s">
        <v>25</v>
      </c>
      <c r="D279" s="75" t="s">
        <v>54</v>
      </c>
      <c r="E279" s="75" t="s">
        <v>16</v>
      </c>
      <c r="F279" s="75" t="s">
        <v>27</v>
      </c>
      <c r="G279" s="75" t="s">
        <v>23</v>
      </c>
      <c r="H279" s="76">
        <v>45201.0</v>
      </c>
      <c r="I279" s="75">
        <v>218.0</v>
      </c>
      <c r="J279" s="77">
        <v>118.97</v>
      </c>
      <c r="K279" s="77">
        <v>205.02</v>
      </c>
      <c r="L279" s="77">
        <v>25935.46</v>
      </c>
      <c r="M279" s="77">
        <v>44694.36</v>
      </c>
      <c r="N279" s="77">
        <v>-18758.9</v>
      </c>
      <c r="O279" s="78">
        <v>-0.7232915861141465</v>
      </c>
    </row>
    <row r="280" ht="15.75" customHeight="1">
      <c r="B280" s="75" t="s">
        <v>308</v>
      </c>
      <c r="C280" s="75" t="s">
        <v>20</v>
      </c>
      <c r="D280" s="75" t="s">
        <v>15</v>
      </c>
      <c r="E280" s="75" t="s">
        <v>46</v>
      </c>
      <c r="F280" s="75" t="s">
        <v>27</v>
      </c>
      <c r="G280" s="75" t="s">
        <v>18</v>
      </c>
      <c r="H280" s="76">
        <v>45202.0</v>
      </c>
      <c r="I280" s="75">
        <v>81.0</v>
      </c>
      <c r="J280" s="77">
        <v>107.06</v>
      </c>
      <c r="K280" s="77">
        <v>289.92</v>
      </c>
      <c r="L280" s="77">
        <v>8671.86</v>
      </c>
      <c r="M280" s="77">
        <v>23483.52</v>
      </c>
      <c r="N280" s="77">
        <v>-14811.66</v>
      </c>
      <c r="O280" s="78">
        <v>-1.7080141976461796</v>
      </c>
    </row>
    <row r="281" ht="15.75" customHeight="1">
      <c r="B281" s="75" t="s">
        <v>309</v>
      </c>
      <c r="C281" s="75" t="s">
        <v>25</v>
      </c>
      <c r="D281" s="75" t="s">
        <v>21</v>
      </c>
      <c r="E281" s="75" t="s">
        <v>46</v>
      </c>
      <c r="F281" s="75" t="s">
        <v>27</v>
      </c>
      <c r="G281" s="75" t="s">
        <v>23</v>
      </c>
      <c r="H281" s="76">
        <v>45203.0</v>
      </c>
      <c r="I281" s="75">
        <v>286.0</v>
      </c>
      <c r="J281" s="77">
        <v>320.79</v>
      </c>
      <c r="K281" s="77">
        <v>43.45</v>
      </c>
      <c r="L281" s="77">
        <v>91745.94</v>
      </c>
      <c r="M281" s="77">
        <v>12426.7</v>
      </c>
      <c r="N281" s="77">
        <v>79319.24</v>
      </c>
      <c r="O281" s="78">
        <v>0.8645531344493282</v>
      </c>
    </row>
    <row r="282" ht="15.75" customHeight="1">
      <c r="B282" s="75" t="s">
        <v>310</v>
      </c>
      <c r="C282" s="75" t="s">
        <v>52</v>
      </c>
      <c r="D282" s="75" t="s">
        <v>54</v>
      </c>
      <c r="E282" s="75" t="s">
        <v>16</v>
      </c>
      <c r="F282" s="75" t="s">
        <v>17</v>
      </c>
      <c r="G282" s="75" t="s">
        <v>18</v>
      </c>
      <c r="H282" s="76">
        <v>45204.0</v>
      </c>
      <c r="I282" s="75">
        <v>283.0</v>
      </c>
      <c r="J282" s="77">
        <v>132.16</v>
      </c>
      <c r="K282" s="77">
        <v>91.72</v>
      </c>
      <c r="L282" s="77">
        <v>37401.28</v>
      </c>
      <c r="M282" s="77">
        <v>25956.76</v>
      </c>
      <c r="N282" s="77">
        <v>11444.52</v>
      </c>
      <c r="O282" s="78">
        <v>0.30599273607748184</v>
      </c>
    </row>
    <row r="283" ht="15.75" customHeight="1">
      <c r="B283" s="75" t="s">
        <v>311</v>
      </c>
      <c r="C283" s="75" t="s">
        <v>25</v>
      </c>
      <c r="D283" s="75" t="s">
        <v>21</v>
      </c>
      <c r="E283" s="75" t="s">
        <v>16</v>
      </c>
      <c r="F283" s="75" t="s">
        <v>17</v>
      </c>
      <c r="G283" s="75" t="s">
        <v>18</v>
      </c>
      <c r="H283" s="76">
        <v>45205.0</v>
      </c>
      <c r="I283" s="75">
        <v>487.0</v>
      </c>
      <c r="J283" s="77">
        <v>317.85</v>
      </c>
      <c r="K283" s="77">
        <v>281.77</v>
      </c>
      <c r="L283" s="77">
        <v>154792.95</v>
      </c>
      <c r="M283" s="77">
        <v>137221.99</v>
      </c>
      <c r="N283" s="77">
        <v>17570.96000000002</v>
      </c>
      <c r="O283" s="78">
        <v>0.11351266320591487</v>
      </c>
    </row>
    <row r="284" ht="15.75" customHeight="1">
      <c r="B284" s="75" t="s">
        <v>312</v>
      </c>
      <c r="C284" s="75" t="s">
        <v>52</v>
      </c>
      <c r="D284" s="75" t="s">
        <v>34</v>
      </c>
      <c r="E284" s="75" t="s">
        <v>22</v>
      </c>
      <c r="F284" s="75" t="s">
        <v>27</v>
      </c>
      <c r="G284" s="75" t="s">
        <v>23</v>
      </c>
      <c r="H284" s="76">
        <v>45206.0</v>
      </c>
      <c r="I284" s="75">
        <v>329.0</v>
      </c>
      <c r="J284" s="77">
        <v>33.94</v>
      </c>
      <c r="K284" s="77">
        <v>23.02</v>
      </c>
      <c r="L284" s="77">
        <v>11166.259999999998</v>
      </c>
      <c r="M284" s="77">
        <v>7573.58</v>
      </c>
      <c r="N284" s="77">
        <v>3592.6799999999985</v>
      </c>
      <c r="O284" s="78">
        <v>0.32174425456688266</v>
      </c>
    </row>
    <row r="285" ht="15.75" customHeight="1">
      <c r="B285" s="75" t="s">
        <v>313</v>
      </c>
      <c r="C285" s="75" t="s">
        <v>20</v>
      </c>
      <c r="D285" s="75" t="s">
        <v>21</v>
      </c>
      <c r="E285" s="75" t="s">
        <v>26</v>
      </c>
      <c r="F285" s="75" t="s">
        <v>17</v>
      </c>
      <c r="G285" s="75" t="s">
        <v>31</v>
      </c>
      <c r="H285" s="76">
        <v>45207.0</v>
      </c>
      <c r="I285" s="75">
        <v>347.0</v>
      </c>
      <c r="J285" s="77">
        <v>75.18</v>
      </c>
      <c r="K285" s="77">
        <v>195.67</v>
      </c>
      <c r="L285" s="77">
        <v>26087.460000000003</v>
      </c>
      <c r="M285" s="77">
        <v>67897.48999999999</v>
      </c>
      <c r="N285" s="77">
        <v>-41810.029999999984</v>
      </c>
      <c r="O285" s="78">
        <v>-1.602686884809789</v>
      </c>
    </row>
    <row r="286" ht="15.75" customHeight="1">
      <c r="B286" s="75" t="s">
        <v>314</v>
      </c>
      <c r="C286" s="75" t="s">
        <v>20</v>
      </c>
      <c r="D286" s="75" t="s">
        <v>21</v>
      </c>
      <c r="E286" s="75" t="s">
        <v>46</v>
      </c>
      <c r="F286" s="75" t="s">
        <v>27</v>
      </c>
      <c r="G286" s="75" t="s">
        <v>18</v>
      </c>
      <c r="H286" s="76">
        <v>45208.0</v>
      </c>
      <c r="I286" s="75">
        <v>375.0</v>
      </c>
      <c r="J286" s="77">
        <v>140.9</v>
      </c>
      <c r="K286" s="77">
        <v>240.55</v>
      </c>
      <c r="L286" s="77">
        <v>52837.5</v>
      </c>
      <c r="M286" s="77">
        <v>90206.25</v>
      </c>
      <c r="N286" s="77">
        <v>-37368.75</v>
      </c>
      <c r="O286" s="78">
        <v>-0.7072391767210788</v>
      </c>
    </row>
    <row r="287" ht="15.75" customHeight="1">
      <c r="B287" s="75" t="s">
        <v>315</v>
      </c>
      <c r="C287" s="75" t="s">
        <v>52</v>
      </c>
      <c r="D287" s="75" t="s">
        <v>21</v>
      </c>
      <c r="E287" s="75" t="s">
        <v>26</v>
      </c>
      <c r="F287" s="75" t="s">
        <v>17</v>
      </c>
      <c r="G287" s="75" t="s">
        <v>18</v>
      </c>
      <c r="H287" s="76">
        <v>45209.0</v>
      </c>
      <c r="I287" s="75">
        <v>104.0</v>
      </c>
      <c r="J287" s="77">
        <v>300.54</v>
      </c>
      <c r="K287" s="77">
        <v>241.65</v>
      </c>
      <c r="L287" s="77">
        <v>31256.160000000003</v>
      </c>
      <c r="M287" s="77">
        <v>25131.600000000002</v>
      </c>
      <c r="N287" s="77">
        <v>6124.560000000001</v>
      </c>
      <c r="O287" s="78">
        <v>0.1959472948692354</v>
      </c>
    </row>
    <row r="288" ht="15.75" customHeight="1">
      <c r="B288" s="75" t="s">
        <v>316</v>
      </c>
      <c r="C288" s="75" t="s">
        <v>14</v>
      </c>
      <c r="D288" s="75" t="s">
        <v>15</v>
      </c>
      <c r="E288" s="75" t="s">
        <v>39</v>
      </c>
      <c r="F288" s="75" t="s">
        <v>17</v>
      </c>
      <c r="G288" s="75" t="s">
        <v>18</v>
      </c>
      <c r="H288" s="76">
        <v>45210.0</v>
      </c>
      <c r="I288" s="75">
        <v>175.0</v>
      </c>
      <c r="J288" s="77">
        <v>339.54</v>
      </c>
      <c r="K288" s="77">
        <v>11.13</v>
      </c>
      <c r="L288" s="77">
        <v>59419.5</v>
      </c>
      <c r="M288" s="77">
        <v>1947.7500000000002</v>
      </c>
      <c r="N288" s="77">
        <v>57471.75</v>
      </c>
      <c r="O288" s="78">
        <v>0.9672203569535254</v>
      </c>
    </row>
    <row r="289" ht="15.75" customHeight="1">
      <c r="B289" s="75" t="s">
        <v>317</v>
      </c>
      <c r="C289" s="75" t="s">
        <v>52</v>
      </c>
      <c r="D289" s="75" t="s">
        <v>21</v>
      </c>
      <c r="E289" s="75" t="s">
        <v>16</v>
      </c>
      <c r="F289" s="75" t="s">
        <v>17</v>
      </c>
      <c r="G289" s="75" t="s">
        <v>23</v>
      </c>
      <c r="H289" s="76">
        <v>45211.0</v>
      </c>
      <c r="I289" s="75">
        <v>41.0</v>
      </c>
      <c r="J289" s="77">
        <v>224.14</v>
      </c>
      <c r="K289" s="77">
        <v>130.2</v>
      </c>
      <c r="L289" s="77">
        <v>9189.74</v>
      </c>
      <c r="M289" s="77">
        <v>5338.2</v>
      </c>
      <c r="N289" s="77">
        <v>3851.54</v>
      </c>
      <c r="O289" s="78">
        <v>0.41911305434103685</v>
      </c>
    </row>
    <row r="290" ht="15.75" customHeight="1">
      <c r="B290" s="75" t="s">
        <v>318</v>
      </c>
      <c r="C290" s="75" t="s">
        <v>14</v>
      </c>
      <c r="D290" s="75" t="s">
        <v>54</v>
      </c>
      <c r="E290" s="75" t="s">
        <v>22</v>
      </c>
      <c r="F290" s="75" t="s">
        <v>17</v>
      </c>
      <c r="G290" s="75" t="s">
        <v>31</v>
      </c>
      <c r="H290" s="76">
        <v>45212.0</v>
      </c>
      <c r="I290" s="75">
        <v>20.0</v>
      </c>
      <c r="J290" s="77">
        <v>225.67</v>
      </c>
      <c r="K290" s="77">
        <v>255.32</v>
      </c>
      <c r="L290" s="77">
        <v>4513.4</v>
      </c>
      <c r="M290" s="77">
        <v>5106.4</v>
      </c>
      <c r="N290" s="77">
        <v>-593.0</v>
      </c>
      <c r="O290" s="78">
        <v>-0.13138653786502416</v>
      </c>
    </row>
    <row r="291" ht="15.75" customHeight="1">
      <c r="B291" s="75" t="s">
        <v>319</v>
      </c>
      <c r="C291" s="75" t="s">
        <v>25</v>
      </c>
      <c r="D291" s="75" t="s">
        <v>34</v>
      </c>
      <c r="E291" s="75" t="s">
        <v>30</v>
      </c>
      <c r="F291" s="75" t="s">
        <v>27</v>
      </c>
      <c r="G291" s="75" t="s">
        <v>23</v>
      </c>
      <c r="H291" s="76">
        <v>45213.0</v>
      </c>
      <c r="I291" s="75">
        <v>310.0</v>
      </c>
      <c r="J291" s="77">
        <v>363.64</v>
      </c>
      <c r="K291" s="77">
        <v>61.3</v>
      </c>
      <c r="L291" s="77">
        <v>112728.4</v>
      </c>
      <c r="M291" s="77">
        <v>19003.0</v>
      </c>
      <c r="N291" s="77">
        <v>93725.4</v>
      </c>
      <c r="O291" s="78">
        <v>0.8314266857331427</v>
      </c>
    </row>
    <row r="292" ht="15.75" customHeight="1">
      <c r="B292" s="75" t="s">
        <v>320</v>
      </c>
      <c r="C292" s="75" t="s">
        <v>25</v>
      </c>
      <c r="D292" s="75" t="s">
        <v>34</v>
      </c>
      <c r="E292" s="75" t="s">
        <v>22</v>
      </c>
      <c r="F292" s="75" t="s">
        <v>27</v>
      </c>
      <c r="G292" s="75" t="s">
        <v>23</v>
      </c>
      <c r="H292" s="76">
        <v>45214.0</v>
      </c>
      <c r="I292" s="75">
        <v>226.0</v>
      </c>
      <c r="J292" s="77">
        <v>249.64520588235297</v>
      </c>
      <c r="K292" s="77">
        <v>278.78</v>
      </c>
      <c r="L292" s="77">
        <v>56419.81652941177</v>
      </c>
      <c r="M292" s="77">
        <v>63004.27999999999</v>
      </c>
      <c r="N292" s="77">
        <v>-6584.46347058822</v>
      </c>
      <c r="O292" s="78">
        <v>-0.11670480117842505</v>
      </c>
    </row>
    <row r="293" ht="15.75" customHeight="1">
      <c r="B293" s="75" t="s">
        <v>321</v>
      </c>
      <c r="C293" s="75" t="s">
        <v>25</v>
      </c>
      <c r="D293" s="75" t="s">
        <v>21</v>
      </c>
      <c r="E293" s="75" t="s">
        <v>22</v>
      </c>
      <c r="F293" s="75" t="s">
        <v>27</v>
      </c>
      <c r="G293" s="75" t="s">
        <v>31</v>
      </c>
      <c r="H293" s="76">
        <v>45215.0</v>
      </c>
      <c r="I293" s="75">
        <v>255.9029411764706</v>
      </c>
      <c r="J293" s="77">
        <v>173.84</v>
      </c>
      <c r="K293" s="77">
        <v>298.88</v>
      </c>
      <c r="L293" s="77">
        <v>44486.16729411765</v>
      </c>
      <c r="M293" s="77">
        <v>76484.27105882353</v>
      </c>
      <c r="N293" s="77">
        <v>-31998.103764705884</v>
      </c>
      <c r="O293" s="78">
        <v>-0.7192820984813622</v>
      </c>
    </row>
    <row r="294" ht="15.75" customHeight="1">
      <c r="B294" s="75" t="s">
        <v>322</v>
      </c>
      <c r="C294" s="75" t="s">
        <v>20</v>
      </c>
      <c r="D294" s="75" t="s">
        <v>15</v>
      </c>
      <c r="E294" s="75" t="s">
        <v>26</v>
      </c>
      <c r="F294" s="75" t="s">
        <v>17</v>
      </c>
      <c r="G294" s="75" t="s">
        <v>23</v>
      </c>
      <c r="H294" s="76">
        <v>45216.0</v>
      </c>
      <c r="I294" s="75">
        <v>111.0</v>
      </c>
      <c r="J294" s="77">
        <v>410.26</v>
      </c>
      <c r="K294" s="77">
        <v>392.82</v>
      </c>
      <c r="L294" s="77">
        <v>45538.86</v>
      </c>
      <c r="M294" s="77">
        <v>43603.02</v>
      </c>
      <c r="N294" s="77">
        <v>1935.8400000000038</v>
      </c>
      <c r="O294" s="78">
        <v>0.04250962804075473</v>
      </c>
    </row>
    <row r="295" ht="15.75" customHeight="1">
      <c r="B295" s="75" t="s">
        <v>323</v>
      </c>
      <c r="C295" s="75" t="s">
        <v>25</v>
      </c>
      <c r="D295" s="75" t="s">
        <v>15</v>
      </c>
      <c r="E295" s="75" t="s">
        <v>22</v>
      </c>
      <c r="F295" s="75" t="s">
        <v>27</v>
      </c>
      <c r="G295" s="75" t="s">
        <v>31</v>
      </c>
      <c r="H295" s="76">
        <v>45217.0</v>
      </c>
      <c r="I295" s="75">
        <v>434.0</v>
      </c>
      <c r="J295" s="77">
        <v>303.59</v>
      </c>
      <c r="K295" s="77">
        <v>85.52</v>
      </c>
      <c r="L295" s="77">
        <v>131758.06</v>
      </c>
      <c r="M295" s="77">
        <v>37115.68</v>
      </c>
      <c r="N295" s="77">
        <v>94642.38</v>
      </c>
      <c r="O295" s="78">
        <v>0.7183042919727264</v>
      </c>
    </row>
    <row r="296" ht="15.75" customHeight="1">
      <c r="B296" s="75" t="s">
        <v>324</v>
      </c>
      <c r="C296" s="75" t="s">
        <v>14</v>
      </c>
      <c r="D296" s="75" t="s">
        <v>54</v>
      </c>
      <c r="E296" s="75" t="s">
        <v>46</v>
      </c>
      <c r="F296" s="75" t="s">
        <v>27</v>
      </c>
      <c r="G296" s="75" t="s">
        <v>18</v>
      </c>
      <c r="H296" s="76">
        <v>45218.0</v>
      </c>
      <c r="I296" s="75">
        <v>401.0</v>
      </c>
      <c r="J296" s="77">
        <v>171.93</v>
      </c>
      <c r="K296" s="77">
        <v>330.4</v>
      </c>
      <c r="L296" s="77">
        <v>68943.93000000001</v>
      </c>
      <c r="M296" s="77">
        <v>132490.4</v>
      </c>
      <c r="N296" s="77">
        <v>-63546.46999999999</v>
      </c>
      <c r="O296" s="78">
        <v>-0.9217123247833418</v>
      </c>
    </row>
    <row r="297" ht="15.75" customHeight="1">
      <c r="B297" s="75" t="s">
        <v>325</v>
      </c>
      <c r="C297" s="75" t="s">
        <v>25</v>
      </c>
      <c r="D297" s="75" t="s">
        <v>21</v>
      </c>
      <c r="E297" s="75" t="s">
        <v>26</v>
      </c>
      <c r="F297" s="75" t="s">
        <v>27</v>
      </c>
      <c r="G297" s="75" t="s">
        <v>31</v>
      </c>
      <c r="H297" s="76">
        <v>45219.0</v>
      </c>
      <c r="I297" s="75">
        <v>276.0</v>
      </c>
      <c r="J297" s="77">
        <v>453.23</v>
      </c>
      <c r="K297" s="77">
        <v>209.08</v>
      </c>
      <c r="L297" s="77">
        <v>125091.48000000001</v>
      </c>
      <c r="M297" s="77">
        <v>57706.08</v>
      </c>
      <c r="N297" s="77">
        <v>67385.40000000001</v>
      </c>
      <c r="O297" s="78">
        <v>0.5386889658672197</v>
      </c>
    </row>
    <row r="298" ht="15.75" customHeight="1">
      <c r="B298" s="75" t="s">
        <v>326</v>
      </c>
      <c r="C298" s="75" t="s">
        <v>52</v>
      </c>
      <c r="D298" s="75" t="s">
        <v>34</v>
      </c>
      <c r="E298" s="75" t="s">
        <v>46</v>
      </c>
      <c r="F298" s="75" t="s">
        <v>17</v>
      </c>
      <c r="G298" s="75" t="s">
        <v>18</v>
      </c>
      <c r="H298" s="76">
        <v>45220.0</v>
      </c>
      <c r="I298" s="75">
        <v>255.9029411764706</v>
      </c>
      <c r="J298" s="77">
        <v>387.45</v>
      </c>
      <c r="K298" s="77">
        <v>150.64</v>
      </c>
      <c r="L298" s="77">
        <v>99149.59455882353</v>
      </c>
      <c r="M298" s="77">
        <v>38549.219058823524</v>
      </c>
      <c r="N298" s="77">
        <v>60600.37550000001</v>
      </c>
      <c r="O298" s="78">
        <v>0.6112014453477869</v>
      </c>
    </row>
    <row r="299" ht="15.75" customHeight="1">
      <c r="B299" s="75" t="s">
        <v>327</v>
      </c>
      <c r="C299" s="75" t="s">
        <v>52</v>
      </c>
      <c r="D299" s="75" t="s">
        <v>15</v>
      </c>
      <c r="E299" s="75" t="s">
        <v>30</v>
      </c>
      <c r="F299" s="75" t="s">
        <v>17</v>
      </c>
      <c r="G299" s="75" t="s">
        <v>23</v>
      </c>
      <c r="H299" s="76">
        <v>45221.0</v>
      </c>
      <c r="I299" s="75">
        <v>188.0</v>
      </c>
      <c r="J299" s="77">
        <v>136.12</v>
      </c>
      <c r="K299" s="77">
        <v>50.71</v>
      </c>
      <c r="L299" s="77">
        <v>25590.56</v>
      </c>
      <c r="M299" s="77">
        <v>9533.48</v>
      </c>
      <c r="N299" s="77">
        <v>16057.080000000002</v>
      </c>
      <c r="O299" s="78">
        <v>0.6274610637672642</v>
      </c>
    </row>
    <row r="300" ht="15.75" customHeight="1">
      <c r="B300" s="75" t="s">
        <v>328</v>
      </c>
      <c r="C300" s="75" t="s">
        <v>20</v>
      </c>
      <c r="D300" s="75" t="s">
        <v>21</v>
      </c>
      <c r="E300" s="75" t="s">
        <v>26</v>
      </c>
      <c r="F300" s="75" t="s">
        <v>17</v>
      </c>
      <c r="G300" s="75" t="s">
        <v>23</v>
      </c>
      <c r="H300" s="76">
        <v>45222.0</v>
      </c>
      <c r="I300" s="75">
        <v>97.0</v>
      </c>
      <c r="J300" s="77">
        <v>324.42</v>
      </c>
      <c r="K300" s="77">
        <v>294.73</v>
      </c>
      <c r="L300" s="77">
        <v>31468.74</v>
      </c>
      <c r="M300" s="77">
        <v>28588.81</v>
      </c>
      <c r="N300" s="77">
        <v>2879.9300000000003</v>
      </c>
      <c r="O300" s="78">
        <v>0.09151716910178165</v>
      </c>
    </row>
    <row r="301" ht="15.75" customHeight="1">
      <c r="B301" s="75" t="s">
        <v>329</v>
      </c>
      <c r="C301" s="75" t="s">
        <v>52</v>
      </c>
      <c r="D301" s="75" t="s">
        <v>15</v>
      </c>
      <c r="E301" s="75" t="s">
        <v>30</v>
      </c>
      <c r="F301" s="75" t="s">
        <v>27</v>
      </c>
      <c r="G301" s="75" t="s">
        <v>18</v>
      </c>
      <c r="H301" s="76">
        <v>45223.0</v>
      </c>
      <c r="I301" s="75">
        <v>50.0</v>
      </c>
      <c r="J301" s="77">
        <v>299.9</v>
      </c>
      <c r="K301" s="77">
        <v>95.87</v>
      </c>
      <c r="L301" s="77">
        <v>14994.999999999998</v>
      </c>
      <c r="M301" s="77">
        <v>4793.5</v>
      </c>
      <c r="N301" s="77">
        <v>10201.499999999998</v>
      </c>
      <c r="O301" s="78">
        <v>0.6803267755918639</v>
      </c>
    </row>
    <row r="302" ht="15.75" customHeight="1">
      <c r="B302" s="75" t="s">
        <v>330</v>
      </c>
      <c r="C302" s="75" t="s">
        <v>14</v>
      </c>
      <c r="D302" s="75" t="s">
        <v>15</v>
      </c>
      <c r="E302" s="75" t="s">
        <v>26</v>
      </c>
      <c r="F302" s="75" t="s">
        <v>27</v>
      </c>
      <c r="G302" s="75" t="s">
        <v>23</v>
      </c>
      <c r="H302" s="76">
        <v>45224.0</v>
      </c>
      <c r="I302" s="75">
        <v>410.0</v>
      </c>
      <c r="J302" s="77">
        <v>203.59</v>
      </c>
      <c r="K302" s="77">
        <v>149.83</v>
      </c>
      <c r="L302" s="77">
        <v>83471.9</v>
      </c>
      <c r="M302" s="77">
        <v>61430.3</v>
      </c>
      <c r="N302" s="77">
        <v>22041.59999999999</v>
      </c>
      <c r="O302" s="78">
        <v>0.264060120831082</v>
      </c>
    </row>
    <row r="303" ht="15.75" customHeight="1">
      <c r="B303" s="75" t="s">
        <v>331</v>
      </c>
      <c r="C303" s="75" t="s">
        <v>25</v>
      </c>
      <c r="D303" s="75" t="s">
        <v>34</v>
      </c>
      <c r="E303" s="75" t="s">
        <v>16</v>
      </c>
      <c r="F303" s="75" t="s">
        <v>27</v>
      </c>
      <c r="G303" s="75" t="s">
        <v>31</v>
      </c>
      <c r="H303" s="76">
        <v>45225.0</v>
      </c>
      <c r="I303" s="75">
        <v>85.0</v>
      </c>
      <c r="J303" s="77">
        <v>186.64</v>
      </c>
      <c r="K303" s="77">
        <v>26.89</v>
      </c>
      <c r="L303" s="77">
        <v>15864.4</v>
      </c>
      <c r="M303" s="77">
        <v>2285.65</v>
      </c>
      <c r="N303" s="77">
        <v>13578.75</v>
      </c>
      <c r="O303" s="78">
        <v>0.8559258465495071</v>
      </c>
    </row>
    <row r="304" ht="15.75" customHeight="1">
      <c r="B304" s="75" t="s">
        <v>332</v>
      </c>
      <c r="C304" s="75" t="s">
        <v>20</v>
      </c>
      <c r="D304" s="75" t="s">
        <v>29</v>
      </c>
      <c r="E304" s="75" t="s">
        <v>22</v>
      </c>
      <c r="F304" s="75" t="s">
        <v>17</v>
      </c>
      <c r="G304" s="75" t="s">
        <v>18</v>
      </c>
      <c r="H304" s="76">
        <v>45226.0</v>
      </c>
      <c r="I304" s="75">
        <v>386.0</v>
      </c>
      <c r="J304" s="77">
        <v>175.06</v>
      </c>
      <c r="K304" s="77">
        <v>320.94</v>
      </c>
      <c r="L304" s="77">
        <v>67573.16</v>
      </c>
      <c r="M304" s="77">
        <v>123882.84</v>
      </c>
      <c r="N304" s="77">
        <v>-56309.67999999999</v>
      </c>
      <c r="O304" s="78">
        <v>-0.8333142922426595</v>
      </c>
    </row>
    <row r="305" ht="15.75" customHeight="1">
      <c r="B305" s="75" t="s">
        <v>333</v>
      </c>
      <c r="C305" s="75" t="s">
        <v>25</v>
      </c>
      <c r="D305" s="75" t="s">
        <v>54</v>
      </c>
      <c r="E305" s="75" t="s">
        <v>16</v>
      </c>
      <c r="F305" s="75" t="s">
        <v>17</v>
      </c>
      <c r="G305" s="75" t="s">
        <v>23</v>
      </c>
      <c r="H305" s="76">
        <v>45227.0</v>
      </c>
      <c r="I305" s="75">
        <v>55.0</v>
      </c>
      <c r="J305" s="77">
        <v>310.49</v>
      </c>
      <c r="K305" s="77">
        <v>307.1</v>
      </c>
      <c r="L305" s="77">
        <v>17076.95</v>
      </c>
      <c r="M305" s="77">
        <v>16890.5</v>
      </c>
      <c r="N305" s="77">
        <v>186.45000000000073</v>
      </c>
      <c r="O305" s="78">
        <v>0.010918226029823869</v>
      </c>
    </row>
    <row r="306" ht="15.75" customHeight="1">
      <c r="B306" s="75" t="s">
        <v>334</v>
      </c>
      <c r="C306" s="75" t="s">
        <v>25</v>
      </c>
      <c r="D306" s="75" t="s">
        <v>54</v>
      </c>
      <c r="E306" s="75" t="s">
        <v>30</v>
      </c>
      <c r="F306" s="75" t="s">
        <v>27</v>
      </c>
      <c r="G306" s="75" t="s">
        <v>18</v>
      </c>
      <c r="H306" s="76">
        <v>45228.0</v>
      </c>
      <c r="I306" s="75">
        <v>169.0</v>
      </c>
      <c r="J306" s="77">
        <v>223.99</v>
      </c>
      <c r="K306" s="77">
        <v>293.98</v>
      </c>
      <c r="L306" s="77">
        <v>37854.310000000005</v>
      </c>
      <c r="M306" s="77">
        <v>49682.62</v>
      </c>
      <c r="N306" s="77">
        <v>-11828.309999999998</v>
      </c>
      <c r="O306" s="78">
        <v>-0.312469306665476</v>
      </c>
    </row>
    <row r="307" ht="15.75" customHeight="1">
      <c r="B307" s="75" t="s">
        <v>335</v>
      </c>
      <c r="C307" s="75" t="s">
        <v>14</v>
      </c>
      <c r="D307" s="75" t="s">
        <v>34</v>
      </c>
      <c r="E307" s="75" t="s">
        <v>22</v>
      </c>
      <c r="F307" s="75" t="s">
        <v>17</v>
      </c>
      <c r="G307" s="75" t="s">
        <v>31</v>
      </c>
      <c r="H307" s="76">
        <v>45229.0</v>
      </c>
      <c r="I307" s="75">
        <v>472.0</v>
      </c>
      <c r="J307" s="77">
        <v>416.77</v>
      </c>
      <c r="K307" s="77">
        <v>121.18</v>
      </c>
      <c r="L307" s="77">
        <v>196715.44</v>
      </c>
      <c r="M307" s="77">
        <v>57196.96000000001</v>
      </c>
      <c r="N307" s="77">
        <v>139518.47999999998</v>
      </c>
      <c r="O307" s="78">
        <v>0.7092401084531035</v>
      </c>
    </row>
    <row r="308" ht="15.75" customHeight="1">
      <c r="B308" s="75" t="s">
        <v>336</v>
      </c>
      <c r="C308" s="75" t="s">
        <v>52</v>
      </c>
      <c r="D308" s="75" t="s">
        <v>15</v>
      </c>
      <c r="E308" s="75" t="s">
        <v>26</v>
      </c>
      <c r="F308" s="75" t="s">
        <v>17</v>
      </c>
      <c r="G308" s="75" t="s">
        <v>31</v>
      </c>
      <c r="H308" s="76">
        <v>45230.0</v>
      </c>
      <c r="I308" s="75">
        <v>89.0</v>
      </c>
      <c r="J308" s="77">
        <v>336.45</v>
      </c>
      <c r="K308" s="77">
        <v>71.05</v>
      </c>
      <c r="L308" s="77">
        <v>29944.05</v>
      </c>
      <c r="M308" s="77">
        <v>6323.45</v>
      </c>
      <c r="N308" s="77">
        <v>23620.6</v>
      </c>
      <c r="O308" s="78">
        <v>0.7888244910090653</v>
      </c>
    </row>
    <row r="309" ht="15.75" customHeight="1">
      <c r="B309" s="75" t="s">
        <v>337</v>
      </c>
      <c r="C309" s="75" t="s">
        <v>52</v>
      </c>
      <c r="D309" s="75" t="s">
        <v>21</v>
      </c>
      <c r="E309" s="75" t="s">
        <v>22</v>
      </c>
      <c r="F309" s="75" t="s">
        <v>17</v>
      </c>
      <c r="G309" s="75" t="s">
        <v>23</v>
      </c>
      <c r="H309" s="76">
        <v>45231.0</v>
      </c>
      <c r="I309" s="75">
        <v>319.0</v>
      </c>
      <c r="J309" s="77">
        <v>39.62</v>
      </c>
      <c r="K309" s="77">
        <v>255.75</v>
      </c>
      <c r="L309" s="77">
        <v>12638.779999999999</v>
      </c>
      <c r="M309" s="77">
        <v>81584.25</v>
      </c>
      <c r="N309" s="77">
        <v>-68945.47</v>
      </c>
      <c r="O309" s="78">
        <v>-5.455073195355881</v>
      </c>
    </row>
    <row r="310" ht="15.75" customHeight="1">
      <c r="B310" s="75" t="s">
        <v>338</v>
      </c>
      <c r="C310" s="75" t="s">
        <v>25</v>
      </c>
      <c r="D310" s="75" t="s">
        <v>15</v>
      </c>
      <c r="E310" s="75" t="s">
        <v>39</v>
      </c>
      <c r="F310" s="75" t="s">
        <v>17</v>
      </c>
      <c r="G310" s="75" t="s">
        <v>31</v>
      </c>
      <c r="H310" s="76">
        <v>45232.0</v>
      </c>
      <c r="I310" s="75">
        <v>95.0</v>
      </c>
      <c r="J310" s="77">
        <v>321.88</v>
      </c>
      <c r="K310" s="77">
        <v>199.47</v>
      </c>
      <c r="L310" s="77">
        <v>30578.6</v>
      </c>
      <c r="M310" s="77">
        <v>18949.65</v>
      </c>
      <c r="N310" s="77">
        <v>11628.949999999997</v>
      </c>
      <c r="O310" s="78">
        <v>0.3802970050950664</v>
      </c>
    </row>
    <row r="311" ht="15.75" customHeight="1">
      <c r="B311" s="75" t="s">
        <v>339</v>
      </c>
      <c r="C311" s="75" t="s">
        <v>20</v>
      </c>
      <c r="D311" s="75" t="s">
        <v>34</v>
      </c>
      <c r="E311" s="75" t="s">
        <v>39</v>
      </c>
      <c r="F311" s="75" t="s">
        <v>27</v>
      </c>
      <c r="G311" s="75" t="s">
        <v>18</v>
      </c>
      <c r="H311" s="76">
        <v>45233.0</v>
      </c>
      <c r="I311" s="75">
        <v>101.0</v>
      </c>
      <c r="J311" s="77">
        <v>139.22</v>
      </c>
      <c r="K311" s="77">
        <v>72.94</v>
      </c>
      <c r="L311" s="77">
        <v>14061.22</v>
      </c>
      <c r="M311" s="77">
        <v>7366.94</v>
      </c>
      <c r="N311" s="77">
        <v>6694.28</v>
      </c>
      <c r="O311" s="78">
        <v>0.47608102284154574</v>
      </c>
    </row>
    <row r="312" ht="15.75" customHeight="1">
      <c r="B312" s="75" t="s">
        <v>340</v>
      </c>
      <c r="C312" s="75" t="s">
        <v>52</v>
      </c>
      <c r="D312" s="75" t="s">
        <v>54</v>
      </c>
      <c r="E312" s="75" t="s">
        <v>39</v>
      </c>
      <c r="F312" s="75" t="s">
        <v>17</v>
      </c>
      <c r="G312" s="75" t="s">
        <v>31</v>
      </c>
      <c r="H312" s="76">
        <v>45234.0</v>
      </c>
      <c r="I312" s="75">
        <v>157.0</v>
      </c>
      <c r="J312" s="77">
        <v>249.64520588235297</v>
      </c>
      <c r="K312" s="77">
        <v>274.99</v>
      </c>
      <c r="L312" s="77">
        <v>39194.29732352942</v>
      </c>
      <c r="M312" s="77">
        <v>43173.43</v>
      </c>
      <c r="N312" s="77">
        <v>-3979.132676470581</v>
      </c>
      <c r="O312" s="78">
        <v>-0.10152325588655975</v>
      </c>
    </row>
    <row r="313" ht="15.75" customHeight="1">
      <c r="B313" s="75" t="s">
        <v>341</v>
      </c>
      <c r="C313" s="75" t="s">
        <v>20</v>
      </c>
      <c r="D313" s="75" t="s">
        <v>15</v>
      </c>
      <c r="E313" s="75" t="s">
        <v>22</v>
      </c>
      <c r="F313" s="75" t="s">
        <v>17</v>
      </c>
      <c r="G313" s="75" t="s">
        <v>18</v>
      </c>
      <c r="H313" s="76">
        <v>45235.0</v>
      </c>
      <c r="I313" s="75">
        <v>170.0</v>
      </c>
      <c r="J313" s="77">
        <v>341.67</v>
      </c>
      <c r="K313" s="77">
        <v>396.47</v>
      </c>
      <c r="L313" s="77">
        <v>58083.9</v>
      </c>
      <c r="M313" s="77">
        <v>67399.90000000001</v>
      </c>
      <c r="N313" s="77">
        <v>-9316.000000000007</v>
      </c>
      <c r="O313" s="78">
        <v>-0.16038867913483784</v>
      </c>
    </row>
    <row r="314" ht="15.75" customHeight="1">
      <c r="B314" s="75" t="s">
        <v>342</v>
      </c>
      <c r="C314" s="75" t="s">
        <v>52</v>
      </c>
      <c r="D314" s="75" t="s">
        <v>54</v>
      </c>
      <c r="E314" s="75" t="s">
        <v>46</v>
      </c>
      <c r="F314" s="75" t="s">
        <v>17</v>
      </c>
      <c r="G314" s="75" t="s">
        <v>18</v>
      </c>
      <c r="H314" s="76">
        <v>45236.0</v>
      </c>
      <c r="I314" s="75">
        <v>211.0</v>
      </c>
      <c r="J314" s="77">
        <v>119.26</v>
      </c>
      <c r="K314" s="77">
        <v>299.39</v>
      </c>
      <c r="L314" s="77">
        <v>25163.86</v>
      </c>
      <c r="M314" s="77">
        <v>63171.28999999999</v>
      </c>
      <c r="N314" s="77">
        <v>-38007.42999999999</v>
      </c>
      <c r="O314" s="78">
        <v>-1.5103974509475093</v>
      </c>
    </row>
    <row r="315" ht="15.75" customHeight="1">
      <c r="B315" s="75" t="s">
        <v>343</v>
      </c>
      <c r="C315" s="75" t="s">
        <v>20</v>
      </c>
      <c r="D315" s="75" t="s">
        <v>21</v>
      </c>
      <c r="E315" s="75" t="s">
        <v>30</v>
      </c>
      <c r="F315" s="75" t="s">
        <v>17</v>
      </c>
      <c r="G315" s="75" t="s">
        <v>31</v>
      </c>
      <c r="H315" s="76">
        <v>45237.0</v>
      </c>
      <c r="I315" s="75">
        <v>433.0</v>
      </c>
      <c r="J315" s="77">
        <v>231.15</v>
      </c>
      <c r="K315" s="77">
        <v>296.51</v>
      </c>
      <c r="L315" s="77">
        <v>100087.95</v>
      </c>
      <c r="M315" s="77">
        <v>128388.83</v>
      </c>
      <c r="N315" s="77">
        <v>-28300.880000000005</v>
      </c>
      <c r="O315" s="78">
        <v>-0.28276011248107297</v>
      </c>
    </row>
    <row r="316" ht="15.75" customHeight="1">
      <c r="B316" s="75" t="s">
        <v>344</v>
      </c>
      <c r="C316" s="75" t="s">
        <v>14</v>
      </c>
      <c r="D316" s="75" t="s">
        <v>54</v>
      </c>
      <c r="E316" s="75" t="s">
        <v>16</v>
      </c>
      <c r="F316" s="75" t="s">
        <v>27</v>
      </c>
      <c r="G316" s="75" t="s">
        <v>23</v>
      </c>
      <c r="H316" s="76">
        <v>45238.0</v>
      </c>
      <c r="I316" s="75">
        <v>425.0</v>
      </c>
      <c r="J316" s="77">
        <v>99.21</v>
      </c>
      <c r="K316" s="77">
        <v>380.22</v>
      </c>
      <c r="L316" s="77">
        <v>42164.25</v>
      </c>
      <c r="M316" s="77">
        <v>161593.5</v>
      </c>
      <c r="N316" s="77">
        <v>-119429.25</v>
      </c>
      <c r="O316" s="78">
        <v>-2.832476564862413</v>
      </c>
    </row>
    <row r="317" ht="15.75" customHeight="1">
      <c r="B317" s="75" t="s">
        <v>345</v>
      </c>
      <c r="C317" s="75" t="s">
        <v>20</v>
      </c>
      <c r="D317" s="75" t="s">
        <v>54</v>
      </c>
      <c r="E317" s="75" t="s">
        <v>26</v>
      </c>
      <c r="F317" s="75" t="s">
        <v>27</v>
      </c>
      <c r="G317" s="75" t="s">
        <v>31</v>
      </c>
      <c r="H317" s="76">
        <v>45239.0</v>
      </c>
      <c r="I317" s="75">
        <v>251.0</v>
      </c>
      <c r="J317" s="77">
        <v>30.91</v>
      </c>
      <c r="K317" s="77">
        <v>82.77</v>
      </c>
      <c r="L317" s="77">
        <v>7758.41</v>
      </c>
      <c r="M317" s="77">
        <v>20775.27</v>
      </c>
      <c r="N317" s="77">
        <v>-13016.86</v>
      </c>
      <c r="O317" s="78">
        <v>-1.6777741831122615</v>
      </c>
    </row>
    <row r="318" ht="15.75" customHeight="1">
      <c r="B318" s="75" t="s">
        <v>346</v>
      </c>
      <c r="C318" s="75" t="s">
        <v>14</v>
      </c>
      <c r="D318" s="75" t="s">
        <v>29</v>
      </c>
      <c r="E318" s="75" t="s">
        <v>22</v>
      </c>
      <c r="F318" s="75" t="s">
        <v>17</v>
      </c>
      <c r="G318" s="75" t="s">
        <v>18</v>
      </c>
      <c r="H318" s="76">
        <v>45240.0</v>
      </c>
      <c r="I318" s="75">
        <v>255.9029411764706</v>
      </c>
      <c r="J318" s="77">
        <v>192.35</v>
      </c>
      <c r="K318" s="77">
        <v>227.09</v>
      </c>
      <c r="L318" s="77">
        <v>49222.93073529412</v>
      </c>
      <c r="M318" s="77">
        <v>58112.998911764706</v>
      </c>
      <c r="N318" s="77">
        <v>-8890.068176470588</v>
      </c>
      <c r="O318" s="78">
        <v>-0.18060826618144007</v>
      </c>
    </row>
    <row r="319" ht="15.75" customHeight="1">
      <c r="B319" s="75" t="s">
        <v>347</v>
      </c>
      <c r="C319" s="75" t="s">
        <v>14</v>
      </c>
      <c r="D319" s="75" t="s">
        <v>29</v>
      </c>
      <c r="E319" s="75" t="s">
        <v>16</v>
      </c>
      <c r="F319" s="75" t="s">
        <v>17</v>
      </c>
      <c r="G319" s="75" t="s">
        <v>18</v>
      </c>
      <c r="H319" s="76">
        <v>45241.0</v>
      </c>
      <c r="I319" s="75">
        <v>11.0</v>
      </c>
      <c r="J319" s="77">
        <v>184.66</v>
      </c>
      <c r="K319" s="77">
        <v>391.9</v>
      </c>
      <c r="L319" s="77">
        <v>2031.26</v>
      </c>
      <c r="M319" s="77">
        <v>4310.9</v>
      </c>
      <c r="N319" s="77">
        <v>-2279.6399999999994</v>
      </c>
      <c r="O319" s="78">
        <v>-1.1222787826275313</v>
      </c>
    </row>
    <row r="320" ht="15.75" customHeight="1">
      <c r="B320" s="75" t="s">
        <v>348</v>
      </c>
      <c r="C320" s="75" t="s">
        <v>20</v>
      </c>
      <c r="D320" s="75" t="s">
        <v>29</v>
      </c>
      <c r="E320" s="75" t="s">
        <v>26</v>
      </c>
      <c r="F320" s="75" t="s">
        <v>17</v>
      </c>
      <c r="G320" s="75" t="s">
        <v>31</v>
      </c>
      <c r="H320" s="76">
        <v>45242.0</v>
      </c>
      <c r="I320" s="75">
        <v>234.0</v>
      </c>
      <c r="J320" s="77">
        <v>497.76</v>
      </c>
      <c r="K320" s="77">
        <v>67.79</v>
      </c>
      <c r="L320" s="77">
        <v>116475.84</v>
      </c>
      <c r="M320" s="77">
        <v>15862.86</v>
      </c>
      <c r="N320" s="77">
        <v>100612.98</v>
      </c>
      <c r="O320" s="78">
        <v>0.863809868209579</v>
      </c>
    </row>
    <row r="321" ht="15.75" customHeight="1">
      <c r="B321" s="75" t="s">
        <v>349</v>
      </c>
      <c r="C321" s="75" t="s">
        <v>14</v>
      </c>
      <c r="D321" s="75" t="s">
        <v>54</v>
      </c>
      <c r="E321" s="75" t="s">
        <v>26</v>
      </c>
      <c r="F321" s="75" t="s">
        <v>17</v>
      </c>
      <c r="G321" s="75" t="s">
        <v>23</v>
      </c>
      <c r="H321" s="76">
        <v>45243.0</v>
      </c>
      <c r="I321" s="75">
        <v>255.9029411764706</v>
      </c>
      <c r="J321" s="77">
        <v>225.94</v>
      </c>
      <c r="K321" s="77">
        <v>280.7</v>
      </c>
      <c r="L321" s="77">
        <v>57818.710529411765</v>
      </c>
      <c r="M321" s="77">
        <v>71831.95558823529</v>
      </c>
      <c r="N321" s="77">
        <v>-14013.245058823522</v>
      </c>
      <c r="O321" s="78">
        <v>-0.24236522970700175</v>
      </c>
    </row>
    <row r="322" ht="15.75" customHeight="1">
      <c r="B322" s="75" t="s">
        <v>350</v>
      </c>
      <c r="C322" s="75" t="s">
        <v>25</v>
      </c>
      <c r="D322" s="75" t="s">
        <v>34</v>
      </c>
      <c r="E322" s="75" t="s">
        <v>46</v>
      </c>
      <c r="F322" s="75" t="s">
        <v>17</v>
      </c>
      <c r="G322" s="75" t="s">
        <v>23</v>
      </c>
      <c r="H322" s="76">
        <v>45244.0</v>
      </c>
      <c r="I322" s="75">
        <v>242.0</v>
      </c>
      <c r="J322" s="77">
        <v>170.12</v>
      </c>
      <c r="K322" s="77">
        <v>235.15</v>
      </c>
      <c r="L322" s="77">
        <v>41169.04</v>
      </c>
      <c r="M322" s="77">
        <v>56906.3</v>
      </c>
      <c r="N322" s="77">
        <v>-15737.260000000002</v>
      </c>
      <c r="O322" s="78">
        <v>-0.38225958147190225</v>
      </c>
    </row>
    <row r="323" ht="15.75" customHeight="1">
      <c r="B323" s="75" t="s">
        <v>351</v>
      </c>
      <c r="C323" s="75" t="s">
        <v>14</v>
      </c>
      <c r="D323" s="75" t="s">
        <v>54</v>
      </c>
      <c r="E323" s="75" t="s">
        <v>30</v>
      </c>
      <c r="F323" s="75" t="s">
        <v>17</v>
      </c>
      <c r="G323" s="75" t="s">
        <v>18</v>
      </c>
      <c r="H323" s="76">
        <v>45245.0</v>
      </c>
      <c r="I323" s="75">
        <v>470.0</v>
      </c>
      <c r="J323" s="77">
        <v>292.34</v>
      </c>
      <c r="K323" s="77">
        <v>235.42</v>
      </c>
      <c r="L323" s="77">
        <v>137399.8</v>
      </c>
      <c r="M323" s="77">
        <v>110647.4</v>
      </c>
      <c r="N323" s="77">
        <v>26752.399999999994</v>
      </c>
      <c r="O323" s="78">
        <v>0.1947047957857289</v>
      </c>
    </row>
    <row r="324" ht="15.75" customHeight="1">
      <c r="B324" s="75" t="s">
        <v>352</v>
      </c>
      <c r="C324" s="75" t="s">
        <v>52</v>
      </c>
      <c r="D324" s="75" t="s">
        <v>34</v>
      </c>
      <c r="E324" s="75" t="s">
        <v>30</v>
      </c>
      <c r="F324" s="75" t="s">
        <v>27</v>
      </c>
      <c r="G324" s="75" t="s">
        <v>18</v>
      </c>
      <c r="H324" s="76">
        <v>45246.0</v>
      </c>
      <c r="I324" s="75">
        <v>423.0</v>
      </c>
      <c r="J324" s="77">
        <v>48.94</v>
      </c>
      <c r="K324" s="77">
        <v>279.67</v>
      </c>
      <c r="L324" s="77">
        <v>20701.62</v>
      </c>
      <c r="M324" s="77">
        <v>118300.41</v>
      </c>
      <c r="N324" s="77">
        <v>-97598.79000000001</v>
      </c>
      <c r="O324" s="78">
        <v>-4.714548426644872</v>
      </c>
    </row>
    <row r="325" ht="15.75" customHeight="1">
      <c r="B325" s="75" t="s">
        <v>353</v>
      </c>
      <c r="C325" s="75" t="s">
        <v>20</v>
      </c>
      <c r="D325" s="75" t="s">
        <v>34</v>
      </c>
      <c r="E325" s="75" t="s">
        <v>16</v>
      </c>
      <c r="F325" s="75" t="s">
        <v>17</v>
      </c>
      <c r="G325" s="75" t="s">
        <v>23</v>
      </c>
      <c r="H325" s="76">
        <v>45247.0</v>
      </c>
      <c r="I325" s="75">
        <v>426.0</v>
      </c>
      <c r="J325" s="77">
        <v>481.02</v>
      </c>
      <c r="K325" s="77">
        <v>371.99</v>
      </c>
      <c r="L325" s="77">
        <v>204914.52</v>
      </c>
      <c r="M325" s="77">
        <v>158467.74</v>
      </c>
      <c r="N325" s="77">
        <v>46446.78</v>
      </c>
      <c r="O325" s="78">
        <v>0.22666417196790156</v>
      </c>
    </row>
    <row r="326" ht="15.75" customHeight="1">
      <c r="B326" s="75" t="s">
        <v>354</v>
      </c>
      <c r="C326" s="75" t="s">
        <v>25</v>
      </c>
      <c r="D326" s="75" t="s">
        <v>29</v>
      </c>
      <c r="E326" s="75" t="s">
        <v>30</v>
      </c>
      <c r="F326" s="75" t="s">
        <v>27</v>
      </c>
      <c r="G326" s="75" t="s">
        <v>31</v>
      </c>
      <c r="H326" s="76">
        <v>45248.0</v>
      </c>
      <c r="I326" s="75">
        <v>86.0</v>
      </c>
      <c r="J326" s="77">
        <v>319.31</v>
      </c>
      <c r="K326" s="77">
        <v>313.47</v>
      </c>
      <c r="L326" s="77">
        <v>27460.66</v>
      </c>
      <c r="M326" s="77">
        <v>26958.420000000002</v>
      </c>
      <c r="N326" s="77">
        <v>502.23999999999796</v>
      </c>
      <c r="O326" s="78">
        <v>0.01828943659766364</v>
      </c>
    </row>
    <row r="327" ht="15.75" customHeight="1">
      <c r="B327" s="75" t="s">
        <v>355</v>
      </c>
      <c r="C327" s="75" t="s">
        <v>20</v>
      </c>
      <c r="D327" s="75" t="s">
        <v>15</v>
      </c>
      <c r="E327" s="75" t="s">
        <v>22</v>
      </c>
      <c r="F327" s="75" t="s">
        <v>27</v>
      </c>
      <c r="G327" s="75" t="s">
        <v>18</v>
      </c>
      <c r="H327" s="76">
        <v>45249.0</v>
      </c>
      <c r="I327" s="75">
        <v>125.0</v>
      </c>
      <c r="J327" s="77">
        <v>378.64</v>
      </c>
      <c r="K327" s="77">
        <v>24.34</v>
      </c>
      <c r="L327" s="77">
        <v>47330.0</v>
      </c>
      <c r="M327" s="77">
        <v>3042.5</v>
      </c>
      <c r="N327" s="77">
        <v>44287.5</v>
      </c>
      <c r="O327" s="78">
        <v>0.9357173040354955</v>
      </c>
    </row>
    <row r="328" ht="15.75" customHeight="1">
      <c r="B328" s="75" t="s">
        <v>356</v>
      </c>
      <c r="C328" s="75" t="s">
        <v>52</v>
      </c>
      <c r="D328" s="75" t="s">
        <v>21</v>
      </c>
      <c r="E328" s="75" t="s">
        <v>39</v>
      </c>
      <c r="F328" s="75" t="s">
        <v>17</v>
      </c>
      <c r="G328" s="75" t="s">
        <v>18</v>
      </c>
      <c r="H328" s="76">
        <v>45250.0</v>
      </c>
      <c r="I328" s="75">
        <v>163.0</v>
      </c>
      <c r="J328" s="77">
        <v>89.39</v>
      </c>
      <c r="K328" s="77">
        <v>341.39</v>
      </c>
      <c r="L328" s="77">
        <v>14570.57</v>
      </c>
      <c r="M328" s="77">
        <v>55646.57</v>
      </c>
      <c r="N328" s="77">
        <v>-41076.0</v>
      </c>
      <c r="O328" s="78">
        <v>-2.8191072826938135</v>
      </c>
    </row>
    <row r="329" ht="15.75" customHeight="1">
      <c r="B329" s="75" t="s">
        <v>357</v>
      </c>
      <c r="C329" s="75" t="s">
        <v>52</v>
      </c>
      <c r="D329" s="75" t="s">
        <v>29</v>
      </c>
      <c r="E329" s="75" t="s">
        <v>16</v>
      </c>
      <c r="F329" s="75" t="s">
        <v>27</v>
      </c>
      <c r="G329" s="75" t="s">
        <v>23</v>
      </c>
      <c r="H329" s="76">
        <v>45251.0</v>
      </c>
      <c r="I329" s="75">
        <v>415.0</v>
      </c>
      <c r="J329" s="77">
        <v>207.69</v>
      </c>
      <c r="K329" s="77">
        <v>91.77</v>
      </c>
      <c r="L329" s="77">
        <v>86191.35</v>
      </c>
      <c r="M329" s="77">
        <v>38084.549999999996</v>
      </c>
      <c r="N329" s="77">
        <v>48106.80000000001</v>
      </c>
      <c r="O329" s="78">
        <v>0.558139534883721</v>
      </c>
    </row>
    <row r="330" ht="15.75" customHeight="1">
      <c r="B330" s="75" t="s">
        <v>358</v>
      </c>
      <c r="C330" s="75" t="s">
        <v>52</v>
      </c>
      <c r="D330" s="75" t="s">
        <v>29</v>
      </c>
      <c r="E330" s="75" t="s">
        <v>30</v>
      </c>
      <c r="F330" s="75" t="s">
        <v>27</v>
      </c>
      <c r="G330" s="75" t="s">
        <v>31</v>
      </c>
      <c r="H330" s="76">
        <v>45252.0</v>
      </c>
      <c r="I330" s="75">
        <v>112.0</v>
      </c>
      <c r="J330" s="77">
        <v>214.23</v>
      </c>
      <c r="K330" s="77">
        <v>152.01</v>
      </c>
      <c r="L330" s="77">
        <v>23993.76</v>
      </c>
      <c r="M330" s="77">
        <v>17025.12</v>
      </c>
      <c r="N330" s="77">
        <v>6968.639999999999</v>
      </c>
      <c r="O330" s="78">
        <v>0.2904355132334407</v>
      </c>
    </row>
    <row r="331" ht="15.75" customHeight="1">
      <c r="B331" s="75" t="s">
        <v>359</v>
      </c>
      <c r="C331" s="75" t="s">
        <v>14</v>
      </c>
      <c r="D331" s="75" t="s">
        <v>15</v>
      </c>
      <c r="E331" s="75" t="s">
        <v>22</v>
      </c>
      <c r="F331" s="75" t="s">
        <v>27</v>
      </c>
      <c r="G331" s="75" t="s">
        <v>23</v>
      </c>
      <c r="H331" s="76">
        <v>45253.0</v>
      </c>
      <c r="I331" s="75">
        <v>203.0</v>
      </c>
      <c r="J331" s="77">
        <v>411.79</v>
      </c>
      <c r="K331" s="77">
        <v>185.77</v>
      </c>
      <c r="L331" s="77">
        <v>83593.37000000001</v>
      </c>
      <c r="M331" s="77">
        <v>37711.310000000005</v>
      </c>
      <c r="N331" s="77">
        <v>45882.060000000005</v>
      </c>
      <c r="O331" s="78">
        <v>0.5488719978629885</v>
      </c>
    </row>
    <row r="332" ht="15.75" customHeight="1">
      <c r="B332" s="75" t="s">
        <v>360</v>
      </c>
      <c r="C332" s="75" t="s">
        <v>14</v>
      </c>
      <c r="D332" s="75" t="s">
        <v>21</v>
      </c>
      <c r="E332" s="75" t="s">
        <v>46</v>
      </c>
      <c r="F332" s="75" t="s">
        <v>27</v>
      </c>
      <c r="G332" s="75" t="s">
        <v>31</v>
      </c>
      <c r="H332" s="76">
        <v>45254.0</v>
      </c>
      <c r="I332" s="75">
        <v>255.9029411764706</v>
      </c>
      <c r="J332" s="77">
        <v>5.61</v>
      </c>
      <c r="K332" s="77">
        <v>193.4</v>
      </c>
      <c r="L332" s="77">
        <v>1435.6155</v>
      </c>
      <c r="M332" s="77">
        <v>49491.62882352941</v>
      </c>
      <c r="N332" s="77">
        <v>-48056.01332352941</v>
      </c>
      <c r="O332" s="78">
        <v>-33.474153297682705</v>
      </c>
    </row>
    <row r="333" ht="15.75" customHeight="1">
      <c r="B333" s="75" t="s">
        <v>361</v>
      </c>
      <c r="C333" s="75" t="s">
        <v>20</v>
      </c>
      <c r="D333" s="75" t="s">
        <v>54</v>
      </c>
      <c r="E333" s="75" t="s">
        <v>16</v>
      </c>
      <c r="F333" s="75" t="s">
        <v>27</v>
      </c>
      <c r="G333" s="75" t="s">
        <v>31</v>
      </c>
      <c r="H333" s="76">
        <v>45255.0</v>
      </c>
      <c r="I333" s="75">
        <v>368.0</v>
      </c>
      <c r="J333" s="77">
        <v>153.92</v>
      </c>
      <c r="K333" s="77">
        <v>175.2</v>
      </c>
      <c r="L333" s="77">
        <v>56642.56</v>
      </c>
      <c r="M333" s="77">
        <v>64473.6</v>
      </c>
      <c r="N333" s="77">
        <v>-7831.040000000001</v>
      </c>
      <c r="O333" s="78">
        <v>-0.13825363825363826</v>
      </c>
    </row>
    <row r="334" ht="15.75" customHeight="1">
      <c r="B334" s="75" t="s">
        <v>362</v>
      </c>
      <c r="C334" s="75" t="s">
        <v>20</v>
      </c>
      <c r="D334" s="75" t="s">
        <v>54</v>
      </c>
      <c r="E334" s="75" t="s">
        <v>46</v>
      </c>
      <c r="F334" s="75" t="s">
        <v>27</v>
      </c>
      <c r="G334" s="75" t="s">
        <v>31</v>
      </c>
      <c r="H334" s="76">
        <v>45256.0</v>
      </c>
      <c r="I334" s="75">
        <v>99.0</v>
      </c>
      <c r="J334" s="77">
        <v>490.71</v>
      </c>
      <c r="K334" s="77">
        <v>375.07</v>
      </c>
      <c r="L334" s="77">
        <v>48580.29</v>
      </c>
      <c r="M334" s="77">
        <v>37131.93</v>
      </c>
      <c r="N334" s="77">
        <v>11448.36</v>
      </c>
      <c r="O334" s="78">
        <v>0.2356585355912861</v>
      </c>
    </row>
    <row r="335" ht="15.75" customHeight="1">
      <c r="B335" s="75" t="s">
        <v>363</v>
      </c>
      <c r="C335" s="75" t="s">
        <v>25</v>
      </c>
      <c r="D335" s="75" t="s">
        <v>29</v>
      </c>
      <c r="E335" s="75" t="s">
        <v>46</v>
      </c>
      <c r="F335" s="75" t="s">
        <v>17</v>
      </c>
      <c r="G335" s="75" t="s">
        <v>18</v>
      </c>
      <c r="H335" s="76">
        <v>45257.0</v>
      </c>
      <c r="I335" s="75">
        <v>183.0</v>
      </c>
      <c r="J335" s="77">
        <v>240.07</v>
      </c>
      <c r="K335" s="77">
        <v>283.0</v>
      </c>
      <c r="L335" s="77">
        <v>43932.81</v>
      </c>
      <c r="M335" s="77">
        <v>51789.0</v>
      </c>
      <c r="N335" s="77">
        <v>-7856.190000000002</v>
      </c>
      <c r="O335" s="78">
        <v>-0.17882284333736</v>
      </c>
    </row>
    <row r="336" ht="15.75" customHeight="1">
      <c r="B336" s="75" t="s">
        <v>364</v>
      </c>
      <c r="C336" s="75" t="s">
        <v>39</v>
      </c>
      <c r="D336" s="75" t="s">
        <v>21</v>
      </c>
      <c r="E336" s="75" t="s">
        <v>46</v>
      </c>
      <c r="F336" s="75" t="s">
        <v>27</v>
      </c>
      <c r="G336" s="75" t="s">
        <v>23</v>
      </c>
      <c r="H336" s="76">
        <v>45258.0</v>
      </c>
      <c r="I336" s="75">
        <v>131.0</v>
      </c>
      <c r="J336" s="77">
        <v>194.35</v>
      </c>
      <c r="K336" s="77">
        <v>253.21</v>
      </c>
      <c r="L336" s="77">
        <v>25459.85</v>
      </c>
      <c r="M336" s="77">
        <v>33170.51</v>
      </c>
      <c r="N336" s="77">
        <v>-7710.6600000000035</v>
      </c>
      <c r="O336" s="78">
        <v>-0.3028556727553385</v>
      </c>
    </row>
    <row r="337" ht="15.75" customHeight="1">
      <c r="B337" s="75" t="s">
        <v>365</v>
      </c>
      <c r="C337" s="75" t="s">
        <v>20</v>
      </c>
      <c r="D337" s="75" t="s">
        <v>29</v>
      </c>
      <c r="E337" s="75" t="s">
        <v>26</v>
      </c>
      <c r="F337" s="75" t="s">
        <v>27</v>
      </c>
      <c r="G337" s="75" t="s">
        <v>23</v>
      </c>
      <c r="H337" s="76">
        <v>45259.0</v>
      </c>
      <c r="I337" s="75">
        <v>152.0</v>
      </c>
      <c r="J337" s="77">
        <v>64.32</v>
      </c>
      <c r="K337" s="77">
        <v>21.84</v>
      </c>
      <c r="L337" s="77">
        <v>9776.64</v>
      </c>
      <c r="M337" s="77">
        <v>3319.68</v>
      </c>
      <c r="N337" s="77">
        <v>6456.959999999999</v>
      </c>
      <c r="O337" s="78">
        <v>0.6604477611940298</v>
      </c>
    </row>
    <row r="338" ht="15.75" customHeight="1">
      <c r="B338" s="75" t="s">
        <v>366</v>
      </c>
      <c r="C338" s="75" t="s">
        <v>14</v>
      </c>
      <c r="D338" s="75" t="s">
        <v>34</v>
      </c>
      <c r="E338" s="75" t="s">
        <v>26</v>
      </c>
      <c r="F338" s="75" t="s">
        <v>27</v>
      </c>
      <c r="G338" s="75" t="s">
        <v>31</v>
      </c>
      <c r="H338" s="76">
        <v>45260.0</v>
      </c>
      <c r="I338" s="75">
        <v>491.0</v>
      </c>
      <c r="J338" s="77">
        <v>487.21</v>
      </c>
      <c r="K338" s="77">
        <v>361.76</v>
      </c>
      <c r="L338" s="77">
        <v>239220.11</v>
      </c>
      <c r="M338" s="77">
        <v>177624.16</v>
      </c>
      <c r="N338" s="77">
        <v>61595.94999999998</v>
      </c>
      <c r="O338" s="78">
        <v>0.2574865047925945</v>
      </c>
    </row>
    <row r="339" ht="15.75" customHeight="1">
      <c r="B339" s="75" t="s">
        <v>367</v>
      </c>
      <c r="C339" s="75" t="s">
        <v>52</v>
      </c>
      <c r="D339" s="75" t="s">
        <v>29</v>
      </c>
      <c r="E339" s="75" t="s">
        <v>46</v>
      </c>
      <c r="F339" s="75" t="s">
        <v>17</v>
      </c>
      <c r="G339" s="75" t="s">
        <v>18</v>
      </c>
      <c r="H339" s="76">
        <v>45261.0</v>
      </c>
      <c r="I339" s="75">
        <v>115.0</v>
      </c>
      <c r="J339" s="77">
        <v>14.91</v>
      </c>
      <c r="K339" s="77">
        <v>363.94</v>
      </c>
      <c r="L339" s="77">
        <v>1714.65</v>
      </c>
      <c r="M339" s="77">
        <v>41853.1</v>
      </c>
      <c r="N339" s="77">
        <v>-40138.45</v>
      </c>
      <c r="O339" s="78">
        <v>-23.409121395036884</v>
      </c>
    </row>
    <row r="340" ht="15.75" customHeight="1">
      <c r="B340" s="75" t="s">
        <v>368</v>
      </c>
      <c r="C340" s="75" t="s">
        <v>20</v>
      </c>
      <c r="D340" s="75" t="s">
        <v>29</v>
      </c>
      <c r="E340" s="75" t="s">
        <v>16</v>
      </c>
      <c r="F340" s="75" t="s">
        <v>27</v>
      </c>
      <c r="G340" s="75" t="s">
        <v>18</v>
      </c>
      <c r="H340" s="76">
        <v>45262.0</v>
      </c>
      <c r="I340" s="75">
        <v>384.0</v>
      </c>
      <c r="J340" s="77">
        <v>369.9</v>
      </c>
      <c r="K340" s="77">
        <v>312.52</v>
      </c>
      <c r="L340" s="77">
        <v>142041.59999999998</v>
      </c>
      <c r="M340" s="77">
        <v>120007.68</v>
      </c>
      <c r="N340" s="77">
        <v>22033.919999999984</v>
      </c>
      <c r="O340" s="78">
        <v>0.15512300621789665</v>
      </c>
    </row>
    <row r="341" ht="15.75" customHeight="1">
      <c r="B341" s="75" t="s">
        <v>369</v>
      </c>
      <c r="C341" s="75" t="s">
        <v>25</v>
      </c>
      <c r="D341" s="75" t="s">
        <v>54</v>
      </c>
      <c r="E341" s="75" t="s">
        <v>22</v>
      </c>
      <c r="F341" s="75" t="s">
        <v>17</v>
      </c>
      <c r="G341" s="75" t="s">
        <v>23</v>
      </c>
      <c r="H341" s="76">
        <v>45263.0</v>
      </c>
      <c r="I341" s="75">
        <v>437.0</v>
      </c>
      <c r="J341" s="77">
        <v>385.46</v>
      </c>
      <c r="K341" s="77">
        <v>4.8</v>
      </c>
      <c r="L341" s="77">
        <v>168446.02</v>
      </c>
      <c r="M341" s="77">
        <v>2097.6</v>
      </c>
      <c r="N341" s="77">
        <v>166348.41999999998</v>
      </c>
      <c r="O341" s="78">
        <v>0.9875473460281222</v>
      </c>
    </row>
    <row r="342" ht="15.75" customHeight="1">
      <c r="B342" s="75" t="s">
        <v>370</v>
      </c>
      <c r="C342" s="75" t="s">
        <v>14</v>
      </c>
      <c r="D342" s="75" t="s">
        <v>54</v>
      </c>
      <c r="E342" s="75" t="s">
        <v>22</v>
      </c>
      <c r="F342" s="75" t="s">
        <v>27</v>
      </c>
      <c r="G342" s="75" t="s">
        <v>18</v>
      </c>
      <c r="H342" s="76">
        <v>45264.0</v>
      </c>
      <c r="I342" s="75">
        <v>314.0</v>
      </c>
      <c r="J342" s="77">
        <v>125.61</v>
      </c>
      <c r="K342" s="77">
        <v>24.8</v>
      </c>
      <c r="L342" s="77">
        <v>39441.54</v>
      </c>
      <c r="M342" s="77">
        <v>7787.2</v>
      </c>
      <c r="N342" s="77">
        <v>31654.34</v>
      </c>
      <c r="O342" s="78">
        <v>0.8025634901679802</v>
      </c>
    </row>
    <row r="343" ht="15.75" customHeight="1">
      <c r="B343" s="75" t="s">
        <v>371</v>
      </c>
      <c r="C343" s="75" t="s">
        <v>20</v>
      </c>
      <c r="D343" s="75" t="s">
        <v>54</v>
      </c>
      <c r="E343" s="75" t="s">
        <v>30</v>
      </c>
      <c r="F343" s="75" t="s">
        <v>17</v>
      </c>
      <c r="G343" s="75" t="s">
        <v>18</v>
      </c>
      <c r="H343" s="76">
        <v>45265.0</v>
      </c>
      <c r="I343" s="75">
        <v>369.0</v>
      </c>
      <c r="J343" s="77">
        <v>337.42</v>
      </c>
      <c r="K343" s="77">
        <v>91.64</v>
      </c>
      <c r="L343" s="77">
        <v>124507.98000000001</v>
      </c>
      <c r="M343" s="77">
        <v>33815.16</v>
      </c>
      <c r="N343" s="77">
        <v>90692.82</v>
      </c>
      <c r="O343" s="78">
        <v>0.7284096971133899</v>
      </c>
    </row>
    <row r="344" ht="15.75" customHeight="1">
      <c r="B344" s="75" t="s">
        <v>372</v>
      </c>
      <c r="C344" s="75" t="s">
        <v>20</v>
      </c>
      <c r="D344" s="75" t="s">
        <v>34</v>
      </c>
      <c r="E344" s="75" t="s">
        <v>16</v>
      </c>
      <c r="F344" s="75" t="s">
        <v>17</v>
      </c>
      <c r="G344" s="75" t="s">
        <v>31</v>
      </c>
      <c r="H344" s="76">
        <v>45266.0</v>
      </c>
      <c r="I344" s="75">
        <v>468.0</v>
      </c>
      <c r="J344" s="77">
        <v>51.0</v>
      </c>
      <c r="K344" s="77">
        <v>54.28</v>
      </c>
      <c r="L344" s="77">
        <v>23868.0</v>
      </c>
      <c r="M344" s="77">
        <v>25403.04</v>
      </c>
      <c r="N344" s="77">
        <v>-1535.0400000000009</v>
      </c>
      <c r="O344" s="78">
        <v>-0.06431372549019612</v>
      </c>
    </row>
    <row r="345" ht="15.75" customHeight="1">
      <c r="B345" s="75" t="s">
        <v>373</v>
      </c>
      <c r="C345" s="75" t="s">
        <v>14</v>
      </c>
      <c r="D345" s="75" t="s">
        <v>54</v>
      </c>
      <c r="E345" s="75" t="s">
        <v>26</v>
      </c>
      <c r="F345" s="75" t="s">
        <v>27</v>
      </c>
      <c r="G345" s="75" t="s">
        <v>18</v>
      </c>
      <c r="H345" s="76">
        <v>45267.0</v>
      </c>
      <c r="I345" s="75">
        <v>326.0</v>
      </c>
      <c r="J345" s="77">
        <v>132.24</v>
      </c>
      <c r="K345" s="77">
        <v>160.74</v>
      </c>
      <c r="L345" s="77">
        <v>43110.240000000005</v>
      </c>
      <c r="M345" s="77">
        <v>52401.240000000005</v>
      </c>
      <c r="N345" s="77">
        <v>-9291.0</v>
      </c>
      <c r="O345" s="78">
        <v>-0.21551724137931033</v>
      </c>
    </row>
    <row r="346" ht="15.75" customHeight="1">
      <c r="B346" s="75" t="s">
        <v>374</v>
      </c>
      <c r="C346" s="75" t="s">
        <v>20</v>
      </c>
      <c r="D346" s="75" t="s">
        <v>21</v>
      </c>
      <c r="E346" s="75" t="s">
        <v>46</v>
      </c>
      <c r="F346" s="75" t="s">
        <v>27</v>
      </c>
      <c r="G346" s="75" t="s">
        <v>31</v>
      </c>
      <c r="H346" s="76">
        <v>45268.0</v>
      </c>
      <c r="I346" s="75">
        <v>460.0</v>
      </c>
      <c r="J346" s="77">
        <v>395.01</v>
      </c>
      <c r="K346" s="77">
        <v>369.2</v>
      </c>
      <c r="L346" s="77">
        <v>181704.6</v>
      </c>
      <c r="M346" s="77">
        <v>169832.0</v>
      </c>
      <c r="N346" s="77">
        <v>11872.600000000006</v>
      </c>
      <c r="O346" s="78">
        <v>0.06534011797169695</v>
      </c>
    </row>
    <row r="347" ht="15.75" customHeight="1">
      <c r="B347" s="75" t="s">
        <v>375</v>
      </c>
      <c r="C347" s="75" t="s">
        <v>14</v>
      </c>
      <c r="D347" s="75" t="s">
        <v>15</v>
      </c>
      <c r="E347" s="75" t="s">
        <v>30</v>
      </c>
      <c r="F347" s="75" t="s">
        <v>17</v>
      </c>
      <c r="G347" s="75" t="s">
        <v>23</v>
      </c>
      <c r="H347" s="76">
        <v>45269.0</v>
      </c>
      <c r="I347" s="75">
        <v>132.0</v>
      </c>
      <c r="J347" s="77">
        <v>433.02</v>
      </c>
      <c r="K347" s="77">
        <v>189.88</v>
      </c>
      <c r="L347" s="77">
        <v>57158.64</v>
      </c>
      <c r="M347" s="77">
        <v>25064.16</v>
      </c>
      <c r="N347" s="77">
        <v>32094.48</v>
      </c>
      <c r="O347" s="78">
        <v>0.5614983141656275</v>
      </c>
    </row>
    <row r="348" ht="15.75" customHeight="1">
      <c r="B348" s="75" t="s">
        <v>376</v>
      </c>
      <c r="C348" s="75" t="s">
        <v>52</v>
      </c>
      <c r="D348" s="75" t="s">
        <v>21</v>
      </c>
      <c r="E348" s="75" t="s">
        <v>22</v>
      </c>
      <c r="F348" s="75" t="s">
        <v>27</v>
      </c>
      <c r="G348" s="75" t="s">
        <v>18</v>
      </c>
      <c r="H348" s="76">
        <v>45270.0</v>
      </c>
      <c r="I348" s="75">
        <v>399.0</v>
      </c>
      <c r="J348" s="77">
        <v>306.2</v>
      </c>
      <c r="K348" s="77">
        <v>7.33</v>
      </c>
      <c r="L348" s="77">
        <v>122173.79999999999</v>
      </c>
      <c r="M348" s="77">
        <v>2924.67</v>
      </c>
      <c r="N348" s="77">
        <v>119249.12999999999</v>
      </c>
      <c r="O348" s="78">
        <v>0.9760613977792293</v>
      </c>
    </row>
    <row r="349" ht="15.75" customHeight="1">
      <c r="B349" s="75" t="s">
        <v>377</v>
      </c>
      <c r="C349" s="75" t="s">
        <v>14</v>
      </c>
      <c r="D349" s="75" t="s">
        <v>21</v>
      </c>
      <c r="E349" s="75" t="s">
        <v>26</v>
      </c>
      <c r="F349" s="75" t="s">
        <v>17</v>
      </c>
      <c r="G349" s="75" t="s">
        <v>23</v>
      </c>
      <c r="H349" s="76">
        <v>45271.0</v>
      </c>
      <c r="I349" s="75">
        <v>18.0</v>
      </c>
      <c r="J349" s="77">
        <v>255.89</v>
      </c>
      <c r="K349" s="77">
        <v>114.53</v>
      </c>
      <c r="L349" s="77">
        <v>4606.0199999999995</v>
      </c>
      <c r="M349" s="77">
        <v>2061.54</v>
      </c>
      <c r="N349" s="77">
        <v>2544.4799999999996</v>
      </c>
      <c r="O349" s="78">
        <v>0.5524248700613544</v>
      </c>
    </row>
    <row r="350" ht="15.75" customHeight="1">
      <c r="B350" s="75" t="s">
        <v>378</v>
      </c>
      <c r="C350" s="75" t="s">
        <v>14</v>
      </c>
      <c r="D350" s="75" t="s">
        <v>54</v>
      </c>
      <c r="E350" s="75" t="s">
        <v>26</v>
      </c>
      <c r="F350" s="75" t="s">
        <v>17</v>
      </c>
      <c r="G350" s="75" t="s">
        <v>23</v>
      </c>
      <c r="H350" s="76">
        <v>45272.0</v>
      </c>
      <c r="I350" s="75">
        <v>271.0</v>
      </c>
      <c r="J350" s="77">
        <v>83.86</v>
      </c>
      <c r="K350" s="77">
        <v>19.75</v>
      </c>
      <c r="L350" s="77">
        <v>22726.06</v>
      </c>
      <c r="M350" s="77">
        <v>5352.25</v>
      </c>
      <c r="N350" s="77">
        <v>17373.81</v>
      </c>
      <c r="O350" s="78">
        <v>0.7644884331027904</v>
      </c>
    </row>
    <row r="351" ht="15.75" customHeight="1">
      <c r="B351" s="75" t="s">
        <v>379</v>
      </c>
      <c r="C351" s="75" t="s">
        <v>39</v>
      </c>
      <c r="D351" s="75" t="s">
        <v>15</v>
      </c>
      <c r="E351" s="75" t="s">
        <v>46</v>
      </c>
      <c r="F351" s="75" t="s">
        <v>17</v>
      </c>
      <c r="G351" s="75" t="s">
        <v>18</v>
      </c>
      <c r="H351" s="76">
        <v>45273.0</v>
      </c>
      <c r="I351" s="75">
        <v>82.0</v>
      </c>
      <c r="J351" s="77">
        <v>36.24</v>
      </c>
      <c r="K351" s="77">
        <v>16.44</v>
      </c>
      <c r="L351" s="77">
        <v>2971.6800000000003</v>
      </c>
      <c r="M351" s="77">
        <v>1348.0800000000002</v>
      </c>
      <c r="N351" s="77">
        <v>1623.6000000000001</v>
      </c>
      <c r="O351" s="78">
        <v>0.5463576158940397</v>
      </c>
    </row>
    <row r="352" ht="15.75" customHeight="1">
      <c r="B352" s="75" t="s">
        <v>380</v>
      </c>
      <c r="C352" s="75" t="s">
        <v>20</v>
      </c>
      <c r="D352" s="75" t="s">
        <v>15</v>
      </c>
      <c r="E352" s="75" t="s">
        <v>22</v>
      </c>
      <c r="F352" s="75" t="s">
        <v>17</v>
      </c>
      <c r="G352" s="75" t="s">
        <v>18</v>
      </c>
      <c r="H352" s="76">
        <v>45274.0</v>
      </c>
      <c r="I352" s="75">
        <v>368.0</v>
      </c>
      <c r="J352" s="77">
        <v>63.24</v>
      </c>
      <c r="K352" s="77">
        <v>111.74</v>
      </c>
      <c r="L352" s="77">
        <v>23272.32</v>
      </c>
      <c r="M352" s="77">
        <v>41120.32</v>
      </c>
      <c r="N352" s="77">
        <v>-17848.0</v>
      </c>
      <c r="O352" s="78">
        <v>-0.7669196710942442</v>
      </c>
    </row>
    <row r="353" ht="15.75" customHeight="1">
      <c r="B353" s="75" t="s">
        <v>381</v>
      </c>
      <c r="C353" s="75" t="s">
        <v>20</v>
      </c>
      <c r="D353" s="75" t="s">
        <v>15</v>
      </c>
      <c r="E353" s="75" t="s">
        <v>16</v>
      </c>
      <c r="F353" s="75" t="s">
        <v>17</v>
      </c>
      <c r="G353" s="75" t="s">
        <v>23</v>
      </c>
      <c r="H353" s="76">
        <v>45275.0</v>
      </c>
      <c r="I353" s="75">
        <v>232.0</v>
      </c>
      <c r="J353" s="77">
        <v>117.54</v>
      </c>
      <c r="K353" s="77">
        <v>111.69</v>
      </c>
      <c r="L353" s="77">
        <v>27269.280000000002</v>
      </c>
      <c r="M353" s="77">
        <v>25912.079999999998</v>
      </c>
      <c r="N353" s="77">
        <v>1357.2000000000044</v>
      </c>
      <c r="O353" s="78">
        <v>0.049770290964778106</v>
      </c>
    </row>
    <row r="354" ht="15.75" customHeight="1">
      <c r="B354" s="75" t="s">
        <v>382</v>
      </c>
      <c r="C354" s="75" t="s">
        <v>14</v>
      </c>
      <c r="D354" s="75" t="s">
        <v>34</v>
      </c>
      <c r="E354" s="75" t="s">
        <v>26</v>
      </c>
      <c r="F354" s="75" t="s">
        <v>27</v>
      </c>
      <c r="G354" s="75" t="s">
        <v>18</v>
      </c>
      <c r="H354" s="76">
        <v>45276.0</v>
      </c>
      <c r="I354" s="75">
        <v>425.0</v>
      </c>
      <c r="J354" s="77">
        <v>174.13</v>
      </c>
      <c r="K354" s="77">
        <v>315.28</v>
      </c>
      <c r="L354" s="77">
        <v>74005.25</v>
      </c>
      <c r="M354" s="77">
        <v>133994.0</v>
      </c>
      <c r="N354" s="77">
        <v>-59988.75</v>
      </c>
      <c r="O354" s="78">
        <v>-0.8106012749095504</v>
      </c>
    </row>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E2"/>
  </mergeCell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63"/>
    <col customWidth="1" min="2" max="2" width="24.13"/>
    <col customWidth="1" min="3" max="3" width="25.0"/>
  </cols>
  <sheetData>
    <row r="1">
      <c r="A1" s="83" t="s">
        <v>518</v>
      </c>
      <c r="B1" s="84"/>
    </row>
    <row r="3">
      <c r="A3" s="85" t="s">
        <v>519</v>
      </c>
      <c r="B3" s="84"/>
    </row>
    <row r="4">
      <c r="A4" s="86" t="s">
        <v>10</v>
      </c>
      <c r="B4" s="87">
        <v>2.2459473438529406E7</v>
      </c>
    </row>
    <row r="5">
      <c r="A5" s="86" t="s">
        <v>12</v>
      </c>
      <c r="B5" s="87">
        <v>5069216.174617646</v>
      </c>
    </row>
    <row r="6">
      <c r="A6" s="86" t="s">
        <v>520</v>
      </c>
      <c r="B6" s="88">
        <v>89566.02941176467</v>
      </c>
    </row>
    <row r="7">
      <c r="A7" s="86" t="s">
        <v>383</v>
      </c>
      <c r="B7" s="89">
        <v>0.22570503215455467</v>
      </c>
    </row>
    <row r="9">
      <c r="A9" s="90" t="s">
        <v>521</v>
      </c>
    </row>
    <row r="10">
      <c r="A10" s="91" t="s">
        <v>1</v>
      </c>
      <c r="B10" s="91" t="s">
        <v>522</v>
      </c>
      <c r="C10" s="91" t="s">
        <v>523</v>
      </c>
    </row>
    <row r="11">
      <c r="A11" s="92" t="s">
        <v>14</v>
      </c>
      <c r="B11" s="93">
        <v>6295528.386558823</v>
      </c>
      <c r="C11" s="93">
        <v>1136871.2030882356</v>
      </c>
    </row>
    <row r="12">
      <c r="A12" s="92" t="s">
        <v>20</v>
      </c>
      <c r="B12" s="93">
        <v>6092642.505</v>
      </c>
      <c r="C12" s="93">
        <v>1234130.2981470595</v>
      </c>
    </row>
    <row r="13">
      <c r="A13" s="92" t="s">
        <v>25</v>
      </c>
      <c r="B13" s="93">
        <v>5246018.652941176</v>
      </c>
      <c r="C13" s="93">
        <v>1304813.1016764701</v>
      </c>
    </row>
    <row r="14">
      <c r="A14" s="92" t="s">
        <v>39</v>
      </c>
      <c r="B14" s="93">
        <v>532181.9700000001</v>
      </c>
      <c r="C14" s="93">
        <v>-44677.700000000004</v>
      </c>
    </row>
    <row r="15">
      <c r="A15" s="92" t="s">
        <v>52</v>
      </c>
      <c r="B15" s="93">
        <v>4293101.924029411</v>
      </c>
      <c r="C15" s="93">
        <v>1438079.2717058826</v>
      </c>
    </row>
    <row r="18">
      <c r="A18" s="90" t="s">
        <v>524</v>
      </c>
    </row>
    <row r="19">
      <c r="A19" s="91" t="s">
        <v>3</v>
      </c>
      <c r="B19" s="91" t="s">
        <v>522</v>
      </c>
      <c r="C19" s="91" t="s">
        <v>523</v>
      </c>
    </row>
    <row r="20">
      <c r="A20" s="94" t="s">
        <v>16</v>
      </c>
      <c r="B20" s="95">
        <v>4853531.889999998</v>
      </c>
      <c r="C20" s="95">
        <v>808376.5999999996</v>
      </c>
    </row>
    <row r="21">
      <c r="A21" s="94" t="s">
        <v>22</v>
      </c>
      <c r="B21" s="95">
        <v>4065063.810499999</v>
      </c>
      <c r="C21" s="95">
        <v>1002578.2068823532</v>
      </c>
    </row>
    <row r="22">
      <c r="A22" s="94" t="s">
        <v>26</v>
      </c>
      <c r="B22" s="95">
        <v>3847452.5537058827</v>
      </c>
      <c r="C22" s="95">
        <v>940676.8279117647</v>
      </c>
    </row>
    <row r="23">
      <c r="A23" s="94" t="s">
        <v>30</v>
      </c>
      <c r="B23" s="95">
        <v>4459617.942029412</v>
      </c>
      <c r="C23" s="95">
        <v>854707.4150294117</v>
      </c>
    </row>
    <row r="24">
      <c r="A24" s="94" t="s">
        <v>46</v>
      </c>
      <c r="B24" s="95">
        <v>4523131.574970587</v>
      </c>
      <c r="C24" s="95">
        <v>1100357.7574705894</v>
      </c>
    </row>
    <row r="25">
      <c r="A25" s="94" t="s">
        <v>39</v>
      </c>
      <c r="B25" s="95">
        <v>710675.6673235293</v>
      </c>
      <c r="C25" s="95">
        <v>362519.3673235295</v>
      </c>
    </row>
    <row r="28">
      <c r="A28" s="96" t="s">
        <v>525</v>
      </c>
      <c r="B28" s="97"/>
    </row>
    <row r="29">
      <c r="A29" s="91" t="s">
        <v>2</v>
      </c>
      <c r="B29" s="91" t="s">
        <v>522</v>
      </c>
    </row>
    <row r="30">
      <c r="A30" s="98" t="s">
        <v>21</v>
      </c>
      <c r="B30" s="99">
        <v>5624142.160176473</v>
      </c>
    </row>
    <row r="31">
      <c r="A31" s="98" t="s">
        <v>29</v>
      </c>
      <c r="B31" s="99">
        <v>4714489.269176467</v>
      </c>
    </row>
    <row r="32">
      <c r="A32" s="98" t="s">
        <v>34</v>
      </c>
      <c r="B32" s="99">
        <v>4360854.995941177</v>
      </c>
    </row>
    <row r="33">
      <c r="A33" s="98" t="s">
        <v>54</v>
      </c>
      <c r="B33" s="99">
        <v>4028937.953235294</v>
      </c>
    </row>
    <row r="34">
      <c r="A34" s="98" t="s">
        <v>15</v>
      </c>
      <c r="B34" s="99">
        <v>3731049.0599999996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