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Q1" sheetId="2" r:id="rId6"/>
    <sheet state="visible" name="Q2" sheetId="3" r:id="rId7"/>
    <sheet state="visible" name="Q3" sheetId="4" r:id="rId8"/>
    <sheet state="visible" name="Q4" sheetId="5" r:id="rId9"/>
    <sheet state="visible" name="Q5" sheetId="6" r:id="rId10"/>
    <sheet state="visible" name="Q6" sheetId="7" r:id="rId11"/>
    <sheet state="visible" name="Q7" sheetId="8" r:id="rId12"/>
    <sheet state="visible" name="Q8" sheetId="9" r:id="rId13"/>
  </sheets>
  <definedNames/>
  <calcPr/>
</workbook>
</file>

<file path=xl/sharedStrings.xml><?xml version="1.0" encoding="utf-8"?>
<sst xmlns="http://schemas.openxmlformats.org/spreadsheetml/2006/main" count="168" uniqueCount="160">
  <si>
    <t>Simulate 30 rolls with =RANDBETWEEN(1,6). What is the probability of rolling a 3 exactly 5 times? (Hint: Use BINOM.DIST)</t>
  </si>
  <si>
    <t>Ans:</t>
  </si>
  <si>
    <t>as we are rolling die 30 times</t>
  </si>
  <si>
    <t>we want the probability that 3 appears exactly 5 times</t>
  </si>
  <si>
    <t>so for each roll , getting a 3 out of 5 times</t>
  </si>
  <si>
    <t>n = 30</t>
  </si>
  <si>
    <t>x = 5</t>
  </si>
  <si>
    <t xml:space="preserve">P = 1 /6 </t>
  </si>
  <si>
    <t>P = 0.1667</t>
  </si>
  <si>
    <t>binomial probability formula</t>
  </si>
  <si>
    <t>P(X=5) = (30 5 )* (1/6)^5  * (5/6)^25</t>
  </si>
  <si>
    <t xml:space="preserve">using BINOM.DIST </t>
  </si>
  <si>
    <t>using RANDBETWEEN (1,6) and count functions</t>
  </si>
  <si>
    <t xml:space="preserve">here currently getting 0 for 3 values but since data is low hence possibility getting 0 is present </t>
  </si>
  <si>
    <t>if we increase the data for ex. like 1000 rows it might give you more possibilities of getting 3</t>
  </si>
  <si>
    <t>Generate 100 values in Excel using the continuous uniform distribution RAND() and plot a histogram. Describe the shape of the distribution.</t>
  </si>
  <si>
    <t>Uniform Random Values</t>
  </si>
  <si>
    <t>The distribution is approximately uniform. more like rectangular and flat</t>
  </si>
  <si>
    <t>The bars in the histogram are of roughly equal height across all intervals, showing no central peak or skewness</t>
  </si>
  <si>
    <t>This indicates all values in this range have nearly equal probability of occurrence , which confirms behaviour of a continuous uniform distribution</t>
  </si>
  <si>
    <t>since all the values have low frequencies from 0 to 1, distribution is uniform and flat</t>
  </si>
  <si>
    <t>A dataset has a mean of 50 and a standard deviation of 5. What percentage of values lie between 45 and 55 if the data follows a normal distribution?</t>
  </si>
  <si>
    <t xml:space="preserve">given </t>
  </si>
  <si>
    <t>mean(µ) = 50</t>
  </si>
  <si>
    <t>Standard Deviation (σ) = 5</t>
  </si>
  <si>
    <t>given interval = 45 to 55</t>
  </si>
  <si>
    <t>Z = (X - µ)/ σ</t>
  </si>
  <si>
    <t>for 45</t>
  </si>
  <si>
    <t>for 55</t>
  </si>
  <si>
    <t>Z = (45 - 50)/5</t>
  </si>
  <si>
    <t>Z = (55 - 50)/5</t>
  </si>
  <si>
    <t>Z = -1</t>
  </si>
  <si>
    <t>Z = +1</t>
  </si>
  <si>
    <t>using empirical rule we can determine distribution percentage</t>
  </si>
  <si>
    <t>68-95-99.7 rule</t>
  </si>
  <si>
    <t>68% of value lie within +-1 standard deviation of the mean</t>
  </si>
  <si>
    <t>95% lie within +-2 standard deviation</t>
  </si>
  <si>
    <t>99.7% lie within +-3 standard deviation</t>
  </si>
  <si>
    <t>since our range os between 45 to 55 which is +-1</t>
  </si>
  <si>
    <t>percentage of value between 45 to 55 is 68%(approx)</t>
  </si>
  <si>
    <t>What is the concept of standardization (z-score), and why is it important in data analysis? Explain the formula and how standardization transforms a dataset.</t>
  </si>
  <si>
    <t>Standardization is the process of transforming data so it has</t>
  </si>
  <si>
    <t>MEAN = 0</t>
  </si>
  <si>
    <t>STANDARD DEVIATION = 0</t>
  </si>
  <si>
    <t xml:space="preserve"> it converts each data points into Z- scores which tells us </t>
  </si>
  <si>
    <t>How many standard deviation this value is away from the mean</t>
  </si>
  <si>
    <t>Formula</t>
  </si>
  <si>
    <t>X = original value</t>
  </si>
  <si>
    <t>Z = standardized value</t>
  </si>
  <si>
    <t>step 1 : mean substraction</t>
  </si>
  <si>
    <t>shifts the dataset so that mean becomes 0</t>
  </si>
  <si>
    <t>value above mean positives and below negative</t>
  </si>
  <si>
    <t>step 2: divide the standard deviation</t>
  </si>
  <si>
    <t>scale the data so that spread becomes 1</t>
  </si>
  <si>
    <t>makes all data comparable reagdless of original units</t>
  </si>
  <si>
    <t>How standardzation transforms a dateset?</t>
  </si>
  <si>
    <t>before standardization</t>
  </si>
  <si>
    <t>Dataset may have different units or scales (eg height in cm, weight in kg)</t>
  </si>
  <si>
    <t>if you want to compare both its a challenge</t>
  </si>
  <si>
    <t>after using standardization</t>
  </si>
  <si>
    <t>Dataset becomes dimentionless (unitless)</t>
  </si>
  <si>
    <t>Mean = 0 , SD = 1</t>
  </si>
  <si>
    <t>Z score tells you all relative position</t>
  </si>
  <si>
    <t>example</t>
  </si>
  <si>
    <t>Dataset = [45,50,55]</t>
  </si>
  <si>
    <t>Mean = 50</t>
  </si>
  <si>
    <t>SD = 5</t>
  </si>
  <si>
    <t>Z scores = +-1</t>
  </si>
  <si>
    <t xml:space="preserve">comparing values becomes easy </t>
  </si>
  <si>
    <t>Importance of Standardization in Data Analysis</t>
  </si>
  <si>
    <t>Makes data comparable</t>
  </si>
  <si>
    <t>Detects outliers</t>
  </si>
  <si>
    <t>ex. Z-score = +-3 indicates outlier</t>
  </si>
  <si>
    <t>Many ML algorithm require standard features</t>
  </si>
  <si>
    <t>Ensures no single feature dominates becasue of scales</t>
  </si>
  <si>
    <t>Zscore also allows use of standard normal tables for probability calculations</t>
  </si>
  <si>
    <t>What is Kurtosis and their type?</t>
  </si>
  <si>
    <t>Kurtosis is another way to describe shape of distribution just like skewness</t>
  </si>
  <si>
    <t>how peaked or flat a distribution is and how heavy it is</t>
  </si>
  <si>
    <t>Types of Kurtosis</t>
  </si>
  <si>
    <t>Mesokurtic</t>
  </si>
  <si>
    <t>this is a reference case</t>
  </si>
  <si>
    <t>looks like normal bell shaped curve</t>
  </si>
  <si>
    <t>moderate peak and moderate tails</t>
  </si>
  <si>
    <t>its peak and tail behavior are moderate—neither too flat nor too sharp</t>
  </si>
  <si>
    <t>Kurtosis  = 3 (approx.) (excess kurtosis = 0)</t>
  </si>
  <si>
    <t>Examples</t>
  </si>
  <si>
    <t>Heights in a large population typically cluster around the average, with very few extreme outliers, creating a classic mesokurtic bell curve</t>
  </si>
  <si>
    <t>Leptokurtik</t>
  </si>
  <si>
    <t>Tall sharp peak</t>
  </si>
  <si>
    <t>Heavy tails (shows more extreme outliers)</t>
  </si>
  <si>
    <t>data is more concentrated around the mean but also has more extremes</t>
  </si>
  <si>
    <t>kurtosis &gt; 3 (Excess kurtosis &gt; 0)</t>
  </si>
  <si>
    <t>Most seismic activity consists of tiny, unnoticeable tremors. However, rare and devastating earthquakes occur frequently enough to create "fat tails" in the data.</t>
  </si>
  <si>
    <t xml:space="preserve">Platykurtik </t>
  </si>
  <si>
    <t>flat , wide peak</t>
  </si>
  <si>
    <t>Light tails(low outliers)</t>
  </si>
  <si>
    <t>Data is more spread out</t>
  </si>
  <si>
    <t>kurtosis &lt; 3 (excess kurtosis &lt; 0)</t>
  </si>
  <si>
    <t>A classic mathematical example where every outcome has an equal chance, such as rolling a fair die (where 1 through 6 are equally likely).</t>
  </si>
  <si>
    <t>Feature</t>
  </si>
  <si>
    <t>Leptokurtic</t>
  </si>
  <si>
    <t>Platykurtic</t>
  </si>
  <si>
    <t>Peak Shape</t>
  </si>
  <si>
    <t>Sharp and tall</t>
  </si>
  <si>
    <t>Moderate (Bell-shaped)</t>
  </si>
  <si>
    <t>Flat and broad</t>
  </si>
  <si>
    <t>Tail Weight</t>
  </si>
  <si>
    <t>Heavy/Fat tails</t>
  </si>
  <si>
    <t>Normal tails</t>
  </si>
  <si>
    <t>Light/Thin tails</t>
  </si>
  <si>
    <t>Kurtosis Value (β2beta sub 2
𝛽2
)</t>
  </si>
  <si>
    <t>&gt; 3</t>
  </si>
  <si>
    <t>&lt; 3</t>
  </si>
  <si>
    <t>Excess Kurtosis</t>
  </si>
  <si>
    <t>Positive (&gt; 0)</t>
  </si>
  <si>
    <t>Exactly 0</t>
  </si>
  <si>
    <t>Negative (&lt; 0)</t>
  </si>
  <si>
    <t>Explain why the uniform distribution is a good model for the outcome of rolling a fair die.</t>
  </si>
  <si>
    <t>In statistics, a distribution is "uniform" when every possible outcome has an exactly equal chance of occurring</t>
  </si>
  <si>
    <t>A uniform distribution is considered the ideal model for a fair die because of the principle of equiprobability</t>
  </si>
  <si>
    <t>Here is why this fits a die roll:</t>
  </si>
  <si>
    <t>A standard six-sided die is a cube designed with physical symmetry</t>
  </si>
  <si>
    <t>If the die is "fair," the center of gravity is perfectly in the middle, and each face is identical in size and weight.</t>
  </si>
  <si>
    <t>Because of the symmetry the probabilty (P) for any side(x):</t>
  </si>
  <si>
    <t>P(x) = 1/n</t>
  </si>
  <si>
    <t>for 6 side die probability will be 1 /6 = 0.166 0r 16.6%</t>
  </si>
  <si>
    <t>if you roll a fair die many times and draw a bar chart(histogram)</t>
  </si>
  <si>
    <t>each number appears about the same number of times</t>
  </si>
  <si>
    <t>the bars are roughly of same height</t>
  </si>
  <si>
    <t>summary:</t>
  </si>
  <si>
    <t>A uniform is a good model for rolling a fair die because of all six outcomes (1 - 6)</t>
  </si>
  <si>
    <t>are equally likely.</t>
  </si>
  <si>
    <t>Since the die is fair, each face has the same probability of 1/6</t>
  </si>
  <si>
    <t xml:space="preserve">This matches the definition of a discrete uniform distribution, where </t>
  </si>
  <si>
    <t>Use Excel to compute the probability of getting at least 8 successes in 15 trials with success probability 0.5</t>
  </si>
  <si>
    <t>number of trials n = 15</t>
  </si>
  <si>
    <t>Probability of success = P = 0.5</t>
  </si>
  <si>
    <t>P = (X &gt;=8)</t>
  </si>
  <si>
    <t xml:space="preserve">using BINOM.DIST will TRUE gives </t>
  </si>
  <si>
    <t>P(X&gt;=x) cumulative probability</t>
  </si>
  <si>
    <t>1 - BINOM.DIST(7, 15, 0.5, TRUE)</t>
  </si>
  <si>
    <t>This formula calculates cumulative probability since we want the probability of getting at least 8 successess we substract this value from 1</t>
  </si>
  <si>
    <t>How does log transformation help in stabilizing variance and making data more normally distributed?</t>
  </si>
  <si>
    <t>Log transformation is one of the most common "data cleaning" techniques used in statistics and machine learning.</t>
  </si>
  <si>
    <t>It is particularly effective because many real-world processes are multiplicative rather than additive</t>
  </si>
  <si>
    <t>Stabilizing Variance (Homoscedasticity)</t>
  </si>
  <si>
    <t>In many datasets, as the "scale" or mean of the data increases, the noise (variance) also increases. This is known as heteroscedasticity.</t>
  </si>
  <si>
    <t>Imagine a dataset of company revenues. Small companies might fluctuate by ₹1,000, while giant corporations fluctuate by ₹1,00,00,000</t>
  </si>
  <si>
    <t>The "spread" is uneven across the axis, which violates the assumptions of linear regression.</t>
  </si>
  <si>
    <t>Logs compress large values more than small values. Specifically, the log transform turns multiplicative relationships into additive ones</t>
  </si>
  <si>
    <t>If the standard deviation is proportional to the mean</t>
  </si>
  <si>
    <t>Handling Right-Skewed Data</t>
  </si>
  <si>
    <t>Most real-world data (like income, population, or rainfall) is right-skewed,</t>
  </si>
  <si>
    <t>meaning there is a bulk of data at the low end and a long "tail" of very high values.</t>
  </si>
  <si>
    <t>Standard statistical tests (like T-tests) and linear models can be "pulled" off-center by these extreme outliers in the tail.</t>
  </si>
  <si>
    <t>Because logx grows slower than than x, it "pulls" the long right tail back toward the center</t>
  </si>
  <si>
    <t>log(10) = 1</t>
  </si>
  <si>
    <t>log(100) = 2</t>
  </si>
  <si>
    <t>log(1000) =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</si>
</sst>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b/>
      <color rgb="FF98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b/>
      <sz val="11.0"/>
      <color rgb="FFFF0000"/>
      <name val="Arial"/>
      <scheme val="minor"/>
    </font>
    <font>
      <b/>
      <sz val="10.0"/>
      <color rgb="FF980000"/>
      <name val="Arial"/>
      <scheme val="minor"/>
    </font>
    <font>
      <b/>
      <sz val="11.0"/>
      <color rgb="FF980000"/>
      <name val="Arial"/>
      <scheme val="minor"/>
    </font>
    <font>
      <b/>
      <sz val="12.0"/>
      <color theme="1"/>
      <name val="Arial"/>
      <scheme val="minor"/>
    </font>
    <font>
      <b/>
      <color rgb="FF000000"/>
      <name val="Arial"/>
      <scheme val="minor"/>
    </font>
    <font>
      <b/>
      <sz val="12.0"/>
      <color rgb="FF980000"/>
      <name val="Arial"/>
      <scheme val="minor"/>
    </font>
    <font>
      <sz val="15.0"/>
      <color rgb="FFE6E8F0"/>
      <name val="&quot;Google Sans&quot;"/>
    </font>
    <font>
      <sz val="11.0"/>
      <color rgb="FF000000"/>
      <name val="&quot;Google Sans&quot;"/>
    </font>
    <font>
      <sz val="11.0"/>
      <color rgb="FF000000"/>
      <name val="Arial"/>
      <scheme val="minor"/>
    </font>
    <font>
      <sz val="12.0"/>
      <color rgb="FF000000"/>
      <name val="&quot;Google Sans&quot;"/>
    </font>
    <font>
      <sz val="11.0"/>
      <color rgb="FFE6E8F0"/>
      <name val="Arial"/>
      <scheme val="minor"/>
    </font>
    <font>
      <sz val="11.0"/>
      <color theme="1"/>
      <name val="Arial"/>
      <scheme val="minor"/>
    </font>
    <font>
      <sz val="11.0"/>
      <color rgb="FFE6E8F0"/>
      <name val="&quot;Google Sans&quot;"/>
    </font>
    <font>
      <sz val="10.0"/>
      <color rgb="FFE6E8F0"/>
      <name val="Monospace"/>
    </font>
    <font>
      <b/>
      <sz val="12.0"/>
      <color rgb="FFE6E8F0"/>
      <name val="Arial"/>
      <scheme val="minor"/>
    </font>
    <font>
      <b/>
      <sz val="12.0"/>
      <color rgb="FFFFFFFF"/>
      <name val="Arial"/>
      <scheme val="minor"/>
    </font>
    <font>
      <b/>
      <sz val="13.0"/>
      <color rgb="FFFFFFFF"/>
      <name val="&quot;Google Sans&quot;"/>
    </font>
    <font>
      <sz val="12.0"/>
      <color rgb="FFFFFFFF"/>
      <name val="&quot;Google Sans&quot;"/>
    </font>
    <font>
      <b/>
      <sz val="11.0"/>
      <color rgb="FF000000"/>
      <name val="&quot;Google Sans&quot;"/>
    </font>
    <font>
      <b/>
      <sz val="11.0"/>
      <color rgb="FF000000"/>
      <name val="Arial"/>
      <scheme val="minor"/>
    </font>
    <font>
      <sz val="14.0"/>
      <color rgb="FFFFFFFF"/>
      <name val="&quot;Google Sans&quot;"/>
    </font>
    <font>
      <sz val="15.0"/>
      <color rgb="FFADAFB8"/>
      <name val="&quot;Google Sans&quot;"/>
    </font>
  </fonts>
  <fills count="1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101218"/>
        <bgColor rgb="FF101218"/>
      </patternFill>
    </fill>
    <fill>
      <patternFill patternType="solid">
        <fgColor rgb="FF1D1E26"/>
        <bgColor rgb="FF1D1E26"/>
      </patternFill>
    </fill>
    <fill>
      <patternFill patternType="solid">
        <fgColor rgb="FF000000"/>
        <bgColor rgb="FF000000"/>
      </patternFill>
    </fill>
    <fill>
      <patternFill patternType="solid">
        <fgColor rgb="FF25262E"/>
        <bgColor rgb="FF25262E"/>
      </patternFill>
    </fill>
  </fills>
  <borders count="1">
    <border/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4" numFmtId="0" xfId="0" applyFill="1" applyFont="1"/>
    <xf borderId="0" fillId="0" fontId="5" numFmtId="0" xfId="0" applyAlignment="1" applyFont="1">
      <alignment readingOrder="0"/>
    </xf>
    <xf borderId="0" fillId="2" fontId="6" numFmtId="0" xfId="0" applyAlignment="1" applyFont="1">
      <alignment horizontal="center"/>
    </xf>
    <xf borderId="0" fillId="2" fontId="6" numFmtId="0" xfId="0" applyAlignment="1" applyFont="1">
      <alignment horizontal="center" readingOrder="0"/>
    </xf>
    <xf borderId="0" fillId="4" fontId="5" numFmtId="0" xfId="0" applyAlignment="1" applyFill="1" applyFont="1">
      <alignment horizontal="center"/>
    </xf>
    <xf borderId="0" fillId="2" fontId="5" numFmtId="0" xfId="0" applyAlignment="1" applyFont="1">
      <alignment horizontal="center"/>
    </xf>
    <xf borderId="0" fillId="3" fontId="5" numFmtId="0" xfId="0" applyAlignment="1" applyFont="1">
      <alignment readingOrder="0"/>
    </xf>
    <xf borderId="0" fillId="5" fontId="3" numFmtId="0" xfId="0" applyAlignment="1" applyFill="1" applyFont="1">
      <alignment readingOrder="0"/>
    </xf>
    <xf borderId="0" fillId="6" fontId="5" numFmtId="0" xfId="0" applyFill="1" applyFont="1"/>
    <xf borderId="0" fillId="7" fontId="3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2" fontId="8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8" fontId="9" numFmtId="0" xfId="0" applyAlignment="1" applyFill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Font="1"/>
    <xf borderId="0" fillId="0" fontId="5" numFmtId="0" xfId="0" applyFont="1"/>
    <xf borderId="0" fillId="0" fontId="1" numFmtId="0" xfId="0" applyAlignment="1" applyFont="1">
      <alignment readingOrder="0"/>
    </xf>
    <xf borderId="0" fillId="0" fontId="11" numFmtId="0" xfId="0" applyAlignment="1" applyFont="1">
      <alignment readingOrder="0"/>
    </xf>
    <xf borderId="0" fillId="4" fontId="5" numFmtId="0" xfId="0" applyAlignment="1" applyFont="1">
      <alignment readingOrder="0"/>
    </xf>
    <xf borderId="0" fillId="2" fontId="5" numFmtId="0" xfId="0" applyAlignment="1" applyFont="1">
      <alignment readingOrder="0"/>
    </xf>
    <xf borderId="0" fillId="9" fontId="5" numFmtId="0" xfId="0" applyAlignment="1" applyFill="1" applyFont="1">
      <alignment readingOrder="0"/>
    </xf>
    <xf borderId="0" fillId="9" fontId="2" numFmtId="0" xfId="0" applyAlignment="1" applyFont="1">
      <alignment readingOrder="0"/>
    </xf>
    <xf borderId="0" fillId="9" fontId="2" numFmtId="0" xfId="0" applyFont="1"/>
    <xf borderId="0" fillId="10" fontId="5" numFmtId="0" xfId="0" applyAlignment="1" applyFill="1" applyFont="1">
      <alignment readingOrder="0"/>
    </xf>
    <xf borderId="0" fillId="10" fontId="5" numFmtId="0" xfId="0" applyFont="1"/>
    <xf borderId="0" fillId="0" fontId="8" numFmtId="0" xfId="0" applyAlignment="1" applyFont="1">
      <alignment readingOrder="0"/>
    </xf>
    <xf borderId="0" fillId="4" fontId="4" numFmtId="0" xfId="0" applyAlignment="1" applyFont="1">
      <alignment readingOrder="0"/>
    </xf>
    <xf borderId="0" fillId="11" fontId="2" numFmtId="0" xfId="0" applyAlignment="1" applyFill="1" applyFont="1">
      <alignment readingOrder="0"/>
    </xf>
    <xf borderId="0" fillId="11" fontId="2" numFmtId="0" xfId="0" applyFont="1"/>
    <xf borderId="0" fillId="11" fontId="0" numFmtId="0" xfId="0" applyAlignment="1" applyFont="1">
      <alignment readingOrder="0"/>
    </xf>
    <xf borderId="0" fillId="12" fontId="12" numFmtId="0" xfId="0" applyAlignment="1" applyFill="1" applyFont="1">
      <alignment readingOrder="0"/>
    </xf>
    <xf borderId="0" fillId="7" fontId="13" numFmtId="0" xfId="0" applyAlignment="1" applyFont="1">
      <alignment readingOrder="0"/>
    </xf>
    <xf borderId="0" fillId="11" fontId="14" numFmtId="0" xfId="0" applyAlignment="1" applyFont="1">
      <alignment readingOrder="0"/>
    </xf>
    <xf borderId="0" fillId="0" fontId="14" numFmtId="0" xfId="0" applyFont="1"/>
    <xf borderId="0" fillId="7" fontId="15" numFmtId="0" xfId="0" applyAlignment="1" applyFont="1">
      <alignment readingOrder="0"/>
    </xf>
    <xf borderId="0" fillId="3" fontId="4" numFmtId="0" xfId="0" applyAlignment="1" applyFont="1">
      <alignment horizontal="center" readingOrder="0"/>
    </xf>
    <xf borderId="0" fillId="11" fontId="2" numFmtId="0" xfId="0" applyAlignment="1" applyFont="1">
      <alignment horizontal="center" readingOrder="0"/>
    </xf>
    <xf borderId="0" fillId="11" fontId="2" numFmtId="0" xfId="0" applyAlignment="1" applyFont="1">
      <alignment horizontal="center"/>
    </xf>
    <xf borderId="0" fillId="11" fontId="4" numFmtId="0" xfId="0" applyAlignment="1" applyFont="1">
      <alignment readingOrder="0"/>
    </xf>
    <xf borderId="0" fillId="7" fontId="14" numFmtId="0" xfId="0" applyAlignment="1" applyFont="1">
      <alignment readingOrder="0"/>
    </xf>
    <xf borderId="0" fillId="0" fontId="13" numFmtId="0" xfId="0" applyAlignment="1" applyFont="1">
      <alignment readingOrder="0"/>
    </xf>
    <xf borderId="0" fillId="12" fontId="16" numFmtId="0" xfId="0" applyAlignment="1" applyFont="1">
      <alignment readingOrder="0"/>
    </xf>
    <xf borderId="0" fillId="0" fontId="17" numFmtId="0" xfId="0" applyFont="1"/>
    <xf borderId="0" fillId="12" fontId="18" numFmtId="0" xfId="0" applyAlignment="1" applyFont="1">
      <alignment readingOrder="0" shrinkToFit="0" wrapText="0"/>
    </xf>
    <xf borderId="0" fillId="2" fontId="4" numFmtId="0" xfId="0" applyAlignment="1" applyFont="1">
      <alignment readingOrder="0"/>
    </xf>
    <xf borderId="0" fillId="11" fontId="3" numFmtId="0" xfId="0" applyAlignment="1" applyFont="1">
      <alignment readingOrder="0"/>
    </xf>
    <xf borderId="0" fillId="11" fontId="3" numFmtId="0" xfId="0" applyFont="1"/>
    <xf borderId="0" fillId="13" fontId="19" numFmtId="0" xfId="0" applyAlignment="1" applyFill="1" applyFont="1">
      <alignment readingOrder="0"/>
    </xf>
    <xf borderId="0" fillId="0" fontId="9" numFmtId="0" xfId="0" applyAlignment="1" applyFont="1">
      <alignment horizontal="center"/>
    </xf>
    <xf borderId="0" fillId="0" fontId="4" numFmtId="9" xfId="0" applyAlignment="1" applyFont="1" applyNumberFormat="1">
      <alignment horizontal="center" readingOrder="0"/>
    </xf>
    <xf borderId="0" fillId="12" fontId="20" numFmtId="0" xfId="0" applyAlignment="1" applyFont="1">
      <alignment readingOrder="0"/>
    </xf>
    <xf borderId="0" fillId="14" fontId="21" numFmtId="0" xfId="0" applyAlignment="1" applyFill="1" applyFont="1">
      <alignment readingOrder="0"/>
    </xf>
    <xf borderId="0" fillId="15" fontId="22" numFmtId="0" xfId="0" applyAlignment="1" applyFill="1" applyFont="1">
      <alignment readingOrder="0" shrinkToFit="0" wrapText="0"/>
    </xf>
    <xf borderId="0" fillId="12" fontId="23" numFmtId="0" xfId="0" applyAlignment="1" applyFont="1">
      <alignment readingOrder="0"/>
    </xf>
    <xf borderId="0" fillId="7" fontId="24" numFmtId="0" xfId="0" applyAlignment="1" applyFont="1">
      <alignment readingOrder="0"/>
    </xf>
    <xf borderId="0" fillId="7" fontId="25" numFmtId="0" xfId="0" applyAlignment="1" applyFont="1">
      <alignment readingOrder="0"/>
    </xf>
    <xf borderId="0" fillId="15" fontId="26" numFmtId="0" xfId="0" applyAlignment="1" applyFont="1">
      <alignment horizontal="center" readingOrder="0" shrinkToFit="0" wrapText="0"/>
    </xf>
    <xf borderId="0" fillId="7" fontId="27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190500</xdr:colOff>
      <xdr:row>2</xdr:row>
      <xdr:rowOff>-161925</xdr:rowOff>
    </xdr:from>
    <xdr:ext cx="8543925" cy="403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800100</xdr:colOff>
      <xdr:row>7</xdr:row>
      <xdr:rowOff>200025</xdr:rowOff>
    </xdr:from>
    <xdr:ext cx="6534150" cy="14192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514350</xdr:colOff>
      <xdr:row>3</xdr:row>
      <xdr:rowOff>114300</xdr:rowOff>
    </xdr:from>
    <xdr:ext cx="5715000" cy="3533775"/>
    <xdr:pic>
      <xdr:nvPicPr>
        <xdr:cNvPr id="3456306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45</xdr:row>
      <xdr:rowOff>200025</xdr:rowOff>
    </xdr:from>
    <xdr:ext cx="5524500" cy="26955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15</xdr:row>
      <xdr:rowOff>57150</xdr:rowOff>
    </xdr:from>
    <xdr:ext cx="5172075" cy="31432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800100</xdr:colOff>
      <xdr:row>23</xdr:row>
      <xdr:rowOff>200025</xdr:rowOff>
    </xdr:from>
    <xdr:ext cx="4191000" cy="20955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</row>
    <row r="4">
      <c r="B4" s="2" t="s">
        <v>1</v>
      </c>
    </row>
    <row r="5">
      <c r="B5" s="2" t="s">
        <v>2</v>
      </c>
    </row>
    <row r="6">
      <c r="B6" s="2" t="s">
        <v>3</v>
      </c>
    </row>
    <row r="8">
      <c r="B8" s="2" t="s">
        <v>4</v>
      </c>
    </row>
    <row r="9">
      <c r="B9" s="3" t="s">
        <v>5</v>
      </c>
    </row>
    <row r="10">
      <c r="B10" s="3" t="s">
        <v>6</v>
      </c>
    </row>
    <row r="11">
      <c r="B11" s="3" t="s">
        <v>7</v>
      </c>
    </row>
    <row r="12">
      <c r="B12" s="3" t="s">
        <v>8</v>
      </c>
    </row>
    <row r="14">
      <c r="B14" s="3" t="s">
        <v>9</v>
      </c>
    </row>
    <row r="17">
      <c r="B17" s="3" t="s">
        <v>10</v>
      </c>
    </row>
    <row r="19">
      <c r="B19" s="2" t="s">
        <v>11</v>
      </c>
    </row>
    <row r="20">
      <c r="B20" s="4">
        <f>_xlfn.BINOM.DIST(5,30,1/6,FALSE)</f>
        <v>0.1921081311</v>
      </c>
    </row>
    <row r="23">
      <c r="B23" s="5" t="s">
        <v>12</v>
      </c>
    </row>
    <row r="24">
      <c r="B24" s="6">
        <f t="shared" ref="B24:D24" si="1">RANDBETWEEN(1,6)</f>
        <v>1</v>
      </c>
      <c r="C24" s="6">
        <f t="shared" si="1"/>
        <v>4</v>
      </c>
      <c r="D24" s="6">
        <f t="shared" si="1"/>
        <v>3</v>
      </c>
      <c r="E24" s="7">
        <v>3.0</v>
      </c>
      <c r="F24" s="6">
        <f>RANDBETWEEN(1,6)</f>
        <v>6</v>
      </c>
      <c r="G24" s="8">
        <f t="shared" ref="G24:G29" si="3">COUNTIF(B24:F24,3)</f>
        <v>2</v>
      </c>
      <c r="H24" s="9">
        <f t="shared" ref="H24:H29" si="4">IF(G24=5,1,0)</f>
        <v>0</v>
      </c>
    </row>
    <row r="25">
      <c r="B25" s="6">
        <f t="shared" ref="B25:F25" si="2">RANDBETWEEN(1,6)</f>
        <v>2</v>
      </c>
      <c r="C25" s="6">
        <f t="shared" si="2"/>
        <v>3</v>
      </c>
      <c r="D25" s="6">
        <f t="shared" si="2"/>
        <v>6</v>
      </c>
      <c r="E25" s="6">
        <f t="shared" si="2"/>
        <v>4</v>
      </c>
      <c r="F25" s="6">
        <f t="shared" si="2"/>
        <v>5</v>
      </c>
      <c r="G25" s="8">
        <f t="shared" si="3"/>
        <v>1</v>
      </c>
      <c r="H25" s="9">
        <f t="shared" si="4"/>
        <v>0</v>
      </c>
    </row>
    <row r="26">
      <c r="B26" s="6">
        <f t="shared" ref="B26:C26" si="5">RANDBETWEEN(1,6)</f>
        <v>3</v>
      </c>
      <c r="C26" s="6">
        <f t="shared" si="5"/>
        <v>5</v>
      </c>
      <c r="D26" s="7">
        <v>5.0</v>
      </c>
      <c r="E26" s="7">
        <v>3.0</v>
      </c>
      <c r="F26" s="6">
        <f t="shared" ref="F26:F29" si="7">RANDBETWEEN(1,6)</f>
        <v>3</v>
      </c>
      <c r="G26" s="8">
        <f t="shared" si="3"/>
        <v>3</v>
      </c>
      <c r="H26" s="9">
        <f t="shared" si="4"/>
        <v>0</v>
      </c>
    </row>
    <row r="27">
      <c r="B27" s="6">
        <f t="shared" ref="B27:D27" si="6">RANDBETWEEN(1,6)</f>
        <v>5</v>
      </c>
      <c r="C27" s="6">
        <f t="shared" si="6"/>
        <v>2</v>
      </c>
      <c r="D27" s="6">
        <f t="shared" si="6"/>
        <v>2</v>
      </c>
      <c r="E27" s="7">
        <v>3.0</v>
      </c>
      <c r="F27" s="6">
        <f t="shared" si="7"/>
        <v>2</v>
      </c>
      <c r="G27" s="8">
        <f t="shared" si="3"/>
        <v>1</v>
      </c>
      <c r="H27" s="9">
        <f t="shared" si="4"/>
        <v>0</v>
      </c>
    </row>
    <row r="28">
      <c r="B28" s="6">
        <f t="shared" ref="B28:C28" si="8">RANDBETWEEN(1,6)</f>
        <v>2</v>
      </c>
      <c r="C28" s="6">
        <f t="shared" si="8"/>
        <v>5</v>
      </c>
      <c r="D28" s="7">
        <v>5.0</v>
      </c>
      <c r="E28" s="7">
        <v>3.0</v>
      </c>
      <c r="F28" s="6">
        <f t="shared" si="7"/>
        <v>6</v>
      </c>
      <c r="G28" s="8">
        <f t="shared" si="3"/>
        <v>1</v>
      </c>
      <c r="H28" s="9">
        <f t="shared" si="4"/>
        <v>0</v>
      </c>
    </row>
    <row r="29">
      <c r="B29" s="6">
        <f t="shared" ref="B29:D29" si="9">RANDBETWEEN(1,6)</f>
        <v>6</v>
      </c>
      <c r="C29" s="6">
        <f t="shared" si="9"/>
        <v>4</v>
      </c>
      <c r="D29" s="6">
        <f t="shared" si="9"/>
        <v>3</v>
      </c>
      <c r="E29" s="7">
        <v>3.0</v>
      </c>
      <c r="F29" s="6">
        <f t="shared" si="7"/>
        <v>6</v>
      </c>
      <c r="G29" s="8">
        <f t="shared" si="3"/>
        <v>2</v>
      </c>
      <c r="H29" s="9">
        <f t="shared" si="4"/>
        <v>0</v>
      </c>
    </row>
    <row r="31">
      <c r="B31" s="10" t="s">
        <v>13</v>
      </c>
    </row>
    <row r="32">
      <c r="B32" s="10" t="s">
        <v>14</v>
      </c>
    </row>
  </sheetData>
  <mergeCells count="8">
    <mergeCell ref="B2:I2"/>
    <mergeCell ref="B5:D5"/>
    <mergeCell ref="B6:E6"/>
    <mergeCell ref="B14:C14"/>
    <mergeCell ref="B17:D17"/>
    <mergeCell ref="B23:D23"/>
    <mergeCell ref="B31:G31"/>
    <mergeCell ref="B32:G3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5" t="s">
        <v>15</v>
      </c>
    </row>
    <row r="4">
      <c r="B4" s="11" t="s">
        <v>16</v>
      </c>
    </row>
    <row r="6">
      <c r="B6" s="12">
        <f t="shared" ref="B6:B106" si="1">RAND()</f>
        <v>0.9451483299</v>
      </c>
    </row>
    <row r="7">
      <c r="B7" s="12">
        <f t="shared" si="1"/>
        <v>0.8065655197</v>
      </c>
    </row>
    <row r="8">
      <c r="B8" s="12">
        <f t="shared" si="1"/>
        <v>0.1611564411</v>
      </c>
    </row>
    <row r="9">
      <c r="B9" s="12">
        <f t="shared" si="1"/>
        <v>0.3909420629</v>
      </c>
    </row>
    <row r="10">
      <c r="B10" s="12">
        <f t="shared" si="1"/>
        <v>0.7358282998</v>
      </c>
    </row>
    <row r="11">
      <c r="B11" s="12">
        <f t="shared" si="1"/>
        <v>0.2354660511</v>
      </c>
    </row>
    <row r="12">
      <c r="B12" s="12">
        <f t="shared" si="1"/>
        <v>0.2673686127</v>
      </c>
    </row>
    <row r="13">
      <c r="B13" s="12">
        <f t="shared" si="1"/>
        <v>0.5191419982</v>
      </c>
    </row>
    <row r="14">
      <c r="B14" s="12">
        <f t="shared" si="1"/>
        <v>0.4312381509</v>
      </c>
    </row>
    <row r="15">
      <c r="B15" s="12">
        <f t="shared" si="1"/>
        <v>0.1398045805</v>
      </c>
    </row>
    <row r="16">
      <c r="B16" s="12">
        <f t="shared" si="1"/>
        <v>0.322042672</v>
      </c>
    </row>
    <row r="17">
      <c r="B17" s="12">
        <f t="shared" si="1"/>
        <v>0.3070958126</v>
      </c>
    </row>
    <row r="18">
      <c r="B18" s="12">
        <f t="shared" si="1"/>
        <v>0.9308837804</v>
      </c>
    </row>
    <row r="19">
      <c r="B19" s="12">
        <f t="shared" si="1"/>
        <v>0.9852658332</v>
      </c>
    </row>
    <row r="20">
      <c r="B20" s="12">
        <f t="shared" si="1"/>
        <v>0.9966955301</v>
      </c>
    </row>
    <row r="21">
      <c r="B21" s="12">
        <f t="shared" si="1"/>
        <v>0.3515157254</v>
      </c>
    </row>
    <row r="22">
      <c r="B22" s="12">
        <f t="shared" si="1"/>
        <v>0.3708813791</v>
      </c>
    </row>
    <row r="23">
      <c r="B23" s="12">
        <f t="shared" si="1"/>
        <v>0.04406422733</v>
      </c>
    </row>
    <row r="24">
      <c r="B24" s="12">
        <f t="shared" si="1"/>
        <v>0.5892276331</v>
      </c>
      <c r="E24" s="3" t="s">
        <v>17</v>
      </c>
    </row>
    <row r="25">
      <c r="B25" s="12">
        <f t="shared" si="1"/>
        <v>0.1451436566</v>
      </c>
      <c r="E25" s="3" t="s">
        <v>18</v>
      </c>
    </row>
    <row r="26">
      <c r="B26" s="12">
        <f t="shared" si="1"/>
        <v>0.1248881627</v>
      </c>
      <c r="E26" s="13" t="s">
        <v>19</v>
      </c>
    </row>
    <row r="27">
      <c r="B27" s="12">
        <f t="shared" si="1"/>
        <v>0.0630684655</v>
      </c>
      <c r="E27" s="3" t="s">
        <v>20</v>
      </c>
    </row>
    <row r="28">
      <c r="B28" s="12">
        <f t="shared" si="1"/>
        <v>0.2631278648</v>
      </c>
    </row>
    <row r="29">
      <c r="B29" s="12">
        <f t="shared" si="1"/>
        <v>0.7453452963</v>
      </c>
    </row>
    <row r="30">
      <c r="B30" s="12">
        <f t="shared" si="1"/>
        <v>0.295016758</v>
      </c>
    </row>
    <row r="31">
      <c r="B31" s="12">
        <f t="shared" si="1"/>
        <v>0.7381097148</v>
      </c>
    </row>
    <row r="32">
      <c r="B32" s="12">
        <f t="shared" si="1"/>
        <v>0.7665453808</v>
      </c>
    </row>
    <row r="33">
      <c r="B33" s="12">
        <f t="shared" si="1"/>
        <v>0.2882102053</v>
      </c>
    </row>
    <row r="34">
      <c r="B34" s="12">
        <f t="shared" si="1"/>
        <v>0.4754785648</v>
      </c>
    </row>
    <row r="35">
      <c r="B35" s="12">
        <f t="shared" si="1"/>
        <v>0.01086165145</v>
      </c>
    </row>
    <row r="36">
      <c r="B36" s="12">
        <f t="shared" si="1"/>
        <v>0.3050871843</v>
      </c>
    </row>
    <row r="37">
      <c r="B37" s="12">
        <f t="shared" si="1"/>
        <v>0.1814396516</v>
      </c>
    </row>
    <row r="38">
      <c r="B38" s="12">
        <f t="shared" si="1"/>
        <v>0.4867403328</v>
      </c>
    </row>
    <row r="39">
      <c r="B39" s="12">
        <f t="shared" si="1"/>
        <v>0.7837818332</v>
      </c>
    </row>
    <row r="40">
      <c r="B40" s="12">
        <f t="shared" si="1"/>
        <v>0.5478639543</v>
      </c>
    </row>
    <row r="41">
      <c r="B41" s="12">
        <f t="shared" si="1"/>
        <v>0.4040319116</v>
      </c>
    </row>
    <row r="42">
      <c r="B42" s="12">
        <f t="shared" si="1"/>
        <v>0.7242676076</v>
      </c>
    </row>
    <row r="43">
      <c r="B43" s="12">
        <f t="shared" si="1"/>
        <v>0.5089551746</v>
      </c>
    </row>
    <row r="44">
      <c r="B44" s="12">
        <f t="shared" si="1"/>
        <v>0.5832210281</v>
      </c>
    </row>
    <row r="45">
      <c r="B45" s="12">
        <f t="shared" si="1"/>
        <v>0.7167504893</v>
      </c>
    </row>
    <row r="46">
      <c r="B46" s="12">
        <f t="shared" si="1"/>
        <v>0.7434677033</v>
      </c>
    </row>
    <row r="47">
      <c r="B47" s="12">
        <f t="shared" si="1"/>
        <v>0.2482826663</v>
      </c>
    </row>
    <row r="48">
      <c r="B48" s="12">
        <f t="shared" si="1"/>
        <v>0.008755221191</v>
      </c>
    </row>
    <row r="49">
      <c r="B49" s="12">
        <f t="shared" si="1"/>
        <v>0.744587022</v>
      </c>
    </row>
    <row r="50">
      <c r="B50" s="12">
        <f t="shared" si="1"/>
        <v>0.711233348</v>
      </c>
    </row>
    <row r="51">
      <c r="B51" s="12">
        <f t="shared" si="1"/>
        <v>0.2253089656</v>
      </c>
    </row>
    <row r="52">
      <c r="B52" s="12">
        <f t="shared" si="1"/>
        <v>0.2396325145</v>
      </c>
    </row>
    <row r="53">
      <c r="B53" s="12">
        <f t="shared" si="1"/>
        <v>0.8309081119</v>
      </c>
    </row>
    <row r="54">
      <c r="B54" s="12">
        <f t="shared" si="1"/>
        <v>0.3945283849</v>
      </c>
    </row>
    <row r="55">
      <c r="B55" s="12">
        <f t="shared" si="1"/>
        <v>0.5930850297</v>
      </c>
    </row>
    <row r="56">
      <c r="B56" s="12">
        <f t="shared" si="1"/>
        <v>0.5498855966</v>
      </c>
    </row>
    <row r="57">
      <c r="B57" s="12">
        <f t="shared" si="1"/>
        <v>0.2827009732</v>
      </c>
    </row>
    <row r="58">
      <c r="B58" s="12">
        <f t="shared" si="1"/>
        <v>0.4277445196</v>
      </c>
    </row>
    <row r="59">
      <c r="B59" s="12">
        <f t="shared" si="1"/>
        <v>0.1278128756</v>
      </c>
    </row>
    <row r="60">
      <c r="B60" s="12">
        <f t="shared" si="1"/>
        <v>0.3232840236</v>
      </c>
    </row>
    <row r="61">
      <c r="B61" s="12">
        <f t="shared" si="1"/>
        <v>0.1273100975</v>
      </c>
    </row>
    <row r="62">
      <c r="B62" s="12">
        <f t="shared" si="1"/>
        <v>0.7030985011</v>
      </c>
    </row>
    <row r="63">
      <c r="B63" s="12">
        <f t="shared" si="1"/>
        <v>0.8246214877</v>
      </c>
    </row>
    <row r="64">
      <c r="B64" s="12">
        <f t="shared" si="1"/>
        <v>0.4835344034</v>
      </c>
    </row>
    <row r="65">
      <c r="B65" s="12">
        <f t="shared" si="1"/>
        <v>0.7832829412</v>
      </c>
    </row>
    <row r="66">
      <c r="B66" s="12">
        <f t="shared" si="1"/>
        <v>0.8621272807</v>
      </c>
    </row>
    <row r="67">
      <c r="B67" s="12">
        <f t="shared" si="1"/>
        <v>0.9196742103</v>
      </c>
    </row>
    <row r="68">
      <c r="B68" s="12">
        <f t="shared" si="1"/>
        <v>0.09798155587</v>
      </c>
    </row>
    <row r="69">
      <c r="B69" s="12">
        <f t="shared" si="1"/>
        <v>0.1114198984</v>
      </c>
    </row>
    <row r="70">
      <c r="B70" s="12">
        <f t="shared" si="1"/>
        <v>0.03137811926</v>
      </c>
    </row>
    <row r="71">
      <c r="B71" s="12">
        <f t="shared" si="1"/>
        <v>0.6919096253</v>
      </c>
    </row>
    <row r="72">
      <c r="B72" s="12">
        <f t="shared" si="1"/>
        <v>0.704645813</v>
      </c>
    </row>
    <row r="73">
      <c r="B73" s="12">
        <f t="shared" si="1"/>
        <v>0.1568500616</v>
      </c>
    </row>
    <row r="74">
      <c r="B74" s="12">
        <f t="shared" si="1"/>
        <v>0.1416797481</v>
      </c>
    </row>
    <row r="75">
      <c r="B75" s="12">
        <f t="shared" si="1"/>
        <v>0.508069547</v>
      </c>
    </row>
    <row r="76">
      <c r="B76" s="12">
        <f t="shared" si="1"/>
        <v>0.9993459827</v>
      </c>
    </row>
    <row r="77">
      <c r="B77" s="12">
        <f t="shared" si="1"/>
        <v>0.5189307302</v>
      </c>
    </row>
    <row r="78">
      <c r="B78" s="12">
        <f t="shared" si="1"/>
        <v>0.397919475</v>
      </c>
    </row>
    <row r="79">
      <c r="B79" s="12">
        <f t="shared" si="1"/>
        <v>0.9662693588</v>
      </c>
    </row>
    <row r="80">
      <c r="B80" s="12">
        <f t="shared" si="1"/>
        <v>0.1378208307</v>
      </c>
    </row>
    <row r="81">
      <c r="B81" s="12">
        <f t="shared" si="1"/>
        <v>0.6929954823</v>
      </c>
    </row>
    <row r="82">
      <c r="B82" s="12">
        <f t="shared" si="1"/>
        <v>0.7250404802</v>
      </c>
    </row>
    <row r="83">
      <c r="B83" s="12">
        <f t="shared" si="1"/>
        <v>0.6662168974</v>
      </c>
    </row>
    <row r="84">
      <c r="B84" s="12">
        <f t="shared" si="1"/>
        <v>0.05717715648</v>
      </c>
    </row>
    <row r="85">
      <c r="B85" s="12">
        <f t="shared" si="1"/>
        <v>0.9164518187</v>
      </c>
    </row>
    <row r="86">
      <c r="B86" s="12">
        <f t="shared" si="1"/>
        <v>0.3060123454</v>
      </c>
    </row>
    <row r="87">
      <c r="B87" s="12">
        <f t="shared" si="1"/>
        <v>0.08828901555</v>
      </c>
    </row>
    <row r="88">
      <c r="B88" s="12">
        <f t="shared" si="1"/>
        <v>0.9016552569</v>
      </c>
    </row>
    <row r="89">
      <c r="B89" s="12">
        <f t="shared" si="1"/>
        <v>0.02145653428</v>
      </c>
    </row>
    <row r="90">
      <c r="B90" s="12">
        <f t="shared" si="1"/>
        <v>0.6488172257</v>
      </c>
    </row>
    <row r="91">
      <c r="B91" s="12">
        <f t="shared" si="1"/>
        <v>0.299024566</v>
      </c>
    </row>
    <row r="92">
      <c r="B92" s="12">
        <f t="shared" si="1"/>
        <v>0.8496176241</v>
      </c>
    </row>
    <row r="93">
      <c r="B93" s="12">
        <f t="shared" si="1"/>
        <v>0.5473726274</v>
      </c>
    </row>
    <row r="94">
      <c r="B94" s="12">
        <f t="shared" si="1"/>
        <v>0.9720327488</v>
      </c>
    </row>
    <row r="95">
      <c r="B95" s="12">
        <f t="shared" si="1"/>
        <v>0.7171961082</v>
      </c>
    </row>
    <row r="96">
      <c r="B96" s="12">
        <f t="shared" si="1"/>
        <v>0.3818304388</v>
      </c>
    </row>
    <row r="97">
      <c r="B97" s="12">
        <f t="shared" si="1"/>
        <v>0.898439237</v>
      </c>
    </row>
    <row r="98">
      <c r="B98" s="12">
        <f t="shared" si="1"/>
        <v>0.08238222665</v>
      </c>
    </row>
    <row r="99">
      <c r="B99" s="12">
        <f t="shared" si="1"/>
        <v>0.9724728193</v>
      </c>
    </row>
    <row r="100">
      <c r="B100" s="12">
        <f t="shared" si="1"/>
        <v>0.3055215468</v>
      </c>
    </row>
    <row r="101">
      <c r="B101" s="12">
        <f t="shared" si="1"/>
        <v>0.6455616045</v>
      </c>
    </row>
    <row r="102">
      <c r="B102" s="12">
        <f t="shared" si="1"/>
        <v>0.3326613731</v>
      </c>
    </row>
    <row r="103">
      <c r="B103" s="12">
        <f t="shared" si="1"/>
        <v>0.9677890775</v>
      </c>
    </row>
    <row r="104">
      <c r="B104" s="12">
        <f t="shared" si="1"/>
        <v>0.6543623475</v>
      </c>
    </row>
    <row r="105">
      <c r="B105" s="12">
        <f t="shared" si="1"/>
        <v>0.1658553545</v>
      </c>
    </row>
    <row r="106">
      <c r="B106" s="12">
        <f t="shared" si="1"/>
        <v>0.694740222</v>
      </c>
    </row>
  </sheetData>
  <mergeCells count="6">
    <mergeCell ref="B2:J2"/>
    <mergeCell ref="B4:C4"/>
    <mergeCell ref="E24:I24"/>
    <mergeCell ref="E25:L25"/>
    <mergeCell ref="E26:N26"/>
    <mergeCell ref="E27:J2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4" t="s">
        <v>21</v>
      </c>
    </row>
    <row r="4">
      <c r="B4" s="15" t="s">
        <v>22</v>
      </c>
    </row>
    <row r="5">
      <c r="B5" s="5" t="s">
        <v>23</v>
      </c>
    </row>
    <row r="6">
      <c r="B6" s="5" t="s">
        <v>24</v>
      </c>
    </row>
    <row r="7">
      <c r="B7" s="5" t="s">
        <v>25</v>
      </c>
    </row>
    <row r="10">
      <c r="B10" s="16" t="s">
        <v>26</v>
      </c>
    </row>
    <row r="11">
      <c r="B11" s="16" t="s">
        <v>27</v>
      </c>
      <c r="C11" s="16" t="s">
        <v>28</v>
      </c>
    </row>
    <row r="12">
      <c r="B12" s="5" t="s">
        <v>29</v>
      </c>
      <c r="C12" s="5" t="s">
        <v>30</v>
      </c>
    </row>
    <row r="13">
      <c r="B13" s="16" t="s">
        <v>31</v>
      </c>
      <c r="C13" s="5" t="s">
        <v>32</v>
      </c>
    </row>
    <row r="15">
      <c r="B15" s="17" t="s">
        <v>33</v>
      </c>
    </row>
    <row r="16">
      <c r="B16" s="18" t="s">
        <v>34</v>
      </c>
      <c r="C16" s="19"/>
      <c r="D16" s="19"/>
      <c r="E16" s="19"/>
    </row>
    <row r="17">
      <c r="B17" s="18" t="s">
        <v>35</v>
      </c>
    </row>
    <row r="18">
      <c r="B18" s="18" t="s">
        <v>36</v>
      </c>
      <c r="E18" s="19"/>
    </row>
    <row r="19">
      <c r="B19" s="18" t="s">
        <v>37</v>
      </c>
      <c r="E19" s="19"/>
    </row>
    <row r="21">
      <c r="B21" s="5" t="s">
        <v>38</v>
      </c>
    </row>
    <row r="22">
      <c r="B22" s="5" t="s">
        <v>39</v>
      </c>
    </row>
  </sheetData>
  <mergeCells count="9">
    <mergeCell ref="B18:D18"/>
    <mergeCell ref="B19:D19"/>
    <mergeCell ref="B2:K2"/>
    <mergeCell ref="B6:C6"/>
    <mergeCell ref="B7:C7"/>
    <mergeCell ref="B21:E21"/>
    <mergeCell ref="B22:E22"/>
    <mergeCell ref="B15:G15"/>
    <mergeCell ref="B17:E1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</cols>
  <sheetData>
    <row r="2">
      <c r="B2" s="5" t="s">
        <v>40</v>
      </c>
    </row>
    <row r="4">
      <c r="B4" s="2" t="s">
        <v>1</v>
      </c>
    </row>
    <row r="5">
      <c r="B5" s="5" t="s">
        <v>41</v>
      </c>
      <c r="C5" s="20"/>
      <c r="D5" s="20"/>
      <c r="E5" s="20"/>
    </row>
    <row r="6">
      <c r="B6" s="2" t="s">
        <v>42</v>
      </c>
    </row>
    <row r="7">
      <c r="B7" s="2" t="s">
        <v>43</v>
      </c>
    </row>
    <row r="9">
      <c r="B9" s="5" t="s">
        <v>44</v>
      </c>
    </row>
    <row r="10">
      <c r="B10" s="21" t="s">
        <v>45</v>
      </c>
    </row>
    <row r="12">
      <c r="B12" s="5" t="s">
        <v>46</v>
      </c>
    </row>
    <row r="13">
      <c r="B13" s="22" t="s">
        <v>26</v>
      </c>
    </row>
    <row r="14">
      <c r="B14" s="5" t="s">
        <v>23</v>
      </c>
    </row>
    <row r="15">
      <c r="B15" s="5" t="s">
        <v>24</v>
      </c>
    </row>
    <row r="16">
      <c r="B16" s="5" t="s">
        <v>47</v>
      </c>
    </row>
    <row r="17">
      <c r="B17" s="5" t="s">
        <v>48</v>
      </c>
    </row>
    <row r="19">
      <c r="B19" s="16" t="s">
        <v>49</v>
      </c>
    </row>
    <row r="21">
      <c r="B21" s="2" t="s">
        <v>50</v>
      </c>
    </row>
    <row r="22">
      <c r="B22" s="2" t="s">
        <v>51</v>
      </c>
    </row>
    <row r="24">
      <c r="B24" s="16" t="s">
        <v>52</v>
      </c>
    </row>
    <row r="26">
      <c r="B26" s="2" t="s">
        <v>53</v>
      </c>
    </row>
    <row r="27">
      <c r="B27" s="2" t="s">
        <v>54</v>
      </c>
    </row>
    <row r="30">
      <c r="B30" s="23" t="s">
        <v>55</v>
      </c>
    </row>
    <row r="32">
      <c r="B32" s="5" t="s">
        <v>56</v>
      </c>
    </row>
    <row r="33">
      <c r="B33" s="2" t="s">
        <v>57</v>
      </c>
    </row>
    <row r="34">
      <c r="B34" s="2" t="s">
        <v>58</v>
      </c>
    </row>
    <row r="36">
      <c r="B36" s="5" t="s">
        <v>59</v>
      </c>
    </row>
    <row r="37">
      <c r="B37" s="2" t="s">
        <v>60</v>
      </c>
    </row>
    <row r="38">
      <c r="B38" s="2" t="s">
        <v>61</v>
      </c>
    </row>
    <row r="39">
      <c r="B39" s="2" t="s">
        <v>62</v>
      </c>
    </row>
    <row r="42">
      <c r="B42" s="2" t="s">
        <v>63</v>
      </c>
    </row>
    <row r="43">
      <c r="B43" s="24" t="s">
        <v>64</v>
      </c>
    </row>
    <row r="44">
      <c r="B44" s="24" t="s">
        <v>65</v>
      </c>
    </row>
    <row r="45">
      <c r="B45" s="24" t="s">
        <v>66</v>
      </c>
    </row>
    <row r="46">
      <c r="B46" s="24" t="s">
        <v>67</v>
      </c>
    </row>
    <row r="47">
      <c r="B47" s="24" t="s">
        <v>68</v>
      </c>
    </row>
    <row r="50">
      <c r="B50" s="25" t="s">
        <v>69</v>
      </c>
    </row>
    <row r="52">
      <c r="B52" s="5" t="s">
        <v>70</v>
      </c>
    </row>
    <row r="53">
      <c r="B53" s="26" t="s">
        <v>71</v>
      </c>
      <c r="C53" s="27"/>
      <c r="D53" s="27"/>
      <c r="E53" s="27"/>
      <c r="F53" s="27"/>
    </row>
    <row r="54">
      <c r="B54" s="26" t="s">
        <v>72</v>
      </c>
      <c r="D54" s="27"/>
      <c r="E54" s="27"/>
      <c r="F54" s="27"/>
    </row>
    <row r="55">
      <c r="B55" s="27"/>
      <c r="C55" s="27"/>
      <c r="D55" s="27"/>
      <c r="E55" s="27"/>
      <c r="F55" s="27"/>
    </row>
    <row r="56">
      <c r="B56" s="26" t="s">
        <v>73</v>
      </c>
      <c r="C56" s="27"/>
      <c r="D56" s="27"/>
      <c r="E56" s="27"/>
      <c r="F56" s="27"/>
    </row>
    <row r="57">
      <c r="B57" s="26" t="s">
        <v>74</v>
      </c>
      <c r="C57" s="27"/>
      <c r="D57" s="27"/>
      <c r="E57" s="27"/>
      <c r="F57" s="27"/>
    </row>
    <row r="58">
      <c r="B58" s="27"/>
      <c r="C58" s="27"/>
      <c r="D58" s="27"/>
      <c r="E58" s="27"/>
      <c r="F58" s="27"/>
    </row>
    <row r="59">
      <c r="B59" s="26" t="s">
        <v>75</v>
      </c>
    </row>
  </sheetData>
  <mergeCells count="23">
    <mergeCell ref="B2:K2"/>
    <mergeCell ref="B7:C7"/>
    <mergeCell ref="B9:E9"/>
    <mergeCell ref="B10:F10"/>
    <mergeCell ref="B15:C15"/>
    <mergeCell ref="B17:C17"/>
    <mergeCell ref="B19:C19"/>
    <mergeCell ref="B21:D21"/>
    <mergeCell ref="B22:D22"/>
    <mergeCell ref="B24:D24"/>
    <mergeCell ref="B26:E26"/>
    <mergeCell ref="B27:E27"/>
    <mergeCell ref="B30:D30"/>
    <mergeCell ref="B32:C32"/>
    <mergeCell ref="B54:C54"/>
    <mergeCell ref="B59:F59"/>
    <mergeCell ref="B36:C36"/>
    <mergeCell ref="B37:D37"/>
    <mergeCell ref="B39:C39"/>
    <mergeCell ref="B43:C43"/>
    <mergeCell ref="B47:C47"/>
    <mergeCell ref="B50:E50"/>
    <mergeCell ref="B52:C5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</cols>
  <sheetData>
    <row r="2">
      <c r="B2" s="16" t="s">
        <v>76</v>
      </c>
    </row>
    <row r="4">
      <c r="B4" s="28" t="s">
        <v>77</v>
      </c>
    </row>
    <row r="5">
      <c r="B5" s="28" t="s">
        <v>78</v>
      </c>
      <c r="F5" s="29"/>
    </row>
    <row r="7">
      <c r="B7" s="30" t="s">
        <v>79</v>
      </c>
    </row>
    <row r="9">
      <c r="B9" s="31" t="s">
        <v>80</v>
      </c>
    </row>
    <row r="10">
      <c r="B10" s="32" t="s">
        <v>81</v>
      </c>
      <c r="C10" s="33"/>
      <c r="D10" s="33"/>
    </row>
    <row r="11">
      <c r="B11" s="32" t="s">
        <v>82</v>
      </c>
      <c r="C11" s="33"/>
      <c r="D11" s="33"/>
    </row>
    <row r="12">
      <c r="B12" s="32" t="s">
        <v>83</v>
      </c>
      <c r="C12" s="33"/>
      <c r="D12" s="33"/>
    </row>
    <row r="13">
      <c r="B13" s="34" t="s">
        <v>84</v>
      </c>
    </row>
    <row r="14">
      <c r="B14" s="32" t="s">
        <v>85</v>
      </c>
    </row>
    <row r="15">
      <c r="B15" s="35" t="s">
        <v>86</v>
      </c>
    </row>
    <row r="17">
      <c r="B17" s="36" t="s">
        <v>87</v>
      </c>
    </row>
    <row r="20">
      <c r="B20" s="31" t="s">
        <v>88</v>
      </c>
    </row>
    <row r="21">
      <c r="B21" s="32" t="s">
        <v>89</v>
      </c>
      <c r="C21" s="33"/>
      <c r="D21" s="33"/>
      <c r="E21" s="33"/>
      <c r="F21" s="33"/>
    </row>
    <row r="22">
      <c r="B22" s="32" t="s">
        <v>90</v>
      </c>
      <c r="E22" s="33"/>
      <c r="F22" s="33"/>
    </row>
    <row r="23">
      <c r="B23" s="32" t="s">
        <v>91</v>
      </c>
    </row>
    <row r="24">
      <c r="B24" s="32" t="s">
        <v>92</v>
      </c>
      <c r="E24" s="33"/>
      <c r="F24" s="33"/>
    </row>
    <row r="26">
      <c r="B26" s="35" t="s">
        <v>86</v>
      </c>
    </row>
    <row r="27">
      <c r="B27" s="37" t="s">
        <v>93</v>
      </c>
      <c r="M27" s="38"/>
    </row>
    <row r="30">
      <c r="B30" s="31" t="s">
        <v>94</v>
      </c>
    </row>
    <row r="31">
      <c r="B31" s="32" t="s">
        <v>95</v>
      </c>
      <c r="C31" s="33"/>
    </row>
    <row r="32">
      <c r="B32" s="32" t="s">
        <v>96</v>
      </c>
      <c r="C32" s="33"/>
    </row>
    <row r="33">
      <c r="B33" s="32" t="s">
        <v>97</v>
      </c>
      <c r="C33" s="33"/>
    </row>
    <row r="34">
      <c r="B34" s="32" t="s">
        <v>98</v>
      </c>
      <c r="C34" s="33"/>
    </row>
    <row r="36">
      <c r="B36" s="35" t="s">
        <v>86</v>
      </c>
    </row>
    <row r="38">
      <c r="B38" s="39" t="s">
        <v>99</v>
      </c>
    </row>
    <row r="40">
      <c r="B40" s="40" t="s">
        <v>100</v>
      </c>
      <c r="C40" s="40" t="s">
        <v>101</v>
      </c>
      <c r="D40" s="40" t="s">
        <v>80</v>
      </c>
      <c r="E40" s="40" t="s">
        <v>102</v>
      </c>
    </row>
    <row r="41">
      <c r="B41" s="41" t="s">
        <v>103</v>
      </c>
      <c r="C41" s="41" t="s">
        <v>104</v>
      </c>
      <c r="D41" s="41" t="s">
        <v>105</v>
      </c>
      <c r="E41" s="41" t="s">
        <v>106</v>
      </c>
    </row>
    <row r="42">
      <c r="B42" s="41" t="s">
        <v>107</v>
      </c>
      <c r="C42" s="41" t="s">
        <v>108</v>
      </c>
      <c r="D42" s="41" t="s">
        <v>109</v>
      </c>
      <c r="E42" s="41" t="s">
        <v>110</v>
      </c>
    </row>
    <row r="43">
      <c r="B43" s="41" t="s">
        <v>111</v>
      </c>
      <c r="C43" s="41" t="s">
        <v>112</v>
      </c>
      <c r="D43" s="42">
        <f> 3</f>
        <v>3</v>
      </c>
      <c r="E43" s="41" t="s">
        <v>113</v>
      </c>
    </row>
    <row r="44">
      <c r="B44" s="41" t="s">
        <v>114</v>
      </c>
      <c r="C44" s="41" t="s">
        <v>115</v>
      </c>
      <c r="D44" s="41" t="s">
        <v>116</v>
      </c>
      <c r="E44" s="41" t="s">
        <v>117</v>
      </c>
    </row>
  </sheetData>
  <mergeCells count="12">
    <mergeCell ref="B13:G13"/>
    <mergeCell ref="B14:E14"/>
    <mergeCell ref="B24:D24"/>
    <mergeCell ref="B27:L27"/>
    <mergeCell ref="B38:L38"/>
    <mergeCell ref="B2:D2"/>
    <mergeCell ref="B4:F4"/>
    <mergeCell ref="B5:E5"/>
    <mergeCell ref="B7:C7"/>
    <mergeCell ref="B17:L17"/>
    <mergeCell ref="B22:D22"/>
    <mergeCell ref="B23:F2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B2" s="43" t="s">
        <v>118</v>
      </c>
    </row>
    <row r="4">
      <c r="B4" s="44" t="s">
        <v>119</v>
      </c>
    </row>
    <row r="5">
      <c r="B5" s="45" t="s">
        <v>120</v>
      </c>
    </row>
    <row r="7">
      <c r="B7" s="36" t="s">
        <v>121</v>
      </c>
    </row>
    <row r="9">
      <c r="B9" s="46" t="s">
        <v>122</v>
      </c>
      <c r="G9" s="47"/>
      <c r="H9" s="47"/>
      <c r="I9" s="47"/>
    </row>
    <row r="10">
      <c r="B10" s="48" t="s">
        <v>123</v>
      </c>
    </row>
    <row r="13">
      <c r="B13" s="2" t="s">
        <v>124</v>
      </c>
    </row>
    <row r="15">
      <c r="C15" s="16" t="s">
        <v>125</v>
      </c>
    </row>
    <row r="17">
      <c r="B17" s="5" t="s">
        <v>126</v>
      </c>
    </row>
    <row r="19">
      <c r="B19" s="2" t="s">
        <v>127</v>
      </c>
    </row>
    <row r="20">
      <c r="B20" s="2" t="s">
        <v>128</v>
      </c>
    </row>
    <row r="21">
      <c r="B21" s="2" t="s">
        <v>129</v>
      </c>
    </row>
    <row r="24">
      <c r="B24" s="49" t="s">
        <v>130</v>
      </c>
    </row>
    <row r="25">
      <c r="B25" s="32" t="s">
        <v>131</v>
      </c>
      <c r="C25" s="33"/>
      <c r="D25" s="33"/>
      <c r="E25" s="33"/>
      <c r="F25" s="33"/>
    </row>
    <row r="26">
      <c r="B26" s="32" t="s">
        <v>132</v>
      </c>
      <c r="C26" s="33"/>
      <c r="D26" s="33"/>
      <c r="E26" s="33"/>
      <c r="F26" s="33"/>
    </row>
    <row r="27">
      <c r="B27" s="32" t="s">
        <v>133</v>
      </c>
      <c r="C27" s="33"/>
      <c r="D27" s="33"/>
      <c r="E27" s="33"/>
      <c r="F27" s="33"/>
    </row>
    <row r="28">
      <c r="B28" s="32" t="s">
        <v>134</v>
      </c>
      <c r="F28" s="33"/>
    </row>
  </sheetData>
  <mergeCells count="9">
    <mergeCell ref="B17:E17"/>
    <mergeCell ref="B28:E28"/>
    <mergeCell ref="B2:H2"/>
    <mergeCell ref="B4:J4"/>
    <mergeCell ref="B5:J5"/>
    <mergeCell ref="B7:E7"/>
    <mergeCell ref="B9:F9"/>
    <mergeCell ref="B10:I10"/>
    <mergeCell ref="B19:F1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5" t="s">
        <v>135</v>
      </c>
    </row>
    <row r="4">
      <c r="B4" s="50" t="s">
        <v>136</v>
      </c>
    </row>
    <row r="5">
      <c r="B5" s="50" t="s">
        <v>137</v>
      </c>
    </row>
    <row r="6">
      <c r="B6" s="50" t="s">
        <v>138</v>
      </c>
      <c r="C6" s="51"/>
      <c r="D6" s="51"/>
    </row>
    <row r="9">
      <c r="B9" s="2" t="s">
        <v>139</v>
      </c>
    </row>
    <row r="10">
      <c r="B10" s="2" t="s">
        <v>140</v>
      </c>
    </row>
    <row r="11">
      <c r="B11" s="52" t="s">
        <v>141</v>
      </c>
    </row>
    <row r="12">
      <c r="B12" s="53">
        <f>1-_xlfn.BINOM.DIST(7,15,0.5,TRUE)</f>
        <v>0.5</v>
      </c>
    </row>
    <row r="13">
      <c r="B13" s="54">
        <v>0.5</v>
      </c>
    </row>
    <row r="15">
      <c r="B15" s="5" t="s">
        <v>142</v>
      </c>
    </row>
  </sheetData>
  <mergeCells count="7">
    <mergeCell ref="B2:H2"/>
    <mergeCell ref="B4:D4"/>
    <mergeCell ref="B5:D5"/>
    <mergeCell ref="B9:D9"/>
    <mergeCell ref="B10:D10"/>
    <mergeCell ref="B11:D11"/>
    <mergeCell ref="B15:J1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143</v>
      </c>
    </row>
    <row r="4">
      <c r="B4" s="24" t="s">
        <v>1</v>
      </c>
    </row>
    <row r="6">
      <c r="B6" s="55" t="s">
        <v>144</v>
      </c>
    </row>
    <row r="7">
      <c r="B7" s="56" t="s">
        <v>145</v>
      </c>
    </row>
    <row r="9">
      <c r="B9" s="57" t="s">
        <v>146</v>
      </c>
    </row>
    <row r="10">
      <c r="B10" s="58" t="s">
        <v>147</v>
      </c>
    </row>
    <row r="12">
      <c r="B12" s="59" t="s">
        <v>148</v>
      </c>
    </row>
    <row r="13">
      <c r="B13" s="60" t="s">
        <v>149</v>
      </c>
    </row>
    <row r="15">
      <c r="B15" s="59" t="s">
        <v>150</v>
      </c>
    </row>
    <row r="16">
      <c r="B16" s="59" t="s">
        <v>151</v>
      </c>
    </row>
    <row r="18">
      <c r="B18" s="61" t="s">
        <v>152</v>
      </c>
    </row>
    <row r="19">
      <c r="B19" s="62"/>
    </row>
    <row r="20">
      <c r="B20" s="59" t="s">
        <v>153</v>
      </c>
    </row>
    <row r="21">
      <c r="B21" s="59" t="s">
        <v>154</v>
      </c>
    </row>
    <row r="23">
      <c r="B23" s="59" t="s">
        <v>155</v>
      </c>
    </row>
    <row r="24">
      <c r="B24" s="16" t="s">
        <v>156</v>
      </c>
    </row>
    <row r="26">
      <c r="B26" s="5" t="s">
        <v>157</v>
      </c>
    </row>
    <row r="27">
      <c r="B27" s="5" t="s">
        <v>158</v>
      </c>
    </row>
    <row r="28">
      <c r="B28" s="5" t="s">
        <v>159</v>
      </c>
    </row>
  </sheetData>
  <mergeCells count="14">
    <mergeCell ref="B15:L15"/>
    <mergeCell ref="B16:F16"/>
    <mergeCell ref="B18:D18"/>
    <mergeCell ref="B20:G20"/>
    <mergeCell ref="B21:H21"/>
    <mergeCell ref="B23:J23"/>
    <mergeCell ref="B24:J24"/>
    <mergeCell ref="B2:H2"/>
    <mergeCell ref="B6:K6"/>
    <mergeCell ref="B7:K7"/>
    <mergeCell ref="B9:F9"/>
    <mergeCell ref="B10:K10"/>
    <mergeCell ref="B12:L12"/>
    <mergeCell ref="B13:I13"/>
  </mergeCells>
  <drawing r:id="rId1"/>
</worksheet>
</file>